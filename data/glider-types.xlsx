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ider-types" sheetId="1" r:id="rId5"/>
    <sheet state="visible" name="Pure Gliders" sheetId="2" r:id="rId6"/>
    <sheet state="visible" name="Motorgliders" sheetId="3" r:id="rId7"/>
    <sheet state="visible" name="capstone" sheetId="4" r:id="rId8"/>
  </sheets>
  <definedNames>
    <definedName hidden="1" localSheetId="3" name="_xlnm._FilterDatabase">capstone!$A$1:$S$72</definedName>
  </definedNames>
  <calcPr/>
</workbook>
</file>

<file path=xl/sharedStrings.xml><?xml version="1.0" encoding="utf-8"?>
<sst xmlns="http://schemas.openxmlformats.org/spreadsheetml/2006/main" count="14688" uniqueCount="5971">
  <si>
    <t>count</t>
  </si>
  <si>
    <t>code</t>
  </si>
  <si>
    <t>Manufacture</t>
  </si>
  <si>
    <t>Model</t>
  </si>
  <si>
    <t>Gld</t>
  </si>
  <si>
    <t>Engine-type</t>
  </si>
  <si>
    <t>SCHWEIZER</t>
  </si>
  <si>
    <t>SGS 2-33A</t>
  </si>
  <si>
    <t>Count</t>
  </si>
  <si>
    <t>Total Gliders</t>
  </si>
  <si>
    <t>more than 1</t>
  </si>
  <si>
    <t>Just 1</t>
  </si>
  <si>
    <t>none</t>
  </si>
  <si>
    <t>SGS 1-26E</t>
  </si>
  <si>
    <t>Engine Type</t>
  </si>
  <si>
    <t>Total</t>
  </si>
  <si>
    <t>SGS 1-26B</t>
  </si>
  <si>
    <t>Pure</t>
  </si>
  <si>
    <t>LET</t>
  </si>
  <si>
    <t>L-23 SUPER BLANIK</t>
  </si>
  <si>
    <t>Powered</t>
  </si>
  <si>
    <t>SCHLEICHER</t>
  </si>
  <si>
    <t>ASW-27</t>
  </si>
  <si>
    <t>Reciprocating</t>
  </si>
  <si>
    <t>38019VE</t>
  </si>
  <si>
    <t>SCHEMPP-HIRTH</t>
  </si>
  <si>
    <t>STANDARD CIRRUS</t>
  </si>
  <si>
    <t>Turbo-prop</t>
  </si>
  <si>
    <t>SGS 1-26A</t>
  </si>
  <si>
    <t>Turbo-jet</t>
  </si>
  <si>
    <t>ASW-20</t>
  </si>
  <si>
    <t>2-Cycle</t>
  </si>
  <si>
    <t>PZL-SWIDNIK</t>
  </si>
  <si>
    <t>PW-5</t>
  </si>
  <si>
    <t>4-Cycle</t>
  </si>
  <si>
    <t>SGS 1-26C</t>
  </si>
  <si>
    <t>Electic</t>
  </si>
  <si>
    <t>GLASFLUGEL</t>
  </si>
  <si>
    <t>STANDARD LIBELLE</t>
  </si>
  <si>
    <t>Rotary</t>
  </si>
  <si>
    <t>SGS 1-26D</t>
  </si>
  <si>
    <t>SGS 2-32</t>
  </si>
  <si>
    <t>SGS 1-34</t>
  </si>
  <si>
    <t>38015GY</t>
  </si>
  <si>
    <t>ASK-21</t>
  </si>
  <si>
    <t>L 33 SOLO</t>
  </si>
  <si>
    <t>SGS 2-33</t>
  </si>
  <si>
    <t>ALEXANDER SCHLEICHER GMBH &amp; CO</t>
  </si>
  <si>
    <t>ASH 31 MI</t>
  </si>
  <si>
    <t>BURKHART GROB FLUGZEUGBAU</t>
  </si>
  <si>
    <t>G102 ASTIR CS</t>
  </si>
  <si>
    <t>G103 TWIN ASTIR</t>
  </si>
  <si>
    <t>BLANIK L-13</t>
  </si>
  <si>
    <t>38019VS</t>
  </si>
  <si>
    <t>DISCUS CS</t>
  </si>
  <si>
    <t>ROLLADEN-SCHNEIDER</t>
  </si>
  <si>
    <t>LS-4</t>
  </si>
  <si>
    <t>ASW-24</t>
  </si>
  <si>
    <t>STD LIBELLE 201B</t>
  </si>
  <si>
    <t>STEMME GMBH &amp; CO</t>
  </si>
  <si>
    <t>S10-VT</t>
  </si>
  <si>
    <t>SGU 2-22E</t>
  </si>
  <si>
    <t>DG FLUGZEUGBAU GMBH</t>
  </si>
  <si>
    <t>DG 1000S</t>
  </si>
  <si>
    <t>38019VN</t>
  </si>
  <si>
    <t>DISCUS B</t>
  </si>
  <si>
    <t>BURKHART GROB</t>
  </si>
  <si>
    <t>G 103 TWIN II</t>
  </si>
  <si>
    <t>H 301 LIBELLE</t>
  </si>
  <si>
    <t>KA 6 CR</t>
  </si>
  <si>
    <t>ASW 27-18</t>
  </si>
  <si>
    <t>VENTUS-B</t>
  </si>
  <si>
    <t>SGS 1-35</t>
  </si>
  <si>
    <t>SGS 1-36</t>
  </si>
  <si>
    <t>ASK 21</t>
  </si>
  <si>
    <t>ASW-19</t>
  </si>
  <si>
    <t>SCHEMPP-HIRTH FLUGZEUGBAU</t>
  </si>
  <si>
    <t>DUO DISCUS</t>
  </si>
  <si>
    <t>G-103A TWIN II ACRO</t>
  </si>
  <si>
    <t>MOSQUITO</t>
  </si>
  <si>
    <t>EIRIAVION OY</t>
  </si>
  <si>
    <t>PIK 20D</t>
  </si>
  <si>
    <t>SGS 1-35C</t>
  </si>
  <si>
    <t>05624RU</t>
  </si>
  <si>
    <t>SCHLEICHER ALEXANDER GMBH &amp; CO</t>
  </si>
  <si>
    <t>ASH 26 E</t>
  </si>
  <si>
    <t>05635TS</t>
  </si>
  <si>
    <t>STEMME AG</t>
  </si>
  <si>
    <t>STEMME S 12</t>
  </si>
  <si>
    <t>ROLLADEN-SCHNEIDER OHG</t>
  </si>
  <si>
    <t>LS3-A</t>
  </si>
  <si>
    <t>AEROMOT</t>
  </si>
  <si>
    <t>AMT-200S</t>
  </si>
  <si>
    <t>05628R1</t>
  </si>
  <si>
    <t>AS+ LTD</t>
  </si>
  <si>
    <t>AC 4</t>
  </si>
  <si>
    <t>DISCUS-2B</t>
  </si>
  <si>
    <t>G-109B</t>
  </si>
  <si>
    <t>ROLLADEN-SCHNEIDER GMBH</t>
  </si>
  <si>
    <t>LS-3</t>
  </si>
  <si>
    <t>DG-800B</t>
  </si>
  <si>
    <t>GLASER-DIRKS</t>
  </si>
  <si>
    <t>DG-400</t>
  </si>
  <si>
    <t>38015HZ</t>
  </si>
  <si>
    <t>ASW-15</t>
  </si>
  <si>
    <t>LS8-18</t>
  </si>
  <si>
    <t>VENTUS-2B</t>
  </si>
  <si>
    <t>PHOENIX AIR SRO</t>
  </si>
  <si>
    <t>U-15 PHOENIX</t>
  </si>
  <si>
    <t>I.C.A.-BRASOV (ROMANIA)</t>
  </si>
  <si>
    <t>IS-28B2</t>
  </si>
  <si>
    <t>ASW-20C</t>
  </si>
  <si>
    <t>PILATUS</t>
  </si>
  <si>
    <t>B4-PC11</t>
  </si>
  <si>
    <t>LS 4A</t>
  </si>
  <si>
    <t>VALENTIN GMBH</t>
  </si>
  <si>
    <t>TAIFUN 17E</t>
  </si>
  <si>
    <t>CENTRAIR</t>
  </si>
  <si>
    <t>101A</t>
  </si>
  <si>
    <t>K 8 B</t>
  </si>
  <si>
    <t>KA 6 E</t>
  </si>
  <si>
    <t>GLASER DIRKS</t>
  </si>
  <si>
    <t>DG 300</t>
  </si>
  <si>
    <t>PIK 20B</t>
  </si>
  <si>
    <t>ASW-19B</t>
  </si>
  <si>
    <t>056080H</t>
  </si>
  <si>
    <t>AB SPORTINE AVIACIJA</t>
  </si>
  <si>
    <t>LAK-17A</t>
  </si>
  <si>
    <t>LS-6</t>
  </si>
  <si>
    <t>AMT-200(SUPR XIMNGO)</t>
  </si>
  <si>
    <t>05606KT</t>
  </si>
  <si>
    <t>GENESIS 2</t>
  </si>
  <si>
    <t>05606KP</t>
  </si>
  <si>
    <t>HPH LTD</t>
  </si>
  <si>
    <t>GLASFLUGEL 304CZ</t>
  </si>
  <si>
    <t>SGU 2-22C</t>
  </si>
  <si>
    <t>SGU-1-19</t>
  </si>
  <si>
    <t>VENTUS-2C</t>
  </si>
  <si>
    <t>G109</t>
  </si>
  <si>
    <t>ASW-28</t>
  </si>
  <si>
    <t>38019VC</t>
  </si>
  <si>
    <t>CIRRUS</t>
  </si>
  <si>
    <t>05637Y4</t>
  </si>
  <si>
    <t>JONKER SAILPLANES (PTY) LTD</t>
  </si>
  <si>
    <t>JS3</t>
  </si>
  <si>
    <t>SCHLEICHER ALEXANDER</t>
  </si>
  <si>
    <t>K 7</t>
  </si>
  <si>
    <t>LS1-F</t>
  </si>
  <si>
    <t>SGS 1-26</t>
  </si>
  <si>
    <t>06102CP</t>
  </si>
  <si>
    <t>YATES ELECTROSPACE CORP</t>
  </si>
  <si>
    <t>SILENT ARROW PG BNDL</t>
  </si>
  <si>
    <t>SCHEMPP HIRTH FLUGZEUGBAU GMBH</t>
  </si>
  <si>
    <t>ARCUS M</t>
  </si>
  <si>
    <t>05610QZ</t>
  </si>
  <si>
    <t>AVIA STROITEL</t>
  </si>
  <si>
    <t>AC-5M</t>
  </si>
  <si>
    <t>05632RZ</t>
  </si>
  <si>
    <t>ALISPORT SRL</t>
  </si>
  <si>
    <t>SILENT 2 ELECTRO</t>
  </si>
  <si>
    <t>38015GS</t>
  </si>
  <si>
    <t>AS-K13</t>
  </si>
  <si>
    <t>ELAN/GLASER DIRKS</t>
  </si>
  <si>
    <t>DG-300 ELAN</t>
  </si>
  <si>
    <t>KESTREL</t>
  </si>
  <si>
    <t>ASG 32 MI</t>
  </si>
  <si>
    <t>ASW27-18</t>
  </si>
  <si>
    <t>LAISTER-KAUFFMAN</t>
  </si>
  <si>
    <t>LK-10A</t>
  </si>
  <si>
    <t>VENTUS B/16.6</t>
  </si>
  <si>
    <t>060003D</t>
  </si>
  <si>
    <t>URBAN AIR SRO</t>
  </si>
  <si>
    <t>UFM-13 LAMBADA</t>
  </si>
  <si>
    <t>SZYBOWCOWY ZAKLAD DOSWIADCZALN</t>
  </si>
  <si>
    <t>41A JANTAR STANDARD</t>
  </si>
  <si>
    <t>ASW-20B</t>
  </si>
  <si>
    <t>LITHUANIAN FACTORY OF AVIATION</t>
  </si>
  <si>
    <t>LAK-12</t>
  </si>
  <si>
    <t>PDPS PZL-BIELSKO</t>
  </si>
  <si>
    <t>SZD-55-1</t>
  </si>
  <si>
    <t>SPORTAVIA-PUTZER</t>
  </si>
  <si>
    <t>FOURNIER R.F.4.D</t>
  </si>
  <si>
    <t>PIK 20E</t>
  </si>
  <si>
    <t>ASW 27-18 E</t>
  </si>
  <si>
    <t>38019VP</t>
  </si>
  <si>
    <t>DISCUS A</t>
  </si>
  <si>
    <t>SZD-48-3</t>
  </si>
  <si>
    <t>VENTUS 2CM</t>
  </si>
  <si>
    <t>05615YH</t>
  </si>
  <si>
    <t>AMS FLIGHT D O O</t>
  </si>
  <si>
    <t>CARAT A</t>
  </si>
  <si>
    <t>FLUG &amp; FAHRZEUGWERKE</t>
  </si>
  <si>
    <t>FFA HBV-DIAMANT 16.5</t>
  </si>
  <si>
    <t>G102 CLUB ASTIR IIIB</t>
  </si>
  <si>
    <t>05640T1</t>
  </si>
  <si>
    <t>JS3 RES</t>
  </si>
  <si>
    <t>MOLINO OY</t>
  </si>
  <si>
    <t>PIK-20B</t>
  </si>
  <si>
    <t>SGS 1-23H-15</t>
  </si>
  <si>
    <t>SGU 2-22</t>
  </si>
  <si>
    <t>SGU 2-22CK</t>
  </si>
  <si>
    <t>TG3A</t>
  </si>
  <si>
    <t>05605ML</t>
  </si>
  <si>
    <t>DIAMOND AIRCRAFT INDUSTRIES</t>
  </si>
  <si>
    <t>HK 36 TTC</t>
  </si>
  <si>
    <t>ASW-24B</t>
  </si>
  <si>
    <t>B-4</t>
  </si>
  <si>
    <t>GLASER-DIRKS FLUGZEUGBAU</t>
  </si>
  <si>
    <t>DG-100G</t>
  </si>
  <si>
    <t>056115X</t>
  </si>
  <si>
    <t>GLASFLUGEL 304C</t>
  </si>
  <si>
    <t>H 301 B LIBELLE</t>
  </si>
  <si>
    <t>WSK PZL-KROSNO</t>
  </si>
  <si>
    <t>KR-03A</t>
  </si>
  <si>
    <t>SGS 1-23</t>
  </si>
  <si>
    <t>SGS 2-8</t>
  </si>
  <si>
    <t>SZD-59</t>
  </si>
  <si>
    <t>VENTUS C</t>
  </si>
  <si>
    <t>HOFFMAN-FLUGZEUGBAU</t>
  </si>
  <si>
    <t>H 36 DIMONA</t>
  </si>
  <si>
    <t>SCHEMPP-HIRTH FLUGZEUGBAU GMBH</t>
  </si>
  <si>
    <t>VENTUS 3F</t>
  </si>
  <si>
    <t>B4-PC11AF</t>
  </si>
  <si>
    <t>DISCUS 2A</t>
  </si>
  <si>
    <t>LS-6B</t>
  </si>
  <si>
    <t>38019VJ</t>
  </si>
  <si>
    <t>MINI-NIMBUS HS7</t>
  </si>
  <si>
    <t>STEMME GMBH &amp; CO KG</t>
  </si>
  <si>
    <t>S10-V</t>
  </si>
  <si>
    <t>DG-FLUGZEUGBAU GMBH</t>
  </si>
  <si>
    <t>DG-808 C</t>
  </si>
  <si>
    <t>SPORTAVIA PUTZER</t>
  </si>
  <si>
    <t>RF5B SPERBER</t>
  </si>
  <si>
    <t>ASW-20BL</t>
  </si>
  <si>
    <t>BERKSHIRE MFG. CORP.</t>
  </si>
  <si>
    <t>CONCEPT 70</t>
  </si>
  <si>
    <t>DG-200</t>
  </si>
  <si>
    <t>G103C TWIN III ACRO</t>
  </si>
  <si>
    <t>056321V</t>
  </si>
  <si>
    <t>JS1-C</t>
  </si>
  <si>
    <t>K. G NIMBUS II</t>
  </si>
  <si>
    <t>L13 AC BLANIK</t>
  </si>
  <si>
    <t>ROLLADEN SCHNEIDER</t>
  </si>
  <si>
    <t>LS-8A</t>
  </si>
  <si>
    <t>PIK-20</t>
  </si>
  <si>
    <t>ARLINGTON</t>
  </si>
  <si>
    <t>SISU 1A</t>
  </si>
  <si>
    <t>VENTUS 2A</t>
  </si>
  <si>
    <t>VENTUS BT</t>
  </si>
  <si>
    <t>SZD-45A OGAR</t>
  </si>
  <si>
    <t>05638VE</t>
  </si>
  <si>
    <t>VENTUS 3M</t>
  </si>
  <si>
    <t>05619HV</t>
  </si>
  <si>
    <t>STEMME S 10-VT</t>
  </si>
  <si>
    <t>05637VC</t>
  </si>
  <si>
    <t>SPORTINE AVIACIJA IR KO</t>
  </si>
  <si>
    <t>LAK-17B FES MINI</t>
  </si>
  <si>
    <t>304CZ-17</t>
  </si>
  <si>
    <t>ASK 21 B</t>
  </si>
  <si>
    <t>ASTIR CS</t>
  </si>
  <si>
    <t>50901FB</t>
  </si>
  <si>
    <t>BOWLUS</t>
  </si>
  <si>
    <t>BA-100</t>
  </si>
  <si>
    <t>G102 STANDARD III</t>
  </si>
  <si>
    <t>JANTAR-2A-SZD 42-1</t>
  </si>
  <si>
    <t>38019VD</t>
  </si>
  <si>
    <t>SCHEMPP-HIRTH K G</t>
  </si>
  <si>
    <t>MINI-NIMBUS C</t>
  </si>
  <si>
    <t>NIMBUS 3</t>
  </si>
  <si>
    <t>BOLKOW</t>
  </si>
  <si>
    <t>PHOEBUS A-1</t>
  </si>
  <si>
    <t>PIK-20E</t>
  </si>
  <si>
    <t>ZAKLAD SZYBOWCOWY JEZOW</t>
  </si>
  <si>
    <t>PW-6U</t>
  </si>
  <si>
    <t>SGS 1-34R</t>
  </si>
  <si>
    <t>SHK1</t>
  </si>
  <si>
    <t>SPEED ASTIR II</t>
  </si>
  <si>
    <t>SZD-51-1 JUNIOR</t>
  </si>
  <si>
    <t>SLINGSBY</t>
  </si>
  <si>
    <t>T59D KESTREL 19</t>
  </si>
  <si>
    <t>DUO DISCUS T</t>
  </si>
  <si>
    <t>VENTUS 2CT</t>
  </si>
  <si>
    <t>060009U</t>
  </si>
  <si>
    <t>PHOENIX U15</t>
  </si>
  <si>
    <t>06001C8</t>
  </si>
  <si>
    <t>PIPISTREL D O O</t>
  </si>
  <si>
    <t>SINUS 912</t>
  </si>
  <si>
    <t>06001B6</t>
  </si>
  <si>
    <t>PIPISTREL ITALIA S R L</t>
  </si>
  <si>
    <t>SINUS 912 LSA</t>
  </si>
  <si>
    <t>05610XT</t>
  </si>
  <si>
    <t>AC-4C</t>
  </si>
  <si>
    <t>38015F1</t>
  </si>
  <si>
    <t>ASH-25</t>
  </si>
  <si>
    <t>ASW 27</t>
  </si>
  <si>
    <t>38015H2</t>
  </si>
  <si>
    <t>ASW-15B</t>
  </si>
  <si>
    <t>ASW-17</t>
  </si>
  <si>
    <t>ASW-20L</t>
  </si>
  <si>
    <t>056101F</t>
  </si>
  <si>
    <t>ASW-27B</t>
  </si>
  <si>
    <t>05613I6</t>
  </si>
  <si>
    <t>PZL-BIELSKO</t>
  </si>
  <si>
    <t>B1-PW-5</t>
  </si>
  <si>
    <t>DART T.51</t>
  </si>
  <si>
    <t>AMS-FLIGHT DOO</t>
  </si>
  <si>
    <t>05610BX</t>
  </si>
  <si>
    <t>DG-800S</t>
  </si>
  <si>
    <t>START &amp; FLUG GMBH.</t>
  </si>
  <si>
    <t>H101 "SALTO"</t>
  </si>
  <si>
    <t>ICA BRASOV</t>
  </si>
  <si>
    <t>IS-29D2</t>
  </si>
  <si>
    <t>SCHEIBE</t>
  </si>
  <si>
    <t>L SPATZ III</t>
  </si>
  <si>
    <t>L SPATZ-55</t>
  </si>
  <si>
    <t>LAISTER SAILPLANE INC.</t>
  </si>
  <si>
    <t>LP-15</t>
  </si>
  <si>
    <t>LAISTER SAILPLANE PRODUCTS</t>
  </si>
  <si>
    <t>LP-49</t>
  </si>
  <si>
    <t>LS-1C</t>
  </si>
  <si>
    <t>SGS 1-23D</t>
  </si>
  <si>
    <t>SGS 1-23G</t>
  </si>
  <si>
    <t>SGS 1-23H</t>
  </si>
  <si>
    <t>SGU 2-22EK</t>
  </si>
  <si>
    <t>056191J</t>
  </si>
  <si>
    <t>WINDWARD PERFORMANCE LLC</t>
  </si>
  <si>
    <t>SPARROW HAWK</t>
  </si>
  <si>
    <t>STANDARD AUSTRIA SH1</t>
  </si>
  <si>
    <t>VENTUS A</t>
  </si>
  <si>
    <t>38015GW</t>
  </si>
  <si>
    <t>ASK-14</t>
  </si>
  <si>
    <t>DG-500M</t>
  </si>
  <si>
    <t>05606TJ</t>
  </si>
  <si>
    <t>DIAMOND AIRCRAFT IND GMBH</t>
  </si>
  <si>
    <t>HK 36 TC</t>
  </si>
  <si>
    <t>S-10</t>
  </si>
  <si>
    <t>05614KH</t>
  </si>
  <si>
    <t>SILENT-IN</t>
  </si>
  <si>
    <t>AS 33ES</t>
  </si>
  <si>
    <t>060008X</t>
  </si>
  <si>
    <t>PIPISTREL LSA SRL</t>
  </si>
  <si>
    <t>TAURUS</t>
  </si>
  <si>
    <t>05640DH</t>
  </si>
  <si>
    <t>VIRUS SW 128</t>
  </si>
  <si>
    <t>BERGFALKE II-55</t>
  </si>
  <si>
    <t>DG 600</t>
  </si>
  <si>
    <t>SCHEMPP HIRTH</t>
  </si>
  <si>
    <t>G103C TWIN III SL</t>
  </si>
  <si>
    <t>HPH SPOL SRO KUTNA HORA</t>
  </si>
  <si>
    <t>GLASFLUGEL 304CZ-17</t>
  </si>
  <si>
    <t>HBV DIAMANT 18</t>
  </si>
  <si>
    <t>056280S</t>
  </si>
  <si>
    <t>JONKER SAILPLANES CC</t>
  </si>
  <si>
    <t>JS 1B</t>
  </si>
  <si>
    <t>L-13 BLANIK</t>
  </si>
  <si>
    <t>LS 7</t>
  </si>
  <si>
    <t>ZAKLADY LOTNICZE MARGANSKI &amp;</t>
  </si>
  <si>
    <t>MDM-1 FOX</t>
  </si>
  <si>
    <t>05601PM</t>
  </si>
  <si>
    <t>MARGANSKI EDWARD</t>
  </si>
  <si>
    <t>38019VH</t>
  </si>
  <si>
    <t>MINI-NIMBUS B</t>
  </si>
  <si>
    <t>NIMBUS 3/24.5</t>
  </si>
  <si>
    <t>PHOEBUS</t>
  </si>
  <si>
    <t>PRATT READ</t>
  </si>
  <si>
    <t>PR-G1</t>
  </si>
  <si>
    <t>SPEED ASTIR II B</t>
  </si>
  <si>
    <t>PEZETEL</t>
  </si>
  <si>
    <t>SZD-48-1JANTAR STD 2</t>
  </si>
  <si>
    <t>SZD-50-3</t>
  </si>
  <si>
    <t>GROB-WERKE GMBH AND CO KG</t>
  </si>
  <si>
    <t>TWIN ASTIR</t>
  </si>
  <si>
    <t>TYPE 21B SEDBERGH</t>
  </si>
  <si>
    <t>VENTUS A/16.6</t>
  </si>
  <si>
    <t>APPLEBAY SAILPLANES</t>
  </si>
  <si>
    <t>ZUNI</t>
  </si>
  <si>
    <t>380135X</t>
  </si>
  <si>
    <t>SF-28A TANDEM-FALKE</t>
  </si>
  <si>
    <t>VENTUS CM</t>
  </si>
  <si>
    <t>DISCUS-2CT</t>
  </si>
  <si>
    <t>05635OG</t>
  </si>
  <si>
    <t>HPH SPOL SRO</t>
  </si>
  <si>
    <t>GLASFLUGEL 304 MS</t>
  </si>
  <si>
    <t>056255F</t>
  </si>
  <si>
    <t>PIPISTREL</t>
  </si>
  <si>
    <t>TAURUS 503</t>
  </si>
  <si>
    <t>DISCUS-2C FES</t>
  </si>
  <si>
    <t>101AP</t>
  </si>
  <si>
    <t>ARCUS</t>
  </si>
  <si>
    <t>38015HR</t>
  </si>
  <si>
    <t>AS-W12</t>
  </si>
  <si>
    <t>38015F2</t>
  </si>
  <si>
    <t>ASH-25E</t>
  </si>
  <si>
    <t>38015G0</t>
  </si>
  <si>
    <t>ASK 23B</t>
  </si>
  <si>
    <t>ASW-22</t>
  </si>
  <si>
    <t>ASW-22BL</t>
  </si>
  <si>
    <t>05615KK</t>
  </si>
  <si>
    <t>D W L K K</t>
  </si>
  <si>
    <t>CLUB LIBELLE 205</t>
  </si>
  <si>
    <t>AMS-FLIGHT D.O.O.</t>
  </si>
  <si>
    <t>DG-500 ELAN ORION</t>
  </si>
  <si>
    <t>DIAMANT 16.5</t>
  </si>
  <si>
    <t>DISCUS 2C</t>
  </si>
  <si>
    <t>G102 STD ASTIR III</t>
  </si>
  <si>
    <t>05633L4</t>
  </si>
  <si>
    <t>056118I</t>
  </si>
  <si>
    <t>K 6 CR</t>
  </si>
  <si>
    <t>KA 7</t>
  </si>
  <si>
    <t>AIRCRAFT INDUSTRIES AS</t>
  </si>
  <si>
    <t>L23 SUPER BLANIK</t>
  </si>
  <si>
    <t>AER-PEGASO</t>
  </si>
  <si>
    <t>M-100S</t>
  </si>
  <si>
    <t>NIMBUS 4</t>
  </si>
  <si>
    <t>38019VF</t>
  </si>
  <si>
    <t>NIMBUS II</t>
  </si>
  <si>
    <t>SCHEMPP-HIRTH K.G.</t>
  </si>
  <si>
    <t>NIMBUS-2C</t>
  </si>
  <si>
    <t>PHOEBUS C</t>
  </si>
  <si>
    <t>PHOEBUS C-1</t>
  </si>
  <si>
    <t>SWIFT LTD</t>
  </si>
  <si>
    <t>S1</t>
  </si>
  <si>
    <t>SGU-1-20</t>
  </si>
  <si>
    <t>STANDARD AUSTRIA S</t>
  </si>
  <si>
    <t>JASTREB</t>
  </si>
  <si>
    <t>STANDARD CIRRUS G/81</t>
  </si>
  <si>
    <t>SZD-36-A</t>
  </si>
  <si>
    <t>S.Z.D.</t>
  </si>
  <si>
    <t>SZD-48 JANTAR STD 2</t>
  </si>
  <si>
    <t>SZD-56-1 DIANA</t>
  </si>
  <si>
    <t>056195K</t>
  </si>
  <si>
    <t>SLINGSBY ENGINEERING LTD</t>
  </si>
  <si>
    <t>T65D</t>
  </si>
  <si>
    <t>GROB-WERKE</t>
  </si>
  <si>
    <t>TYPE T-50 SKYLARK 4</t>
  </si>
  <si>
    <t>VENTUS 2C</t>
  </si>
  <si>
    <t>ASW-24E</t>
  </si>
  <si>
    <t>DG-400M/17</t>
  </si>
  <si>
    <t>AEROTECHNIK</t>
  </si>
  <si>
    <t>L-13 SEH VIVAT</t>
  </si>
  <si>
    <t>ISSOIRE SIREN</t>
  </si>
  <si>
    <t>PIK-30</t>
  </si>
  <si>
    <t>05612GC</t>
  </si>
  <si>
    <t>URBAN</t>
  </si>
  <si>
    <t>UFM 13 LAMBADA</t>
  </si>
  <si>
    <t>DG-800A</t>
  </si>
  <si>
    <t>05633P8</t>
  </si>
  <si>
    <t>PIPISTREL D O O AJDOVSCINA</t>
  </si>
  <si>
    <t>06001DC</t>
  </si>
  <si>
    <t>PURE FLIGHT S R O</t>
  </si>
  <si>
    <t>05641KC</t>
  </si>
  <si>
    <t>ASK 21 MI</t>
  </si>
  <si>
    <t>05606J0</t>
  </si>
  <si>
    <t>304CZ</t>
  </si>
  <si>
    <t>05626CZ</t>
  </si>
  <si>
    <t>AC COOPERATIVE</t>
  </si>
  <si>
    <t>05606VJ</t>
  </si>
  <si>
    <t>TST-3</t>
  </si>
  <si>
    <t>ALPIN T</t>
  </si>
  <si>
    <t>AMT-300</t>
  </si>
  <si>
    <t>APIS M</t>
  </si>
  <si>
    <t>ARCUS T</t>
  </si>
  <si>
    <t>SCHLIECHER</t>
  </si>
  <si>
    <t>ASW-20CL</t>
  </si>
  <si>
    <t>BERGFALKE-III</t>
  </si>
  <si>
    <t>79001B1</t>
  </si>
  <si>
    <t>BRIEGLEB</t>
  </si>
  <si>
    <t>BG-12A</t>
  </si>
  <si>
    <t>50901U3</t>
  </si>
  <si>
    <t>LAISTER-KAUFFMANN</t>
  </si>
  <si>
    <t>BOWLUS BA-100</t>
  </si>
  <si>
    <t>38003FB</t>
  </si>
  <si>
    <t>BS-1</t>
  </si>
  <si>
    <t>CAPRONI VIZZOLA</t>
  </si>
  <si>
    <t>CALIF A-21</t>
  </si>
  <si>
    <t>DG-100</t>
  </si>
  <si>
    <t>ELAN TOVARNA SPORTNEGA ORODJA</t>
  </si>
  <si>
    <t>DG-100G ELAN</t>
  </si>
  <si>
    <t>DG-200/17C</t>
  </si>
  <si>
    <t>DG-202</t>
  </si>
  <si>
    <t>DISCUS 2T</t>
  </si>
  <si>
    <t>05627DY</t>
  </si>
  <si>
    <t>GLASFLUGEL 304S</t>
  </si>
  <si>
    <t>05633NK</t>
  </si>
  <si>
    <t>056387C</t>
  </si>
  <si>
    <t>PESZKE S C</t>
  </si>
  <si>
    <t>GP 10/15M</t>
  </si>
  <si>
    <t>05601R4</t>
  </si>
  <si>
    <t>GEHRLEIN</t>
  </si>
  <si>
    <t>GP-1</t>
  </si>
  <si>
    <t>GROB G 103A TWIN II</t>
  </si>
  <si>
    <t>DOKTOR FIBERGLAS</t>
  </si>
  <si>
    <t>H101 SALTO</t>
  </si>
  <si>
    <t>HORNET C</t>
  </si>
  <si>
    <t>05603EF</t>
  </si>
  <si>
    <t>BRYAN</t>
  </si>
  <si>
    <t>HP-11-A</t>
  </si>
  <si>
    <t>IS-29D</t>
  </si>
  <si>
    <t>056260V</t>
  </si>
  <si>
    <t>JS 1A</t>
  </si>
  <si>
    <t>AB FLYGINDUSTRI</t>
  </si>
  <si>
    <t>JS WEIHE</t>
  </si>
  <si>
    <t>KA 2B</t>
  </si>
  <si>
    <t>KA 6</t>
  </si>
  <si>
    <t>KA 6 BR</t>
  </si>
  <si>
    <t>KA 6 CR-PE</t>
  </si>
  <si>
    <t>KA 8 B</t>
  </si>
  <si>
    <t>KA2</t>
  </si>
  <si>
    <t>38019VL</t>
  </si>
  <si>
    <t>KA8B</t>
  </si>
  <si>
    <t>05631PN</t>
  </si>
  <si>
    <t>LAK-17B FES</t>
  </si>
  <si>
    <t>WOLF HIRTH</t>
  </si>
  <si>
    <t>LO-150</t>
  </si>
  <si>
    <t>LAISTER SAILPLANES INC .</t>
  </si>
  <si>
    <t>LP-15B</t>
  </si>
  <si>
    <t>05627PP</t>
  </si>
  <si>
    <t>LS 10-S</t>
  </si>
  <si>
    <t>05624PK</t>
  </si>
  <si>
    <t>ROLLADEN-SCHNEIDER-FLUGZEUBAU</t>
  </si>
  <si>
    <t>LS-1D</t>
  </si>
  <si>
    <t>ROLLADEN SCHNEIDER OHG</t>
  </si>
  <si>
    <t>LS-3-17</t>
  </si>
  <si>
    <t>LS-6A</t>
  </si>
  <si>
    <t>LS-6C</t>
  </si>
  <si>
    <t>CARMAM S A</t>
  </si>
  <si>
    <t>M-200</t>
  </si>
  <si>
    <t>MDM-1P FOX-P</t>
  </si>
  <si>
    <t>OBERLERCHNER</t>
  </si>
  <si>
    <t>MG23SL</t>
  </si>
  <si>
    <t>MOSQUITO B</t>
  </si>
  <si>
    <t>NIMBUS 3T</t>
  </si>
  <si>
    <t>05647RL</t>
  </si>
  <si>
    <t>S.A.CENTRAIR</t>
  </si>
  <si>
    <t>PEGASE 101</t>
  </si>
  <si>
    <t>PHOEBUS B-1</t>
  </si>
  <si>
    <t>WAGGON-UND MASCHINENBAU</t>
  </si>
  <si>
    <t>PHOEBUS B1</t>
  </si>
  <si>
    <t>PIK 20</t>
  </si>
  <si>
    <t>FRANKLIN GLIDER</t>
  </si>
  <si>
    <t>PS-2</t>
  </si>
  <si>
    <t>056227B</t>
  </si>
  <si>
    <t>DWLKK</t>
  </si>
  <si>
    <t>PW-2D GAPA D</t>
  </si>
  <si>
    <t>05620QP</t>
  </si>
  <si>
    <t>ACFT COMP STRUCT DEVLP &amp; PROD</t>
  </si>
  <si>
    <t>PW2D GAPA D</t>
  </si>
  <si>
    <t>VLIEGTUIGBOUW</t>
  </si>
  <si>
    <t>SAGITTA-013</t>
  </si>
  <si>
    <t>SF-34</t>
  </si>
  <si>
    <t>05615JV</t>
  </si>
  <si>
    <t>COLE GREGORY M</t>
  </si>
  <si>
    <t>05901NB</t>
  </si>
  <si>
    <t>05610WV</t>
  </si>
  <si>
    <t>PZL BIELSKO</t>
  </si>
  <si>
    <t>SZD 55-1</t>
  </si>
  <si>
    <t>SZD-42-1 JANTAR 2</t>
  </si>
  <si>
    <t>SZD-42-2 JANTAR 2B</t>
  </si>
  <si>
    <t>T-53B</t>
  </si>
  <si>
    <t>VICKERS-SLINGSBY</t>
  </si>
  <si>
    <t>T65A</t>
  </si>
  <si>
    <t>FRANKFORT</t>
  </si>
  <si>
    <t>TG-1A</t>
  </si>
  <si>
    <t>PIPER</t>
  </si>
  <si>
    <t>TG-8</t>
  </si>
  <si>
    <t>VENTUS 2B</t>
  </si>
  <si>
    <t>ZUGVOGEL IIIB</t>
  </si>
  <si>
    <t>ZUNI II</t>
  </si>
  <si>
    <t>1CA-BRASOV</t>
  </si>
  <si>
    <t>1S-28M2</t>
  </si>
  <si>
    <t>38015EZ</t>
  </si>
  <si>
    <t>ASH25M</t>
  </si>
  <si>
    <t>056293Z</t>
  </si>
  <si>
    <t>DG-1000M</t>
  </si>
  <si>
    <t>LANGE FLUGZEUGBAU GMBH</t>
  </si>
  <si>
    <t>E1 ANTARES</t>
  </si>
  <si>
    <t>L13 SE VIVAT</t>
  </si>
  <si>
    <t>05621MO</t>
  </si>
  <si>
    <t>SPORTINE AVIACIJA JSC</t>
  </si>
  <si>
    <t>LAK-17AT</t>
  </si>
  <si>
    <t>SIREN</t>
  </si>
  <si>
    <t>PIK-20E2F</t>
  </si>
  <si>
    <t>05632MG</t>
  </si>
  <si>
    <t>S6-RT</t>
  </si>
  <si>
    <t>SF-25C</t>
  </si>
  <si>
    <t>SF-25E SUPER-FALKE</t>
  </si>
  <si>
    <t>SFS31</t>
  </si>
  <si>
    <t>05617MP</t>
  </si>
  <si>
    <t>SILENT 2</t>
  </si>
  <si>
    <t>05622Q1</t>
  </si>
  <si>
    <t>SILENT 2 TARGA</t>
  </si>
  <si>
    <t>05640DX</t>
  </si>
  <si>
    <t>CALIF A-21SJ</t>
  </si>
  <si>
    <t>APIS MC</t>
  </si>
  <si>
    <t>DG-1000T</t>
  </si>
  <si>
    <t>DG-500MB</t>
  </si>
  <si>
    <t>VENTUS 3T</t>
  </si>
  <si>
    <t>BINDER MOTORENBAU GMBH</t>
  </si>
  <si>
    <t>EB29R</t>
  </si>
  <si>
    <t>056118G</t>
  </si>
  <si>
    <t>W D FLUGZEUGLEICHTBAU GMBH</t>
  </si>
  <si>
    <t>FASCINATION D4 BK</t>
  </si>
  <si>
    <t>HOAC-AUSTRIA</t>
  </si>
  <si>
    <t>HK 36R SUPER DIMONA</t>
  </si>
  <si>
    <t>060003N</t>
  </si>
  <si>
    <t>SAMBA XXL</t>
  </si>
  <si>
    <t>06001CH</t>
  </si>
  <si>
    <t>TAURUS ELECTRO G2</t>
  </si>
  <si>
    <t>AVIONIC SP JAWNA B KAWIK-L MAT</t>
  </si>
  <si>
    <t>SZD-56-3 DIANA-2 FES</t>
  </si>
  <si>
    <t>06001C3</t>
  </si>
  <si>
    <t>05639WJ</t>
  </si>
  <si>
    <t>05628AB</t>
  </si>
  <si>
    <t>OLYMPIA</t>
  </si>
  <si>
    <t>056022Z</t>
  </si>
  <si>
    <t>RHONBUSSARD</t>
  </si>
  <si>
    <t>101B</t>
  </si>
  <si>
    <t>101RC</t>
  </si>
  <si>
    <t>05634OQ</t>
  </si>
  <si>
    <t>GERARD J GROSS</t>
  </si>
  <si>
    <t>13 METER WOODSTOCK</t>
  </si>
  <si>
    <t>05647DC</t>
  </si>
  <si>
    <t>SJOSTEDT ROB J</t>
  </si>
  <si>
    <t>15 METER</t>
  </si>
  <si>
    <t>05602MV</t>
  </si>
  <si>
    <t>LIBELLE</t>
  </si>
  <si>
    <t>201B</t>
  </si>
  <si>
    <t>PRUE IRVING O</t>
  </si>
  <si>
    <t>215-A</t>
  </si>
  <si>
    <t>303 ELAN</t>
  </si>
  <si>
    <t>412B</t>
  </si>
  <si>
    <t>SLINGSBY SAILPLANES LTD</t>
  </si>
  <si>
    <t>433B</t>
  </si>
  <si>
    <t>05621YP</t>
  </si>
  <si>
    <t>SOCIETE ANONYME DES ATELIERS D</t>
  </si>
  <si>
    <t>905 S FAUVETTE</t>
  </si>
  <si>
    <t>056117L</t>
  </si>
  <si>
    <t>AC-4</t>
  </si>
  <si>
    <t>05641S5</t>
  </si>
  <si>
    <t>ZOBELL EDWARD ALEXANDRE</t>
  </si>
  <si>
    <t>AC-4KC</t>
  </si>
  <si>
    <t>056062X</t>
  </si>
  <si>
    <t>AC-4M</t>
  </si>
  <si>
    <t>056121H</t>
  </si>
  <si>
    <t>MURPHY D G/MURPHY C P</t>
  </si>
  <si>
    <t>AC4-C</t>
  </si>
  <si>
    <t>05903C3</t>
  </si>
  <si>
    <t>WHITEHURST JAMES W</t>
  </si>
  <si>
    <t>AM2GL</t>
  </si>
  <si>
    <t>EMLEY MARC D</t>
  </si>
  <si>
    <t>AMERICAN FALCON</t>
  </si>
  <si>
    <t>056027J</t>
  </si>
  <si>
    <t>WATSON RAY S</t>
  </si>
  <si>
    <t>AMERICAN SPIRIT</t>
  </si>
  <si>
    <t>05605TL</t>
  </si>
  <si>
    <t>RILEY THOMAS V</t>
  </si>
  <si>
    <t>05612QI</t>
  </si>
  <si>
    <t>RETTIG FRED</t>
  </si>
  <si>
    <t>05625FR</t>
  </si>
  <si>
    <t>MATE PETER</t>
  </si>
  <si>
    <t>05625R5</t>
  </si>
  <si>
    <t>BRUCE ROBERT</t>
  </si>
  <si>
    <t>056275I</t>
  </si>
  <si>
    <t>LANGE AVIATION</t>
  </si>
  <si>
    <t>ANTARES 20E</t>
  </si>
  <si>
    <t>05615CB</t>
  </si>
  <si>
    <t>ZIASKAS MICHAEL C</t>
  </si>
  <si>
    <t>APIS 13</t>
  </si>
  <si>
    <t>05620Z6</t>
  </si>
  <si>
    <t>SCOTT JOHN D</t>
  </si>
  <si>
    <t>APIS 13 METER</t>
  </si>
  <si>
    <t>056141N</t>
  </si>
  <si>
    <t>MUDD ROBERT/APIS SAILPLANES IN</t>
  </si>
  <si>
    <t>APIS 13M</t>
  </si>
  <si>
    <t>05622EI</t>
  </si>
  <si>
    <t>LUTEN ROBERT H</t>
  </si>
  <si>
    <t>05601ZH</t>
  </si>
  <si>
    <t>AS+</t>
  </si>
  <si>
    <t>AS-4</t>
  </si>
  <si>
    <t>056148G</t>
  </si>
  <si>
    <t>ASK 18</t>
  </si>
  <si>
    <t>38015GZ</t>
  </si>
  <si>
    <t>ASK-23</t>
  </si>
  <si>
    <t>BURKHARD GROB WERKE GMBH&amp;CO KG</t>
  </si>
  <si>
    <t>GROB</t>
  </si>
  <si>
    <t>GROB-WERKE GMBH CO KG</t>
  </si>
  <si>
    <t>ASTIR CS JEAN</t>
  </si>
  <si>
    <t>ASTIR CS-77</t>
  </si>
  <si>
    <t>ASW 28 B</t>
  </si>
  <si>
    <t>056248Y</t>
  </si>
  <si>
    <t>DELTA RAFAL MIKKE</t>
  </si>
  <si>
    <t>B1-PW-5 SPECIAL</t>
  </si>
  <si>
    <t>05612IX</t>
  </si>
  <si>
    <t>BERGFALKE IV</t>
  </si>
  <si>
    <t>MCELWEE WILLIAM R</t>
  </si>
  <si>
    <t>BG 12 BD</t>
  </si>
  <si>
    <t>79001S2</t>
  </si>
  <si>
    <t>BG 12B</t>
  </si>
  <si>
    <t>79001FT</t>
  </si>
  <si>
    <t>BREIGLEB</t>
  </si>
  <si>
    <t>BG-12B</t>
  </si>
  <si>
    <t>05632Z0</t>
  </si>
  <si>
    <t>WILLIAM R BRIEGLEB</t>
  </si>
  <si>
    <t>BG-6</t>
  </si>
  <si>
    <t>79001KZ</t>
  </si>
  <si>
    <t>BG-7</t>
  </si>
  <si>
    <t>79001Z3</t>
  </si>
  <si>
    <t>VAL CSATAR</t>
  </si>
  <si>
    <t>BG12B</t>
  </si>
  <si>
    <t>79001F6</t>
  </si>
  <si>
    <t>BG12BD</t>
  </si>
  <si>
    <t>79001NC</t>
  </si>
  <si>
    <t>BRIEGLEB-NICHOLS</t>
  </si>
  <si>
    <t>BGN 112</t>
  </si>
  <si>
    <t>05647CN</t>
  </si>
  <si>
    <t>PORTER HALBERT H</t>
  </si>
  <si>
    <t>BJ-1B</t>
  </si>
  <si>
    <t>LESHER</t>
  </si>
  <si>
    <t>BJ-1B DUSTER</t>
  </si>
  <si>
    <t>05629AX</t>
  </si>
  <si>
    <t>SINCLAIR</t>
  </si>
  <si>
    <t>05647CC</t>
  </si>
  <si>
    <t>BELL DOUGLAS A</t>
  </si>
  <si>
    <t>05647GQ</t>
  </si>
  <si>
    <t>WAY HOWARD S</t>
  </si>
  <si>
    <t>05647W7</t>
  </si>
  <si>
    <t>05675T9</t>
  </si>
  <si>
    <t>WEBSTER WILLIAM J</t>
  </si>
  <si>
    <t>05626NK</t>
  </si>
  <si>
    <t>HILLARY DENNIS S</t>
  </si>
  <si>
    <t>BJ1-B DUSTER</t>
  </si>
  <si>
    <t>05647HA</t>
  </si>
  <si>
    <t>WOOD JAMES S</t>
  </si>
  <si>
    <t>BJ1B</t>
  </si>
  <si>
    <t>05675ES</t>
  </si>
  <si>
    <t>WOLFE DONALD EUGENE</t>
  </si>
  <si>
    <t>BJ1B DUSTER</t>
  </si>
  <si>
    <t>05641BE</t>
  </si>
  <si>
    <t>AKAD FLUGGRUPPE</t>
  </si>
  <si>
    <t>BRAUNSCHWEIG SB-7</t>
  </si>
  <si>
    <t>79001AQ</t>
  </si>
  <si>
    <t>BRANDES</t>
  </si>
  <si>
    <t>BRIEGLEB BG-12</t>
  </si>
  <si>
    <t>79001FZ</t>
  </si>
  <si>
    <t>PHEFFER-CHANEY</t>
  </si>
  <si>
    <t>BRIEGLEB BG-12BD</t>
  </si>
  <si>
    <t>SPEALMAN</t>
  </si>
  <si>
    <t>BRIEGLEB BG12-16</t>
  </si>
  <si>
    <t>WILLIAMS</t>
  </si>
  <si>
    <t>BRYAN ACFT RS-15</t>
  </si>
  <si>
    <t>05647GN</t>
  </si>
  <si>
    <t>CONCEPT SAILPLANE MFG INC</t>
  </si>
  <si>
    <t>C-70</t>
  </si>
  <si>
    <t>BAKER MCMILLEN</t>
  </si>
  <si>
    <t>CADET II</t>
  </si>
  <si>
    <t>CALIF A 21 S</t>
  </si>
  <si>
    <t>REE SAILPLANE</t>
  </si>
  <si>
    <t>CHEROKEE II</t>
  </si>
  <si>
    <t>05647N7</t>
  </si>
  <si>
    <t>GRIMM</t>
  </si>
  <si>
    <t>406012R</t>
  </si>
  <si>
    <t>MACDONALD</t>
  </si>
  <si>
    <t>40601BR</t>
  </si>
  <si>
    <t>BROWN WALLACE</t>
  </si>
  <si>
    <t>406014T</t>
  </si>
  <si>
    <t>REE</t>
  </si>
  <si>
    <t>CHEROKEE II RM</t>
  </si>
  <si>
    <t>05647KB</t>
  </si>
  <si>
    <t>THURMAN ARVO A</t>
  </si>
  <si>
    <t>CHEROKEE-II</t>
  </si>
  <si>
    <t>05647W4</t>
  </si>
  <si>
    <t>CLAYTON</t>
  </si>
  <si>
    <t>05631SB</t>
  </si>
  <si>
    <t>DICK BUTLER</t>
  </si>
  <si>
    <t>CONCORDIA</t>
  </si>
  <si>
    <t>CONDOR IV</t>
  </si>
  <si>
    <t>05607WO</t>
  </si>
  <si>
    <t>EAA CHAPTER 1091</t>
  </si>
  <si>
    <t>CP 1-2</t>
  </si>
  <si>
    <t>DART T.51/17R</t>
  </si>
  <si>
    <t>AMS-FLIGHT D O O</t>
  </si>
  <si>
    <t>DG 300 ELAN ACRO</t>
  </si>
  <si>
    <t>DG 500 ELAN</t>
  </si>
  <si>
    <t>DG-200/17</t>
  </si>
  <si>
    <t>GLASER-DIRKS FLUGZEUGBAU GMBH</t>
  </si>
  <si>
    <t>ELAN LINE D.O.O.</t>
  </si>
  <si>
    <t>DG-800</t>
  </si>
  <si>
    <t>DG-800M</t>
  </si>
  <si>
    <t>DG-808 S</t>
  </si>
  <si>
    <t>FLUG UND FAHRZEUGWERKE AG</t>
  </si>
  <si>
    <t>DIAMANT 18</t>
  </si>
  <si>
    <t>38019VR</t>
  </si>
  <si>
    <t>DISCUS BT</t>
  </si>
  <si>
    <t>05614K9</t>
  </si>
  <si>
    <t>ORLICAN A.S.</t>
  </si>
  <si>
    <t>05631MH</t>
  </si>
  <si>
    <t>WINDWARD PERFORMANCE LTD</t>
  </si>
  <si>
    <t>DUCK HAWK</t>
  </si>
  <si>
    <t>DUO DISCUS CS</t>
  </si>
  <si>
    <t>05647Z4</t>
  </si>
  <si>
    <t>BINDER-HERBERT</t>
  </si>
  <si>
    <t>DUSTER</t>
  </si>
  <si>
    <t>GREGOWSKI/FINGERLE</t>
  </si>
  <si>
    <t>DUSTER BJ 1B</t>
  </si>
  <si>
    <t>WAKERLEY-MCCLUSKEY</t>
  </si>
  <si>
    <t>DUSTER BJ-1B</t>
  </si>
  <si>
    <t>05647FP</t>
  </si>
  <si>
    <t>KLIMOSEWSKI JOHN</t>
  </si>
  <si>
    <t>05647LW</t>
  </si>
  <si>
    <t>PACK ALLAN A</t>
  </si>
  <si>
    <t>BATES</t>
  </si>
  <si>
    <t>DUSTER BJ1B</t>
  </si>
  <si>
    <t>TAYLOR</t>
  </si>
  <si>
    <t>05647A4</t>
  </si>
  <si>
    <t>ALEXANDER</t>
  </si>
  <si>
    <t>06102D9</t>
  </si>
  <si>
    <t>RAPIDFLIGHT HOLDINGS LLC</t>
  </si>
  <si>
    <t>E2 GLIDER</t>
  </si>
  <si>
    <t>EDELWEISS C.30.S.</t>
  </si>
  <si>
    <t>EGRETT 1</t>
  </si>
  <si>
    <t>MILLER</t>
  </si>
  <si>
    <t>EJ-1</t>
  </si>
  <si>
    <t>05611NJ</t>
  </si>
  <si>
    <t>NEUKOM A</t>
  </si>
  <si>
    <t>ELFE MN-R</t>
  </si>
  <si>
    <t>05619UL</t>
  </si>
  <si>
    <t>NEUKOM ALBERT SEGELFLUGZEUGBAU</t>
  </si>
  <si>
    <t>ELFE S 4</t>
  </si>
  <si>
    <t>056072I</t>
  </si>
  <si>
    <t>ELFE S2/3</t>
  </si>
  <si>
    <t>05615EE</t>
  </si>
  <si>
    <t>ELFE S3</t>
  </si>
  <si>
    <t>05641OC</t>
  </si>
  <si>
    <t>JOSHUA DACE KNERR</t>
  </si>
  <si>
    <t>FRANKLIN PS-2 JDK</t>
  </si>
  <si>
    <t>00301BS</t>
  </si>
  <si>
    <t>APPARATEBAU NABERN GMBH</t>
  </si>
  <si>
    <t>FS 24 PHONIX T</t>
  </si>
  <si>
    <t>AERONCA</t>
  </si>
  <si>
    <t>G-3</t>
  </si>
  <si>
    <t>G102 ASTIR CS 77</t>
  </si>
  <si>
    <t>G102 CLUB ASTIR III</t>
  </si>
  <si>
    <t>BURKHART GROB LUFT UND RAUMFAH</t>
  </si>
  <si>
    <t>G103 TWIN ASTIR TRAI</t>
  </si>
  <si>
    <t>BURKHART GROB LUFT-UND RAUMFAH</t>
  </si>
  <si>
    <t>KEIM</t>
  </si>
  <si>
    <t>GLASFLUEGEL</t>
  </si>
  <si>
    <t>05641Z8</t>
  </si>
  <si>
    <t>HPH SPOL S R O</t>
  </si>
  <si>
    <t>GLASFLUGEL 304 ES</t>
  </si>
  <si>
    <t>056145Q</t>
  </si>
  <si>
    <t>GLASFLUGEL 304-C</t>
  </si>
  <si>
    <t>05633NL</t>
  </si>
  <si>
    <t>MONAGHAN</t>
  </si>
  <si>
    <t>GLIDER</t>
  </si>
  <si>
    <t>GLIDER B</t>
  </si>
  <si>
    <t>05634MK</t>
  </si>
  <si>
    <t>GOEBEL JAMES W</t>
  </si>
  <si>
    <t>GOEBEL PIONEER 4</t>
  </si>
  <si>
    <t>HIRTH</t>
  </si>
  <si>
    <t>GOPPINGEN 3 MINAMOA</t>
  </si>
  <si>
    <t>BURKHART GROB WERKE</t>
  </si>
  <si>
    <t>GROB G 103 TWIN II</t>
  </si>
  <si>
    <t>05602RO</t>
  </si>
  <si>
    <t>REZAC J/OFFIERSKI M</t>
  </si>
  <si>
    <t>GRUNAU BABY 2B</t>
  </si>
  <si>
    <t>056280O</t>
  </si>
  <si>
    <t>ERICKSON LYNN</t>
  </si>
  <si>
    <t>GRUNAU BABY II B</t>
  </si>
  <si>
    <t>E. SCHNEIDER</t>
  </si>
  <si>
    <t>GRUNAU BABY IIB</t>
  </si>
  <si>
    <t>05608Q9</t>
  </si>
  <si>
    <t>SEGELFLUGGRUPE</t>
  </si>
  <si>
    <t>05608RI</t>
  </si>
  <si>
    <t>SALACH M</t>
  </si>
  <si>
    <t>05603HX</t>
  </si>
  <si>
    <t>DETROIT</t>
  </si>
  <si>
    <t>GULL</t>
  </si>
  <si>
    <t>05676T1</t>
  </si>
  <si>
    <t>WHIGHAM EUGENE E</t>
  </si>
  <si>
    <t>GW-7</t>
  </si>
  <si>
    <t>H 201 B</t>
  </si>
  <si>
    <t>056751D</t>
  </si>
  <si>
    <t>DEHAAN DONALD A</t>
  </si>
  <si>
    <t>H.P.-16</t>
  </si>
  <si>
    <t>URSULA HANLE</t>
  </si>
  <si>
    <t>BURR</t>
  </si>
  <si>
    <t>HB-2</t>
  </si>
  <si>
    <t>HORNET</t>
  </si>
  <si>
    <t>05618OB</t>
  </si>
  <si>
    <t>NUTALL DANA</t>
  </si>
  <si>
    <t>HP 18</t>
  </si>
  <si>
    <t>SCHREDER</t>
  </si>
  <si>
    <t>HP-11</t>
  </si>
  <si>
    <t>HELMICK</t>
  </si>
  <si>
    <t>HP-11A</t>
  </si>
  <si>
    <t>PERINE-GUDE</t>
  </si>
  <si>
    <t>056030D</t>
  </si>
  <si>
    <t>PERES-SCHREDER</t>
  </si>
  <si>
    <t>056035A</t>
  </si>
  <si>
    <t>BIENENSTEIN-SCHREDER</t>
  </si>
  <si>
    <t>056035D</t>
  </si>
  <si>
    <t>056035E</t>
  </si>
  <si>
    <t>056035J</t>
  </si>
  <si>
    <t>056035R</t>
  </si>
  <si>
    <t>056034L</t>
  </si>
  <si>
    <t>RIVA-SCHREDER</t>
  </si>
  <si>
    <t>HP-13</t>
  </si>
  <si>
    <t>05603A0</t>
  </si>
  <si>
    <t>AIRMATE</t>
  </si>
  <si>
    <t>HP-13-H</t>
  </si>
  <si>
    <t>RUEHLE</t>
  </si>
  <si>
    <t>HP-14</t>
  </si>
  <si>
    <t>KORLOCH</t>
  </si>
  <si>
    <t>WARD</t>
  </si>
  <si>
    <t>056034P</t>
  </si>
  <si>
    <t>SAILPLANE</t>
  </si>
  <si>
    <t>056035N</t>
  </si>
  <si>
    <t>056035U</t>
  </si>
  <si>
    <t>05603EM</t>
  </si>
  <si>
    <t>05603QB</t>
  </si>
  <si>
    <t>HOMEBUILT</t>
  </si>
  <si>
    <t>05603VR</t>
  </si>
  <si>
    <t>MARTIN</t>
  </si>
  <si>
    <t>05613I5</t>
  </si>
  <si>
    <t>AVOLIO GENNARO W</t>
  </si>
  <si>
    <t>FISHER</t>
  </si>
  <si>
    <t>HP-14 SAILPLANE</t>
  </si>
  <si>
    <t>WINKLMEIER</t>
  </si>
  <si>
    <t>HP-14-T</t>
  </si>
  <si>
    <t>05603EN</t>
  </si>
  <si>
    <t>HP-14B</t>
  </si>
  <si>
    <t>HP-14T</t>
  </si>
  <si>
    <t>PAEPEGHEM</t>
  </si>
  <si>
    <t>HP-16</t>
  </si>
  <si>
    <t>LOVELL-JOHNSTON-KELLER</t>
  </si>
  <si>
    <t>HP-18</t>
  </si>
  <si>
    <t>MARKER</t>
  </si>
  <si>
    <t>FRAPPIER</t>
  </si>
  <si>
    <t>SILENT SOARERS INC.</t>
  </si>
  <si>
    <t>FITCH</t>
  </si>
  <si>
    <t>05625SU</t>
  </si>
  <si>
    <t>MURRILL ROBERT J</t>
  </si>
  <si>
    <t>05647AW</t>
  </si>
  <si>
    <t>SPEALMAN JOHN M</t>
  </si>
  <si>
    <t>05647DW</t>
  </si>
  <si>
    <t>PATTON BRUCE H</t>
  </si>
  <si>
    <t>05647HR</t>
  </si>
  <si>
    <t>FISHER ROBERT H</t>
  </si>
  <si>
    <t>05647Y9</t>
  </si>
  <si>
    <t>EDVINSON-LENNART</t>
  </si>
  <si>
    <t>ZSEBOK KAROLY</t>
  </si>
  <si>
    <t>HP-18 GLIDER</t>
  </si>
  <si>
    <t>05633VU</t>
  </si>
  <si>
    <t>PETER MASAK / DON BAND</t>
  </si>
  <si>
    <t>HP-18 SAILPLANE</t>
  </si>
  <si>
    <t>05675BK</t>
  </si>
  <si>
    <t>BRABEC JOSEF E</t>
  </si>
  <si>
    <t>05647Y7</t>
  </si>
  <si>
    <t>ZINKOWSKI RAYMOND</t>
  </si>
  <si>
    <t>HP-18-55</t>
  </si>
  <si>
    <t>05647KX</t>
  </si>
  <si>
    <t>RUSSELL WILLIAM M</t>
  </si>
  <si>
    <t>HP-18M</t>
  </si>
  <si>
    <t>05634RG</t>
  </si>
  <si>
    <t>GRAY DOUGLAS G</t>
  </si>
  <si>
    <t>HP-24</t>
  </si>
  <si>
    <t>05629CL</t>
  </si>
  <si>
    <t>BOTZKO</t>
  </si>
  <si>
    <t>HP11-15</t>
  </si>
  <si>
    <t>056035T</t>
  </si>
  <si>
    <t>HP13</t>
  </si>
  <si>
    <t>05647AD</t>
  </si>
  <si>
    <t>KRELLE-ARTHUR</t>
  </si>
  <si>
    <t>HP14</t>
  </si>
  <si>
    <t>05634LL</t>
  </si>
  <si>
    <t>MIKE SWENDSEN/DARWIN ROBERTS</t>
  </si>
  <si>
    <t>HP16 SCHREDER</t>
  </si>
  <si>
    <t>056153P</t>
  </si>
  <si>
    <t>LEE JOHN</t>
  </si>
  <si>
    <t>HUTTER 17</t>
  </si>
  <si>
    <t>WESCOTT</t>
  </si>
  <si>
    <t>ICARUS II-B</t>
  </si>
  <si>
    <t>40601DH</t>
  </si>
  <si>
    <t>CHEROKEE</t>
  </si>
  <si>
    <t>II</t>
  </si>
  <si>
    <t>40601GW</t>
  </si>
  <si>
    <t>40601HM</t>
  </si>
  <si>
    <t>40601J3</t>
  </si>
  <si>
    <t>40601JK</t>
  </si>
  <si>
    <t>GRUNAU BABY GLIDER</t>
  </si>
  <si>
    <t>II-B-2</t>
  </si>
  <si>
    <t>INTREPRINDEREA DE CONSTRUCTII</t>
  </si>
  <si>
    <t>IS-32</t>
  </si>
  <si>
    <t>PETERSON SAILPLANE-POLY IND.</t>
  </si>
  <si>
    <t>J-4</t>
  </si>
  <si>
    <t>056030N</t>
  </si>
  <si>
    <t>PETERSON</t>
  </si>
  <si>
    <t>J4</t>
  </si>
  <si>
    <t>JANTAR 48-3 STD III</t>
  </si>
  <si>
    <t>05617XJ</t>
  </si>
  <si>
    <t>PZL BIELSKO/MUELLER NP</t>
  </si>
  <si>
    <t>JANTAR STND SZD 48-1</t>
  </si>
  <si>
    <t>JANUS</t>
  </si>
  <si>
    <t>JANUS B</t>
  </si>
  <si>
    <t>JANUS C</t>
  </si>
  <si>
    <t>JANUS-CM</t>
  </si>
  <si>
    <t>05603JA</t>
  </si>
  <si>
    <t>DICK</t>
  </si>
  <si>
    <t>JH-1</t>
  </si>
  <si>
    <t>056033B</t>
  </si>
  <si>
    <t>ROBINSON SAILPLANE</t>
  </si>
  <si>
    <t>JR-5</t>
  </si>
  <si>
    <t>05636G4</t>
  </si>
  <si>
    <t>JS1C 18/21</t>
  </si>
  <si>
    <t>K 6 CR-PE</t>
  </si>
  <si>
    <t>K 8</t>
  </si>
  <si>
    <t>05603TB</t>
  </si>
  <si>
    <t>KELSEY</t>
  </si>
  <si>
    <t>K-16</t>
  </si>
  <si>
    <t>38019VK</t>
  </si>
  <si>
    <t>K8B</t>
  </si>
  <si>
    <t>KA 10</t>
  </si>
  <si>
    <t>KA 6 B</t>
  </si>
  <si>
    <t>KA4</t>
  </si>
  <si>
    <t>06101ZC</t>
  </si>
  <si>
    <t>HEXEMODEL CZ</t>
  </si>
  <si>
    <t>KA4 RHOENLERCHE SUA</t>
  </si>
  <si>
    <t>KIRBY KITE</t>
  </si>
  <si>
    <t>056110E</t>
  </si>
  <si>
    <t>FOCKE-WULF FLUGZEUGBAU GMBH</t>
  </si>
  <si>
    <t>KRANICH III</t>
  </si>
  <si>
    <t>05606GI</t>
  </si>
  <si>
    <t>WILLIBALD KRUG</t>
  </si>
  <si>
    <t>KW 45</t>
  </si>
  <si>
    <t>LET KUNOVICE</t>
  </si>
  <si>
    <t>LETECKE ZAVODY KUNOVICE CR</t>
  </si>
  <si>
    <t>L 33 SOLO X</t>
  </si>
  <si>
    <t>05603UU</t>
  </si>
  <si>
    <t>LAMSON</t>
  </si>
  <si>
    <t>L-106</t>
  </si>
  <si>
    <t>05614SN</t>
  </si>
  <si>
    <t>PETILETKY STROJIRNY PRVNI NP</t>
  </si>
  <si>
    <t>SEELIG JONATHON D</t>
  </si>
  <si>
    <t>LAISTER LP-49</t>
  </si>
  <si>
    <t>SPORT AVIATION USSR</t>
  </si>
  <si>
    <t>056101E</t>
  </si>
  <si>
    <t>SPORTINE AVIACIJA</t>
  </si>
  <si>
    <t>05636Y4</t>
  </si>
  <si>
    <t>LAK-17 MINI</t>
  </si>
  <si>
    <t>05640PR</t>
  </si>
  <si>
    <t>LAK-17C FES</t>
  </si>
  <si>
    <t>05623SC</t>
  </si>
  <si>
    <t>LETOV</t>
  </si>
  <si>
    <t>LF107</t>
  </si>
  <si>
    <t>05647BL</t>
  </si>
  <si>
    <t>LEONARD ROBERT D</t>
  </si>
  <si>
    <t>LHP-18</t>
  </si>
  <si>
    <t>05904BD</t>
  </si>
  <si>
    <t>FISHER GALEN DAVID</t>
  </si>
  <si>
    <t>LIGHTHAWK</t>
  </si>
  <si>
    <t>056287V</t>
  </si>
  <si>
    <t>LININGER JACK A</t>
  </si>
  <si>
    <t>LONG WING CHEROKEE</t>
  </si>
  <si>
    <t>LP-46</t>
  </si>
  <si>
    <t>056255C</t>
  </si>
  <si>
    <t>BYBEE WALTER C</t>
  </si>
  <si>
    <t>05647B8</t>
  </si>
  <si>
    <t>HASSELL</t>
  </si>
  <si>
    <t>05625RS</t>
  </si>
  <si>
    <t>PULFORD LINDA C</t>
  </si>
  <si>
    <t>LP65</t>
  </si>
  <si>
    <t>05622G8</t>
  </si>
  <si>
    <t>LS 10-A</t>
  </si>
  <si>
    <t>LS 3</t>
  </si>
  <si>
    <t>LS 4-B</t>
  </si>
  <si>
    <t>LS-1B</t>
  </si>
  <si>
    <t>05621L6</t>
  </si>
  <si>
    <t>LS-7WL</t>
  </si>
  <si>
    <t>LS8</t>
  </si>
  <si>
    <t>05626PI</t>
  </si>
  <si>
    <t>LS8-S</t>
  </si>
  <si>
    <t>AVIONAUTICA RIO</t>
  </si>
  <si>
    <t>06102EB</t>
  </si>
  <si>
    <t>M1 GLIDER</t>
  </si>
  <si>
    <t>06102EA</t>
  </si>
  <si>
    <t>M2 GLIDER</t>
  </si>
  <si>
    <t>05616JJ</t>
  </si>
  <si>
    <t>GALLATI PAUL H</t>
  </si>
  <si>
    <t>MARSKE MONARCH</t>
  </si>
  <si>
    <t>06101ZQ</t>
  </si>
  <si>
    <t>NASA LANGLEY RESEARCH CENTER</t>
  </si>
  <si>
    <t>MERF-2</t>
  </si>
  <si>
    <t>05675V8</t>
  </si>
  <si>
    <t>MARSKE JAMES J</t>
  </si>
  <si>
    <t>MONARCH E</t>
  </si>
  <si>
    <t>DAY RONALD I</t>
  </si>
  <si>
    <t>MONERAI</t>
  </si>
  <si>
    <t>05636DX</t>
  </si>
  <si>
    <t>CRAIG L GJERDE</t>
  </si>
  <si>
    <t>05647DF</t>
  </si>
  <si>
    <t>WALKER GLEN L</t>
  </si>
  <si>
    <t>05647GU</t>
  </si>
  <si>
    <t>MARCUSSEN JAMES S</t>
  </si>
  <si>
    <t>05647HV</t>
  </si>
  <si>
    <t>SHANNON BRUCE S</t>
  </si>
  <si>
    <t>05647JK</t>
  </si>
  <si>
    <t>CALDWELL JOHN W</t>
  </si>
  <si>
    <t>05647KC</t>
  </si>
  <si>
    <t>GEARY MICHAEL P</t>
  </si>
  <si>
    <t>05647LU</t>
  </si>
  <si>
    <t>THERMAL FLITES INC</t>
  </si>
  <si>
    <t>05621X9</t>
  </si>
  <si>
    <t>DAVID F MCINNIS</t>
  </si>
  <si>
    <t>MONERAI S</t>
  </si>
  <si>
    <t>05647DH</t>
  </si>
  <si>
    <t>VILENDRER GERALD J</t>
  </si>
  <si>
    <t>MONERAI-P</t>
  </si>
  <si>
    <t>05647GD</t>
  </si>
  <si>
    <t>AMY ERROL A</t>
  </si>
  <si>
    <t>MONERAI-S</t>
  </si>
  <si>
    <t>05605CN</t>
  </si>
  <si>
    <t>THURMOND PAUL J</t>
  </si>
  <si>
    <t>MONI</t>
  </si>
  <si>
    <t>05659S1</t>
  </si>
  <si>
    <t>KONRATH RAYMOND J</t>
  </si>
  <si>
    <t>MONNETT-MONERAI S</t>
  </si>
  <si>
    <t>MOSWEY-SEGELFLUGZEUG-WERKE</t>
  </si>
  <si>
    <t>MOSWEY III</t>
  </si>
  <si>
    <t>MIDWEST</t>
  </si>
  <si>
    <t>MU-1 GLIDER</t>
  </si>
  <si>
    <t>SCHWARZWALD FLUG WILH JEHLE</t>
  </si>
  <si>
    <t>MU-13D-3</t>
  </si>
  <si>
    <t>WACO AIRCRAFT CO</t>
  </si>
  <si>
    <t>NAZ</t>
  </si>
  <si>
    <t>NIEDRAUER</t>
  </si>
  <si>
    <t>NG-1</t>
  </si>
  <si>
    <t>NIMBUS 4D</t>
  </si>
  <si>
    <t>38019VG</t>
  </si>
  <si>
    <t>NIMBUS-2B</t>
  </si>
  <si>
    <t>NIMBUS-3D</t>
  </si>
  <si>
    <t>NIMBUS-3DT</t>
  </si>
  <si>
    <t>05637JK</t>
  </si>
  <si>
    <t>EON</t>
  </si>
  <si>
    <t>OLYMPIA 1</t>
  </si>
  <si>
    <t>05610G8</t>
  </si>
  <si>
    <t>ELLIOTS OF NEWBURY</t>
  </si>
  <si>
    <t>OLYMPIA 2B</t>
  </si>
  <si>
    <t>056042B</t>
  </si>
  <si>
    <t>ELLIOTTS OF NEWBURY</t>
  </si>
  <si>
    <t>OLYMPIA II</t>
  </si>
  <si>
    <t>05630EM</t>
  </si>
  <si>
    <t>ZAUNER</t>
  </si>
  <si>
    <t>OZ-5 SAILPLANE</t>
  </si>
  <si>
    <t>05603JT</t>
  </si>
  <si>
    <t>EASLEY</t>
  </si>
  <si>
    <t>PE-1</t>
  </si>
  <si>
    <t>05634HD</t>
  </si>
  <si>
    <t>PERLAN PROJECT INC</t>
  </si>
  <si>
    <t>PERLAN 2</t>
  </si>
  <si>
    <t>05675EJ</t>
  </si>
  <si>
    <t>POSNANSKY/FRONIUS</t>
  </si>
  <si>
    <t>PF-1 GLIDER</t>
  </si>
  <si>
    <t>ENTWICKLUNGSGEMEINSCHAFT</t>
  </si>
  <si>
    <t>VASAMA</t>
  </si>
  <si>
    <t>PIK-16C</t>
  </si>
  <si>
    <t>PIONEER 3</t>
  </si>
  <si>
    <t>05641VK</t>
  </si>
  <si>
    <t>MATTHEW KOLLMAN</t>
  </si>
  <si>
    <t>PIONEER 4</t>
  </si>
  <si>
    <t>05629GX</t>
  </si>
  <si>
    <t>FLINT R W</t>
  </si>
  <si>
    <t>PIONEER II</t>
  </si>
  <si>
    <t>05675C3</t>
  </si>
  <si>
    <t>GROSS BERNARD</t>
  </si>
  <si>
    <t>05620TN</t>
  </si>
  <si>
    <t>BONE GLENN L</t>
  </si>
  <si>
    <t>PIONEER II D</t>
  </si>
  <si>
    <t>05622WO</t>
  </si>
  <si>
    <t>PERNELL ROBERT A</t>
  </si>
  <si>
    <t>05634BK</t>
  </si>
  <si>
    <t>GILMARY M HOSTAGE</t>
  </si>
  <si>
    <t>PIONEER III</t>
  </si>
  <si>
    <t>MCDONALD</t>
  </si>
  <si>
    <t>PRIMARY</t>
  </si>
  <si>
    <t>05603NM</t>
  </si>
  <si>
    <t>GRAVANCE</t>
  </si>
  <si>
    <t>PRUE STANDARD</t>
  </si>
  <si>
    <t>05611LN</t>
  </si>
  <si>
    <t>HINDS CLARK E</t>
  </si>
  <si>
    <t>PRUE SUPER STD</t>
  </si>
  <si>
    <t>05633R1</t>
  </si>
  <si>
    <t>ALFARO HERACLIO</t>
  </si>
  <si>
    <t>PTG-2</t>
  </si>
  <si>
    <t>PREISS</t>
  </si>
  <si>
    <t>RHJ-9</t>
  </si>
  <si>
    <t>RHJ8</t>
  </si>
  <si>
    <t>05603F5</t>
  </si>
  <si>
    <t>CROWN CITY</t>
  </si>
  <si>
    <t>ROBERTSON</t>
  </si>
  <si>
    <t>056752P</t>
  </si>
  <si>
    <t>HAGER/HAGER</t>
  </si>
  <si>
    <t>RS 15 GLIDER</t>
  </si>
  <si>
    <t>HEIMBECKER</t>
  </si>
  <si>
    <t>RS-15</t>
  </si>
  <si>
    <t>05637WD</t>
  </si>
  <si>
    <t>U WERNEBURG/F VAUGHAN</t>
  </si>
  <si>
    <t>05647A3</t>
  </si>
  <si>
    <t>SLAGLE</t>
  </si>
  <si>
    <t>05647C8</t>
  </si>
  <si>
    <t>SMITH</t>
  </si>
  <si>
    <t>05647G3</t>
  </si>
  <si>
    <t>RODIECK</t>
  </si>
  <si>
    <t>05647Z7</t>
  </si>
  <si>
    <t>DUHAIME-RAYMOND</t>
  </si>
  <si>
    <t>05624LQ</t>
  </si>
  <si>
    <t>FEDEROV V E</t>
  </si>
  <si>
    <t>RUSSIA</t>
  </si>
  <si>
    <t>05608OX</t>
  </si>
  <si>
    <t>HILL BRADLEY</t>
  </si>
  <si>
    <t>RUSSIA AC4-CK</t>
  </si>
  <si>
    <t>05631V8</t>
  </si>
  <si>
    <t>DAVID MILLER</t>
  </si>
  <si>
    <t>RUTAN SOLITAIRE</t>
  </si>
  <si>
    <t>056269W</t>
  </si>
  <si>
    <t>SPALINGER</t>
  </si>
  <si>
    <t>S 18 III</t>
  </si>
  <si>
    <t>N. V. VLIEGTUIGBOUW</t>
  </si>
  <si>
    <t>SAGITTA 013</t>
  </si>
  <si>
    <t>40601TX</t>
  </si>
  <si>
    <t>40601UN</t>
  </si>
  <si>
    <t>KOLTER</t>
  </si>
  <si>
    <t>SAILPLANE TERN 1</t>
  </si>
  <si>
    <t>SCHREDER HP-11A</t>
  </si>
  <si>
    <t>05603QJ</t>
  </si>
  <si>
    <t>HOMEBUILT GLIDER</t>
  </si>
  <si>
    <t>SCHREDER HP-13</t>
  </si>
  <si>
    <t>05603MK</t>
  </si>
  <si>
    <t>FULLER</t>
  </si>
  <si>
    <t>SCHREDER HP-14</t>
  </si>
  <si>
    <t>05647X4</t>
  </si>
  <si>
    <t>YARBRO</t>
  </si>
  <si>
    <t>05628NN</t>
  </si>
  <si>
    <t>KETONEN ERIC</t>
  </si>
  <si>
    <t>SCHREDER HP-16</t>
  </si>
  <si>
    <t>SCHREDER/FINCH</t>
  </si>
  <si>
    <t>SCHREDER HP-18</t>
  </si>
  <si>
    <t>05647F6</t>
  </si>
  <si>
    <t>WEMPLE</t>
  </si>
  <si>
    <t>05647H1</t>
  </si>
  <si>
    <t>PACE</t>
  </si>
  <si>
    <t>05647AA</t>
  </si>
  <si>
    <t>CARY-CLARK</t>
  </si>
  <si>
    <t>SCHREDER RS-15</t>
  </si>
  <si>
    <t>056036V</t>
  </si>
  <si>
    <t>STEINRUCK</t>
  </si>
  <si>
    <t>SCS-1</t>
  </si>
  <si>
    <t>05603X1</t>
  </si>
  <si>
    <t>MUCHA STANDARD</t>
  </si>
  <si>
    <t>SDZ-22C</t>
  </si>
  <si>
    <t>SF-26A STANDARD</t>
  </si>
  <si>
    <t>380135F</t>
  </si>
  <si>
    <t>SF27A</t>
  </si>
  <si>
    <t>SGS 1-21</t>
  </si>
  <si>
    <t>SGS 1-23B</t>
  </si>
  <si>
    <t>SGS 1-23C</t>
  </si>
  <si>
    <t>SGS 1-23E</t>
  </si>
  <si>
    <t>SGS 1-23F</t>
  </si>
  <si>
    <t>SGS 1-35A</t>
  </si>
  <si>
    <t>SGS 2-33AK</t>
  </si>
  <si>
    <t>SGU-1-19A</t>
  </si>
  <si>
    <t>05603UE</t>
  </si>
  <si>
    <t>KRUTCHKOFF</t>
  </si>
  <si>
    <t>SHP-1</t>
  </si>
  <si>
    <t>05610B3</t>
  </si>
  <si>
    <t>SIEBERT SPORT-UND SEGELFLUGZEU</t>
  </si>
  <si>
    <t>SIE 3</t>
  </si>
  <si>
    <t>05622WS</t>
  </si>
  <si>
    <t>HOSTAGE GILMARY M III</t>
  </si>
  <si>
    <t>061013R</t>
  </si>
  <si>
    <t>SILENT ARROW GD-1000</t>
  </si>
  <si>
    <t>NIEMI</t>
  </si>
  <si>
    <t>SISU 1</t>
  </si>
  <si>
    <t>SLINGSBY T12 GULL 1</t>
  </si>
  <si>
    <t>05611XG</t>
  </si>
  <si>
    <t>SLINGSBY T13 PETREL</t>
  </si>
  <si>
    <t>SLINGSBY T49B</t>
  </si>
  <si>
    <t>05610FD</t>
  </si>
  <si>
    <t>SLINGSBY T6 KITE I</t>
  </si>
  <si>
    <t>05676K5</t>
  </si>
  <si>
    <t>MCHOLLAND C L</t>
  </si>
  <si>
    <t>SOLITAIRE</t>
  </si>
  <si>
    <t>05627DU</t>
  </si>
  <si>
    <t>WINDWARD</t>
  </si>
  <si>
    <t>05633F9</t>
  </si>
  <si>
    <t>SPARROW HAWK R</t>
  </si>
  <si>
    <t>SPARROWHAWK</t>
  </si>
  <si>
    <t>05621O4</t>
  </si>
  <si>
    <t>THAR WILLIAM E</t>
  </si>
  <si>
    <t>056313G</t>
  </si>
  <si>
    <t>DOUGLAS W TAYLOR</t>
  </si>
  <si>
    <t>05631R7</t>
  </si>
  <si>
    <t>GREG COLE/WINDWARD PERFORMANCE</t>
  </si>
  <si>
    <t>05640HO</t>
  </si>
  <si>
    <t>ANDREW BUEHLER</t>
  </si>
  <si>
    <t>05634EQ</t>
  </si>
  <si>
    <t>TSC LLC</t>
  </si>
  <si>
    <t>SS2</t>
  </si>
  <si>
    <t>STANDARD ASTIR II</t>
  </si>
  <si>
    <t>STANDARD AUSTRIA SH</t>
  </si>
  <si>
    <t>STANDARD CIRRUS B</t>
  </si>
  <si>
    <t>STANDRD LIBELLE 201B</t>
  </si>
  <si>
    <t>05624ND</t>
  </si>
  <si>
    <t>LUEBKE RALPH C</t>
  </si>
  <si>
    <t>STD CLS AMER SPIRIT</t>
  </si>
  <si>
    <t>RYLES</t>
  </si>
  <si>
    <t>SUPPER STANDARD "T"</t>
  </si>
  <si>
    <t>SWALLOW TYPE T.45</t>
  </si>
  <si>
    <t>05640LY</t>
  </si>
  <si>
    <t>ALLSTAR PZL GLIDER</t>
  </si>
  <si>
    <t>SZD 59</t>
  </si>
  <si>
    <t>SZD-24-4A "FOKA"-4</t>
  </si>
  <si>
    <t>SZD-41B</t>
  </si>
  <si>
    <t>05632FL</t>
  </si>
  <si>
    <t>PRZEDSIEBIORSTWO DOSWIADCZALNO</t>
  </si>
  <si>
    <t>SZD-48-1 JANTAR STAN</t>
  </si>
  <si>
    <t>SZD PZL BIELSKO</t>
  </si>
  <si>
    <t>SZD-52-2 KROKUS</t>
  </si>
  <si>
    <t>05622GF</t>
  </si>
  <si>
    <t>SZD-54 PERKOZ</t>
  </si>
  <si>
    <t>SZD-56 DIANA</t>
  </si>
  <si>
    <t>05621GF</t>
  </si>
  <si>
    <t>BIURO PROJEKTOWE B BOGUMIL BER</t>
  </si>
  <si>
    <t>SZD-56-2 DIANA-2</t>
  </si>
  <si>
    <t>T21</t>
  </si>
  <si>
    <t>T31 CADET MK 3</t>
  </si>
  <si>
    <t>T31B</t>
  </si>
  <si>
    <t>T59C KESTREL</t>
  </si>
  <si>
    <t>06102EZ</t>
  </si>
  <si>
    <t>STRATOLAUNCH LLC</t>
  </si>
  <si>
    <t>TALON-A</t>
  </si>
  <si>
    <t>SCHWEIZER/CAF</t>
  </si>
  <si>
    <t>TYPE 43 SERIES 3F</t>
  </si>
  <si>
    <t>SCHEMPP-HIRTH GMBH &amp; CO</t>
  </si>
  <si>
    <t>VENTUS 3G</t>
  </si>
  <si>
    <t>05636EG</t>
  </si>
  <si>
    <t>LAYNE ANDREW WOLTERS</t>
  </si>
  <si>
    <t>W68R</t>
  </si>
  <si>
    <t>05628S8</t>
  </si>
  <si>
    <t>BERGSTROM LARS</t>
  </si>
  <si>
    <t>WINDEX EXTREME</t>
  </si>
  <si>
    <t>05601FL</t>
  </si>
  <si>
    <t>PICKUP ALAN R</t>
  </si>
  <si>
    <t>WOODSTOCK</t>
  </si>
  <si>
    <t>05637WJ</t>
  </si>
  <si>
    <t>GLEN D STONE</t>
  </si>
  <si>
    <t>056759H</t>
  </si>
  <si>
    <t>MAXWELL GLEN C</t>
  </si>
  <si>
    <t>05632EG</t>
  </si>
  <si>
    <t>THEODORE DODSON WILLIAM DODSON</t>
  </si>
  <si>
    <t>XENOS</t>
  </si>
  <si>
    <t>XTG-1</t>
  </si>
  <si>
    <t>ZUGVOGEL IIIA</t>
  </si>
  <si>
    <t>AERO TEK INC.</t>
  </si>
  <si>
    <t>05647R2</t>
  </si>
  <si>
    <t>WELLS</t>
  </si>
  <si>
    <t>1WA</t>
  </si>
  <si>
    <t>MARTIN WILLIAM S</t>
  </si>
  <si>
    <t>ALLIED T J</t>
  </si>
  <si>
    <t>056327C</t>
  </si>
  <si>
    <t>BALENTINE THOMAS J</t>
  </si>
  <si>
    <t>05639M4</t>
  </si>
  <si>
    <t>THOMAS R KOCH</t>
  </si>
  <si>
    <t>AMERICAN EAGLET</t>
  </si>
  <si>
    <t>05625PZ</t>
  </si>
  <si>
    <t>RICE PAUL JR</t>
  </si>
  <si>
    <t>ASW-22BLE</t>
  </si>
  <si>
    <t>NELSON</t>
  </si>
  <si>
    <t>BB-1</t>
  </si>
  <si>
    <t>DAVID SWANN</t>
  </si>
  <si>
    <t>BEARHAWK</t>
  </si>
  <si>
    <t>056321N</t>
  </si>
  <si>
    <t>HEATH E SNELLER</t>
  </si>
  <si>
    <t>05630WR</t>
  </si>
  <si>
    <t>TECHNOFLUG LEICHTFLUGZEUGBAU</t>
  </si>
  <si>
    <t>CARAT</t>
  </si>
  <si>
    <t>SONJA ENGLERT</t>
  </si>
  <si>
    <t>CARO 1 MG</t>
  </si>
  <si>
    <t>LANGE AVIATION GMBH</t>
  </si>
  <si>
    <t>TAYLORCRAFT</t>
  </si>
  <si>
    <t>G-100</t>
  </si>
  <si>
    <t>05632PC</t>
  </si>
  <si>
    <t>RICHARD S BOWERS</t>
  </si>
  <si>
    <t>GLASTAR KT5741</t>
  </si>
  <si>
    <t>HB-AIRCRAFT INDUSTRIES AG</t>
  </si>
  <si>
    <t>HB 23/2400-SP</t>
  </si>
  <si>
    <t>05614RT</t>
  </si>
  <si>
    <t>WELLS TERRY</t>
  </si>
  <si>
    <t>HULA GIRL</t>
  </si>
  <si>
    <t>IAR S A BRASOV</t>
  </si>
  <si>
    <t>IS-28M2</t>
  </si>
  <si>
    <t>NIEMI L A/CLARK E G</t>
  </si>
  <si>
    <t>JUNCO</t>
  </si>
  <si>
    <t>L-13 SDM VIVAT</t>
  </si>
  <si>
    <t>AEROTECHNIK UH HRADISTE</t>
  </si>
  <si>
    <t>L-13 SW</t>
  </si>
  <si>
    <t>05647JU</t>
  </si>
  <si>
    <t>SCALET JOSEPH H JR</t>
  </si>
  <si>
    <t>MONERAI S/P</t>
  </si>
  <si>
    <t>JELINSKI JOHN E</t>
  </si>
  <si>
    <t>05612DD</t>
  </si>
  <si>
    <t>GIGAX DALE E</t>
  </si>
  <si>
    <t>056158A</t>
  </si>
  <si>
    <t>GOOD PHILLIP</t>
  </si>
  <si>
    <t>05659NX</t>
  </si>
  <si>
    <t>EISENBRANDT GLENN</t>
  </si>
  <si>
    <t>056599D</t>
  </si>
  <si>
    <t>ROSS KEVIN D</t>
  </si>
  <si>
    <t>MONI MOTORGLIDER</t>
  </si>
  <si>
    <t>05659AC</t>
  </si>
  <si>
    <t>LINK WILLIAM H JR</t>
  </si>
  <si>
    <t>MONI TRI GEAR</t>
  </si>
  <si>
    <t>05659V1</t>
  </si>
  <si>
    <t>MILLIS FRANK E SR</t>
  </si>
  <si>
    <t>MONNETT MONI</t>
  </si>
  <si>
    <t>NIMBUS 4DT</t>
  </si>
  <si>
    <t>NIMBUS-3DM</t>
  </si>
  <si>
    <t>05621X1</t>
  </si>
  <si>
    <t>WINWARD PERFORMANCE LLC</t>
  </si>
  <si>
    <t>OWL</t>
  </si>
  <si>
    <t>PG-185-B</t>
  </si>
  <si>
    <t>056142A</t>
  </si>
  <si>
    <t>PERRITT JOHN O JR</t>
  </si>
  <si>
    <t>RV-6</t>
  </si>
  <si>
    <t>05614EH</t>
  </si>
  <si>
    <t>HARE MEREDITH</t>
  </si>
  <si>
    <t>S-2A</t>
  </si>
  <si>
    <t>380135V</t>
  </si>
  <si>
    <t>SF 27 M</t>
  </si>
  <si>
    <t>SF-24 MOTORSPATZ</t>
  </si>
  <si>
    <t>SF-25B</t>
  </si>
  <si>
    <t>05612BL</t>
  </si>
  <si>
    <t>TURNBULL CARL NORMAN</t>
  </si>
  <si>
    <t>SILHOUETTE</t>
  </si>
  <si>
    <t>BENTLEY JOHN O</t>
  </si>
  <si>
    <t>SILHOUETTE I</t>
  </si>
  <si>
    <t>056302L</t>
  </si>
  <si>
    <t>PAUL R KUNTZ</t>
  </si>
  <si>
    <t>05634VU</t>
  </si>
  <si>
    <t>DON ARNOLD</t>
  </si>
  <si>
    <t>SINUS KIT</t>
  </si>
  <si>
    <t>ABRAMS HERBERT C</t>
  </si>
  <si>
    <t>05634I5</t>
  </si>
  <si>
    <t>JOHN STYERS</t>
  </si>
  <si>
    <t>SONEX XENOS</t>
  </si>
  <si>
    <t>056250V</t>
  </si>
  <si>
    <t>ALLEGRE GARY A</t>
  </si>
  <si>
    <t>STARDUSTER TOO SA300</t>
  </si>
  <si>
    <t>05631Q1</t>
  </si>
  <si>
    <t>NICHOLAS ROBERT G</t>
  </si>
  <si>
    <t>STOL CH 750</t>
  </si>
  <si>
    <t>HANSEN JOHN</t>
  </si>
  <si>
    <t>STROJNIK S-2A</t>
  </si>
  <si>
    <t>05630YL</t>
  </si>
  <si>
    <t>05606H4</t>
  </si>
  <si>
    <t>BOSSART BYRON</t>
  </si>
  <si>
    <t>TRI GEAR MONI</t>
  </si>
  <si>
    <t>TSC-1A2</t>
  </si>
  <si>
    <t>05610J7</t>
  </si>
  <si>
    <t>FRITZ BRUCE A</t>
  </si>
  <si>
    <t>TST-8 DM</t>
  </si>
  <si>
    <t>05615PJ</t>
  </si>
  <si>
    <t>URBAN AIR</t>
  </si>
  <si>
    <t>UFM-10 SAMBA</t>
  </si>
  <si>
    <t>05630G8</t>
  </si>
  <si>
    <t>TAPPEN CHRIS</t>
  </si>
  <si>
    <t>VELOCITY SUV</t>
  </si>
  <si>
    <t>05635PY</t>
  </si>
  <si>
    <t>MANOUCHER ADLI</t>
  </si>
  <si>
    <t>VIRUS SW</t>
  </si>
  <si>
    <t>056050X</t>
  </si>
  <si>
    <t>HOLMBERG INTL INC</t>
  </si>
  <si>
    <t>WINDEX 1200C</t>
  </si>
  <si>
    <t>056474D</t>
  </si>
  <si>
    <t>WANDER ROBERT P</t>
  </si>
  <si>
    <t>05622HY</t>
  </si>
  <si>
    <t>JONES CRAIG M</t>
  </si>
  <si>
    <t>05624HI</t>
  </si>
  <si>
    <t>ZIEHER KLAUS W</t>
  </si>
  <si>
    <t>056298Y</t>
  </si>
  <si>
    <t>JACKSON MICHAEL D</t>
  </si>
  <si>
    <t>05636M1</t>
  </si>
  <si>
    <t>WILLIAM S VOLCKO</t>
  </si>
  <si>
    <t>056384U</t>
  </si>
  <si>
    <t>WOLF THOMAS R</t>
  </si>
  <si>
    <t>05639ZT</t>
  </si>
  <si>
    <t>PERRY ROBERT D</t>
  </si>
  <si>
    <t>XENOS B</t>
  </si>
  <si>
    <t>05636EE</t>
  </si>
  <si>
    <t>HERBERT A SANDERS</t>
  </si>
  <si>
    <t>XENOS GLIDER</t>
  </si>
  <si>
    <t>056256L</t>
  </si>
  <si>
    <t>TRIGGS JAMES C</t>
  </si>
  <si>
    <t>XENOS MOTORGLIDER</t>
  </si>
  <si>
    <t>05627YY</t>
  </si>
  <si>
    <t>STATON ROCKER T III</t>
  </si>
  <si>
    <t>05630P5</t>
  </si>
  <si>
    <t>DOOLEY DAVID C</t>
  </si>
  <si>
    <t>05631MU</t>
  </si>
  <si>
    <t>LEBLANC PHILIP N</t>
  </si>
  <si>
    <t>05635X8</t>
  </si>
  <si>
    <t>DAILEY PETER J</t>
  </si>
  <si>
    <t>VENTUS CT</t>
  </si>
  <si>
    <t>SCHEMPP-HIRTH GMBH</t>
  </si>
  <si>
    <t>05641RW</t>
  </si>
  <si>
    <t>GLASFLUGEL 304S JET</t>
  </si>
  <si>
    <t>056336H</t>
  </si>
  <si>
    <t>CHRIS D ESSELSTYN</t>
  </si>
  <si>
    <t>HP-18J</t>
  </si>
  <si>
    <t>05639TS</t>
  </si>
  <si>
    <t>05608I2</t>
  </si>
  <si>
    <t>WETZEL LEWIS W</t>
  </si>
  <si>
    <t>TITAN MOTORGLIDER</t>
  </si>
  <si>
    <t>05901BY</t>
  </si>
  <si>
    <t>NODORFT ALLEN</t>
  </si>
  <si>
    <t>056332G</t>
  </si>
  <si>
    <t>APIS</t>
  </si>
  <si>
    <t>AS 34 ME</t>
  </si>
  <si>
    <t>SCHEMPP-HIRTHE</t>
  </si>
  <si>
    <t>05632TT</t>
  </si>
  <si>
    <t>GRANT FROWNFELTER</t>
  </si>
  <si>
    <t>GRANZAIR 100</t>
  </si>
  <si>
    <t>JANUS CT</t>
  </si>
  <si>
    <t>05629GL</t>
  </si>
  <si>
    <t>LS 10-ST</t>
  </si>
  <si>
    <t>05634FO</t>
  </si>
  <si>
    <t>EDWARD MANDIBLES</t>
  </si>
  <si>
    <t>05630PO</t>
  </si>
  <si>
    <t>SWEENEY ERIC C</t>
  </si>
  <si>
    <t>05635L4</t>
  </si>
  <si>
    <t>MARK GEORGE TOWER</t>
  </si>
  <si>
    <t>NIMBUS-4M</t>
  </si>
  <si>
    <t>05627MV</t>
  </si>
  <si>
    <t>05640IX</t>
  </si>
  <si>
    <t>WILLIAM JOHNSON</t>
  </si>
  <si>
    <t>QUICKSILVER SPORT 2S</t>
  </si>
  <si>
    <t>05614KP</t>
  </si>
  <si>
    <t>VICH ROBERT SR/VICH ROBERT JR</t>
  </si>
  <si>
    <t>059020S</t>
  </si>
  <si>
    <t>06001CZ</t>
  </si>
  <si>
    <t>TAURUS 503 LSA</t>
  </si>
  <si>
    <t>05904BO</t>
  </si>
  <si>
    <t>TAURUS GLIDER</t>
  </si>
  <si>
    <t>056264M</t>
  </si>
  <si>
    <t>TEST SRO</t>
  </si>
  <si>
    <t>TST 13 JUNIOR</t>
  </si>
  <si>
    <t>05626GO</t>
  </si>
  <si>
    <t>TEST</t>
  </si>
  <si>
    <t>TST-10</t>
  </si>
  <si>
    <t>05902BH</t>
  </si>
  <si>
    <t>TEST SPOL SRO</t>
  </si>
  <si>
    <t>TST-14M BONUS</t>
  </si>
  <si>
    <t>SCHEMPP HIRTH FLUGZEUG VERTRIE</t>
  </si>
  <si>
    <t>VENTUS 2CXM</t>
  </si>
  <si>
    <t>380205A</t>
  </si>
  <si>
    <t>05632P3</t>
  </si>
  <si>
    <t>RICK MASON</t>
  </si>
  <si>
    <t>BD-5-MG</t>
  </si>
  <si>
    <t>05634GT</t>
  </si>
  <si>
    <t>LARRY LAWRENCE BLACK</t>
  </si>
  <si>
    <t>BLACK STORMER-S</t>
  </si>
  <si>
    <t>05901DP</t>
  </si>
  <si>
    <t>MEKIS THOMAS B</t>
  </si>
  <si>
    <t>CGS HAWK ARROW II</t>
  </si>
  <si>
    <t>05633MG</t>
  </si>
  <si>
    <t>FEENSTRA ROBERT L</t>
  </si>
  <si>
    <t>DOUBLE EAGLE</t>
  </si>
  <si>
    <t>EB29</t>
  </si>
  <si>
    <t>05616A0</t>
  </si>
  <si>
    <t>KLINEFELTER KEVIN JAMES</t>
  </si>
  <si>
    <t>EUROPA XS</t>
  </si>
  <si>
    <t>05641NB</t>
  </si>
  <si>
    <t>THOMAS M BUTTENOB</t>
  </si>
  <si>
    <t>HIGHLANDER JA20</t>
  </si>
  <si>
    <t>HK 36 TC-100</t>
  </si>
  <si>
    <t>05638TC</t>
  </si>
  <si>
    <t>STEVE SCHULTZ</t>
  </si>
  <si>
    <t>ION 100</t>
  </si>
  <si>
    <t>056236J</t>
  </si>
  <si>
    <t>POWERS GEORGE</t>
  </si>
  <si>
    <t>PIPISTREL SINUS</t>
  </si>
  <si>
    <t>ADAMS DAVID O</t>
  </si>
  <si>
    <t>PIPISTREL SINUS 912</t>
  </si>
  <si>
    <t>05636JA</t>
  </si>
  <si>
    <t>THEODOR M HAURI</t>
  </si>
  <si>
    <t>05627UZ</t>
  </si>
  <si>
    <t>CARNES DONALD W</t>
  </si>
  <si>
    <t>PIPISTRELSINUS912KIT</t>
  </si>
  <si>
    <t>05631ID</t>
  </si>
  <si>
    <t>S6</t>
  </si>
  <si>
    <t>05637KJ</t>
  </si>
  <si>
    <t>PIPISTREL LSA S R L</t>
  </si>
  <si>
    <t>056332J</t>
  </si>
  <si>
    <t>T-61A</t>
  </si>
  <si>
    <t>05627B6</t>
  </si>
  <si>
    <t>TODD JON RICHARD</t>
  </si>
  <si>
    <t>VANS/TODD RV7</t>
  </si>
  <si>
    <t>05641WN</t>
  </si>
  <si>
    <t>DAVID LAKE</t>
  </si>
  <si>
    <t>XENOS MOTOR GLIDER</t>
  </si>
  <si>
    <t>056359B</t>
  </si>
  <si>
    <t>MARK W WARNER</t>
  </si>
  <si>
    <t>ZENITH CH 750 STOL</t>
  </si>
  <si>
    <t>06101X1</t>
  </si>
  <si>
    <t>FMS</t>
  </si>
  <si>
    <t>1500MM MOA GLIDER</t>
  </si>
  <si>
    <t>05641MX</t>
  </si>
  <si>
    <t>05641EO</t>
  </si>
  <si>
    <t>ALBASTAR D O O</t>
  </si>
  <si>
    <t>AS-15E</t>
  </si>
  <si>
    <t>056306S</t>
  </si>
  <si>
    <t>DUCK HAWK E</t>
  </si>
  <si>
    <t>05637HM</t>
  </si>
  <si>
    <t>HALLAM HENRY M</t>
  </si>
  <si>
    <t>QUICKLI</t>
  </si>
  <si>
    <t>05632NG</t>
  </si>
  <si>
    <t>TAURUS ELECTRO</t>
  </si>
  <si>
    <t>056375U</t>
  </si>
  <si>
    <t>05641VS</t>
  </si>
  <si>
    <t>05641QV</t>
  </si>
  <si>
    <t>TAURUS ELECTRO G2.5</t>
  </si>
  <si>
    <t>06101ZT</t>
  </si>
  <si>
    <t>TEMPEST</t>
  </si>
  <si>
    <t>VENTUS 2CX</t>
  </si>
  <si>
    <t>ASH 30 MI</t>
  </si>
  <si>
    <t>05637SC</t>
  </si>
  <si>
    <t>PAULO HENRIQUES ISCOLD ANDRADE</t>
  </si>
  <si>
    <t>ASH30 NIXUS</t>
  </si>
  <si>
    <t>05603HB</t>
  </si>
  <si>
    <t>DB</t>
  </si>
  <si>
    <t>05603XS</t>
  </si>
  <si>
    <t>MIXON 1909 GLIDER</t>
  </si>
  <si>
    <t>056035P</t>
  </si>
  <si>
    <t>SCHREDER AIRMATE</t>
  </si>
  <si>
    <t>05629QN</t>
  </si>
  <si>
    <t>RE CARLO / LOUDERMILK GEORGE</t>
  </si>
  <si>
    <t>05636M5</t>
  </si>
  <si>
    <t>STAMPER H H</t>
  </si>
  <si>
    <t>05640T2</t>
  </si>
  <si>
    <t>FRENCH AIR</t>
  </si>
  <si>
    <t>05603AK</t>
  </si>
  <si>
    <t>PRUE IRVING OWEN</t>
  </si>
  <si>
    <t>056272A</t>
  </si>
  <si>
    <t>056350C</t>
  </si>
  <si>
    <t>MITCHELL DONALD SMITH</t>
  </si>
  <si>
    <t>NORD</t>
  </si>
  <si>
    <t>056352F</t>
  </si>
  <si>
    <t>OVERCASHIER FRANK</t>
  </si>
  <si>
    <t>0-100</t>
  </si>
  <si>
    <t>1-29</t>
  </si>
  <si>
    <t>101-P</t>
  </si>
  <si>
    <t>ROBINSON-CENTRAIR</t>
  </si>
  <si>
    <t>101BC</t>
  </si>
  <si>
    <t>101C</t>
  </si>
  <si>
    <t>101D</t>
  </si>
  <si>
    <t>05631DA</t>
  </si>
  <si>
    <t>WRIGHT EXPERIENCE INC</t>
  </si>
  <si>
    <t>1911 WRIGHT GLIDER</t>
  </si>
  <si>
    <t>05603K3</t>
  </si>
  <si>
    <t>EPBC SAILPLANE</t>
  </si>
  <si>
    <t>1B</t>
  </si>
  <si>
    <t>ROBERTS DONALD A</t>
  </si>
  <si>
    <t>1C</t>
  </si>
  <si>
    <t>MORRISETT</t>
  </si>
  <si>
    <t>1CARUS II</t>
  </si>
  <si>
    <t>056032N</t>
  </si>
  <si>
    <t>RANGER</t>
  </si>
  <si>
    <t>2ND</t>
  </si>
  <si>
    <t>056351Y</t>
  </si>
  <si>
    <t>GOPPINGEN</t>
  </si>
  <si>
    <t>3 MINAMOA</t>
  </si>
  <si>
    <t>05611PL</t>
  </si>
  <si>
    <t>D G FLUGZEUGBAU GMBH</t>
  </si>
  <si>
    <t>505MB</t>
  </si>
  <si>
    <t>05601UO</t>
  </si>
  <si>
    <t>MUNDWILER WERNERER</t>
  </si>
  <si>
    <t>73-12-WE</t>
  </si>
  <si>
    <t>056360W</t>
  </si>
  <si>
    <t>LAISTER JACK W</t>
  </si>
  <si>
    <t>A GLIDER</t>
  </si>
  <si>
    <t>05636YV</t>
  </si>
  <si>
    <t>A1</t>
  </si>
  <si>
    <t>056075Y</t>
  </si>
  <si>
    <t>COOPER JAMES R</t>
  </si>
  <si>
    <t>05638WP</t>
  </si>
  <si>
    <t>05639K3</t>
  </si>
  <si>
    <t>ACE GLIDER CLUB</t>
  </si>
  <si>
    <t>ACE GLIDER</t>
  </si>
  <si>
    <t>05630FX</t>
  </si>
  <si>
    <t>PAYNE JAMES M</t>
  </si>
  <si>
    <t>AD SRG CNPTS SPIR XL</t>
  </si>
  <si>
    <t>05636SH</t>
  </si>
  <si>
    <t>SAVAGE ULMER</t>
  </si>
  <si>
    <t>ALL AMERICAN MODEL A</t>
  </si>
  <si>
    <t>05603T9</t>
  </si>
  <si>
    <t>KOHLER</t>
  </si>
  <si>
    <t>ALPHA</t>
  </si>
  <si>
    <t>05647Z8</t>
  </si>
  <si>
    <t>LINVILLE-LARRY</t>
  </si>
  <si>
    <t>AMATEUR BUILT</t>
  </si>
  <si>
    <t>PAYTON-KOHRS-FITCH-MACCHIAVERN</t>
  </si>
  <si>
    <t>AMATEUR BUILT GLIDER</t>
  </si>
  <si>
    <t>40601C7</t>
  </si>
  <si>
    <t>AMD</t>
  </si>
  <si>
    <t>05609S0</t>
  </si>
  <si>
    <t>DAVIES HUGH</t>
  </si>
  <si>
    <t>05647AJ</t>
  </si>
  <si>
    <t>POST-JOHN</t>
  </si>
  <si>
    <t>05628R6</t>
  </si>
  <si>
    <t>REEVES LLOYD D</t>
  </si>
  <si>
    <t>AMERICAN EAGLETT</t>
  </si>
  <si>
    <t>05623VY</t>
  </si>
  <si>
    <t>JENSEN TOR</t>
  </si>
  <si>
    <t>05625T8</t>
  </si>
  <si>
    <t>SEARGEANT WILLIAM G</t>
  </si>
  <si>
    <t>05628V9</t>
  </si>
  <si>
    <t>IRVINE GREGG R</t>
  </si>
  <si>
    <t>05623JQ</t>
  </si>
  <si>
    <t>BAY AREA COMPOSITE ACFT INC</t>
  </si>
  <si>
    <t>05626YT</t>
  </si>
  <si>
    <t>SEMINOLE FLYING &amp; SOARING INC</t>
  </si>
  <si>
    <t>05630FN</t>
  </si>
  <si>
    <t>DORRELL DONALD E</t>
  </si>
  <si>
    <t>AMERICAN SPIRIT XL</t>
  </si>
  <si>
    <t>06101HV</t>
  </si>
  <si>
    <t>CARL GOLDBERG</t>
  </si>
  <si>
    <t>AN-FQM-117B</t>
  </si>
  <si>
    <t>05637B9</t>
  </si>
  <si>
    <t>STUMPF</t>
  </si>
  <si>
    <t>ANTARES</t>
  </si>
  <si>
    <t>056114A</t>
  </si>
  <si>
    <t>PURSLEY KIP</t>
  </si>
  <si>
    <t>ANTARES MA-33</t>
  </si>
  <si>
    <t>05617F9</t>
  </si>
  <si>
    <t>05614W6</t>
  </si>
  <si>
    <t>KELLER MARTIN C</t>
  </si>
  <si>
    <t>05614R2</t>
  </si>
  <si>
    <t>HILL BRAD</t>
  </si>
  <si>
    <t>APIS WR</t>
  </si>
  <si>
    <t>05675CB</t>
  </si>
  <si>
    <t>SMITH MIKE</t>
  </si>
  <si>
    <t>APPLEBAY ZUNI</t>
  </si>
  <si>
    <t>ROBERTS</t>
  </si>
  <si>
    <t>AQUA GLIDER</t>
  </si>
  <si>
    <t>AS-12</t>
  </si>
  <si>
    <t>056211R</t>
  </si>
  <si>
    <t>KNELL JEFF</t>
  </si>
  <si>
    <t>ASC SPIRIT</t>
  </si>
  <si>
    <t>ASH 26</t>
  </si>
  <si>
    <t>ASW 17</t>
  </si>
  <si>
    <t>ASW-20XV</t>
  </si>
  <si>
    <t>ASW-22BE</t>
  </si>
  <si>
    <t>ASW20F</t>
  </si>
  <si>
    <t>056390Z</t>
  </si>
  <si>
    <t>WILLIAM E ATWOOD</t>
  </si>
  <si>
    <t>ATWOOD SAILPLANE 61</t>
  </si>
  <si>
    <t>05631TO</t>
  </si>
  <si>
    <t>VAN ALSTYNE P C</t>
  </si>
  <si>
    <t>AURORA SECONDARY GLI</t>
  </si>
  <si>
    <t>05627OB</t>
  </si>
  <si>
    <t>HEIDEMAN-BOWLUS</t>
  </si>
  <si>
    <t>B-3</t>
  </si>
  <si>
    <t>05636KD</t>
  </si>
  <si>
    <t>ROXBOROUGH GLIDER CLUB</t>
  </si>
  <si>
    <t>B-314 GLIDER</t>
  </si>
  <si>
    <t>13015KI</t>
  </si>
  <si>
    <t>ALQUIST HENRY E</t>
  </si>
  <si>
    <t>B-6</t>
  </si>
  <si>
    <t>05603ZH</t>
  </si>
  <si>
    <t>OKEEFE GYROCOPTER</t>
  </si>
  <si>
    <t>B-8</t>
  </si>
  <si>
    <t>05647FY</t>
  </si>
  <si>
    <t>ESPENSEN CLIFFORD</t>
  </si>
  <si>
    <t>B-J DUSTER</t>
  </si>
  <si>
    <t>B4-PC11A</t>
  </si>
  <si>
    <t>50901KZ</t>
  </si>
  <si>
    <t>50900FB</t>
  </si>
  <si>
    <t>BA2S</t>
  </si>
  <si>
    <t>056033Q</t>
  </si>
  <si>
    <t>SANTEE D F/SANTEE HOMBUILT</t>
  </si>
  <si>
    <t>BALLERINA</t>
  </si>
  <si>
    <t>40601MA</t>
  </si>
  <si>
    <t>BAM-1</t>
  </si>
  <si>
    <t>05619SC</t>
  </si>
  <si>
    <t>BAMBERG MICHAEL LEE</t>
  </si>
  <si>
    <t>BAMBERG HP-15/18</t>
  </si>
  <si>
    <t>DENT DANIEL M</t>
  </si>
  <si>
    <t>BD-5 B</t>
  </si>
  <si>
    <t>05647DJ</t>
  </si>
  <si>
    <t>GLAAB LOUIS C</t>
  </si>
  <si>
    <t>BD12BD</t>
  </si>
  <si>
    <t>JOHNSON</t>
  </si>
  <si>
    <t>BEKAS 1-A</t>
  </si>
  <si>
    <t>BERGFALKE II</t>
  </si>
  <si>
    <t>LUENGER</t>
  </si>
  <si>
    <t>BETA 1</t>
  </si>
  <si>
    <t>ZAWASKY</t>
  </si>
  <si>
    <t>PITTS ANDREW</t>
  </si>
  <si>
    <t>05603P3</t>
  </si>
  <si>
    <t>BG 12-X</t>
  </si>
  <si>
    <t>MANIS</t>
  </si>
  <si>
    <t>BG 12/16</t>
  </si>
  <si>
    <t>79001YV</t>
  </si>
  <si>
    <t>SCZESNY-ROTHE</t>
  </si>
  <si>
    <t>BG-12</t>
  </si>
  <si>
    <t>79001UK</t>
  </si>
  <si>
    <t>LEE</t>
  </si>
  <si>
    <t>05647BX</t>
  </si>
  <si>
    <t>MOREAU LAURANCE</t>
  </si>
  <si>
    <t>BG-12-16</t>
  </si>
  <si>
    <t>79001DA</t>
  </si>
  <si>
    <t>BG-12-A</t>
  </si>
  <si>
    <t>KILLEEN</t>
  </si>
  <si>
    <t>BG-12-B</t>
  </si>
  <si>
    <t>790011E</t>
  </si>
  <si>
    <t>WILLIS BRIEGLEB</t>
  </si>
  <si>
    <t>79001DJ</t>
  </si>
  <si>
    <t>BRIEGLEBB</t>
  </si>
  <si>
    <t>79001M6</t>
  </si>
  <si>
    <t>BRIEGLEB GLIDER</t>
  </si>
  <si>
    <t>79001NM</t>
  </si>
  <si>
    <t>BRIEGLEB SAILPLANE</t>
  </si>
  <si>
    <t>79001PH</t>
  </si>
  <si>
    <t>BRIEGLEB SIMS-LARUE</t>
  </si>
  <si>
    <t>79001S1</t>
  </si>
  <si>
    <t>ELDREDGE</t>
  </si>
  <si>
    <t>79001WS</t>
  </si>
  <si>
    <t>OTTO-HARDY</t>
  </si>
  <si>
    <t>79001XF</t>
  </si>
  <si>
    <t>PRICE</t>
  </si>
  <si>
    <t>79001YZ</t>
  </si>
  <si>
    <t>SEAIR</t>
  </si>
  <si>
    <t>790011F</t>
  </si>
  <si>
    <t>THOMAS</t>
  </si>
  <si>
    <t>79001NR</t>
  </si>
  <si>
    <t>79001T5</t>
  </si>
  <si>
    <t>HOEY-JOHNSON</t>
  </si>
  <si>
    <t>79001T6</t>
  </si>
  <si>
    <t>79001TG</t>
  </si>
  <si>
    <t>GILLAND-BRIEGLEB</t>
  </si>
  <si>
    <t>79001TK</t>
  </si>
  <si>
    <t>HAMM-SKOVGUARDS</t>
  </si>
  <si>
    <t>79001WG</t>
  </si>
  <si>
    <t>NIEUWENHUIJS</t>
  </si>
  <si>
    <t>79001Z4</t>
  </si>
  <si>
    <t>GOAR</t>
  </si>
  <si>
    <t>79001QD</t>
  </si>
  <si>
    <t>BRIEGLEB W G</t>
  </si>
  <si>
    <t>BG-12B-WG</t>
  </si>
  <si>
    <t>05603P0</t>
  </si>
  <si>
    <t>BG-12BD</t>
  </si>
  <si>
    <t>05647BU</t>
  </si>
  <si>
    <t>BOLTZ CHAD C</t>
  </si>
  <si>
    <t>79001EP</t>
  </si>
  <si>
    <t>GYENES</t>
  </si>
  <si>
    <t>79001FG</t>
  </si>
  <si>
    <t>79001NB</t>
  </si>
  <si>
    <t>79001T3</t>
  </si>
  <si>
    <t>HARTSHORN</t>
  </si>
  <si>
    <t>79001T7</t>
  </si>
  <si>
    <t>ARTHUR KRELLE</t>
  </si>
  <si>
    <t>79001V8</t>
  </si>
  <si>
    <t>MEISENBACH</t>
  </si>
  <si>
    <t>79001YA</t>
  </si>
  <si>
    <t>CHAS PHILBRICK</t>
  </si>
  <si>
    <t>79001ZL</t>
  </si>
  <si>
    <t>STONE</t>
  </si>
  <si>
    <t>05603UX</t>
  </si>
  <si>
    <t>FARRELL LESTER</t>
  </si>
  <si>
    <t>BG-12BD FS-1</t>
  </si>
  <si>
    <t>79001M9</t>
  </si>
  <si>
    <t>BRIEGLEB K</t>
  </si>
  <si>
    <t>BG-12BK</t>
  </si>
  <si>
    <t>79001F0</t>
  </si>
  <si>
    <t>BG-12BR</t>
  </si>
  <si>
    <t>79001GE</t>
  </si>
  <si>
    <t>BG-12C</t>
  </si>
  <si>
    <t>79001UJ</t>
  </si>
  <si>
    <t>LANG</t>
  </si>
  <si>
    <t>BG-12L</t>
  </si>
  <si>
    <t>79001HD</t>
  </si>
  <si>
    <t>BG-12R</t>
  </si>
  <si>
    <t>79001HS</t>
  </si>
  <si>
    <t>79001N2</t>
  </si>
  <si>
    <t>BG-8</t>
  </si>
  <si>
    <t>KING</t>
  </si>
  <si>
    <t>BG12-C</t>
  </si>
  <si>
    <t>BROYILL-COWAN-MURRAY</t>
  </si>
  <si>
    <t>79001FV</t>
  </si>
  <si>
    <t>TODD</t>
  </si>
  <si>
    <t>79001M2</t>
  </si>
  <si>
    <t>BG8</t>
  </si>
  <si>
    <t>MAUPIN-BARNHART</t>
  </si>
  <si>
    <t>GRIGSBY</t>
  </si>
  <si>
    <t>05647BH</t>
  </si>
  <si>
    <t>GOODWIN AURBREY C</t>
  </si>
  <si>
    <t>056320X</t>
  </si>
  <si>
    <t>JEFFREY H STRINGER</t>
  </si>
  <si>
    <t>05633EG</t>
  </si>
  <si>
    <t>DON LURKINS</t>
  </si>
  <si>
    <t>05647FV</t>
  </si>
  <si>
    <t>LIBKE-WIKLUND</t>
  </si>
  <si>
    <t>05647JN</t>
  </si>
  <si>
    <t>GORAL WILLIAM W</t>
  </si>
  <si>
    <t>05647M3</t>
  </si>
  <si>
    <t>RASANEN</t>
  </si>
  <si>
    <t>05647U7</t>
  </si>
  <si>
    <t>ZOOK</t>
  </si>
  <si>
    <t>05647V4</t>
  </si>
  <si>
    <t>WARREN</t>
  </si>
  <si>
    <t>05676R4</t>
  </si>
  <si>
    <t>LUDWICK LAWRENCE M</t>
  </si>
  <si>
    <t>05647CP</t>
  </si>
  <si>
    <t>DRAKE PAUL F &amp; STEVEN L</t>
  </si>
  <si>
    <t>05647K1</t>
  </si>
  <si>
    <t>ALLEN</t>
  </si>
  <si>
    <t>056756K</t>
  </si>
  <si>
    <t>BUZICK MAURICE E</t>
  </si>
  <si>
    <t>DYSON</t>
  </si>
  <si>
    <t>BJ1B DUSTER/GLIDER</t>
  </si>
  <si>
    <t>05638EU</t>
  </si>
  <si>
    <t>WATERHOUSE CO</t>
  </si>
  <si>
    <t>BL-1</t>
  </si>
  <si>
    <t>05606RF</t>
  </si>
  <si>
    <t>BLANCHETTE CHARLES T</t>
  </si>
  <si>
    <t>BLANCHETTE-MONERAI</t>
  </si>
  <si>
    <t>05636UD</t>
  </si>
  <si>
    <t>RIDDICK</t>
  </si>
  <si>
    <t>BLUE HERON GLIDER</t>
  </si>
  <si>
    <t>BOWLUS SAILPLANES INC</t>
  </si>
  <si>
    <t>BM-5</t>
  </si>
  <si>
    <t>05603BY</t>
  </si>
  <si>
    <t>BARTOS</t>
  </si>
  <si>
    <t>BN-1</t>
  </si>
  <si>
    <t>STEAMBOAT SPRINGS GLIDER CLUB</t>
  </si>
  <si>
    <t>BOWLUS 13</t>
  </si>
  <si>
    <t>BOWLUS SAILPLANE COMPANY LTD</t>
  </si>
  <si>
    <t>BOWLUS A SAILPLANE</t>
  </si>
  <si>
    <t>50901BF</t>
  </si>
  <si>
    <t>LANGLEY / GOUGH</t>
  </si>
  <si>
    <t>BOWLUS ALBATROSS</t>
  </si>
  <si>
    <t>05647H5</t>
  </si>
  <si>
    <t>COLLINS</t>
  </si>
  <si>
    <t>BRIAN HP-16T</t>
  </si>
  <si>
    <t>SILZLE</t>
  </si>
  <si>
    <t>BRIEGLEB BG 12 BD</t>
  </si>
  <si>
    <t>STARK</t>
  </si>
  <si>
    <t>BRIEGLEB BG-12-BD</t>
  </si>
  <si>
    <t>HANAWALT</t>
  </si>
  <si>
    <t>BRIEGLEB BG-12/16</t>
  </si>
  <si>
    <t>79001TX</t>
  </si>
  <si>
    <t>HARTMANN</t>
  </si>
  <si>
    <t>BRIEGLEB BG-12A</t>
  </si>
  <si>
    <t>79001V4</t>
  </si>
  <si>
    <t>MARSH-TURNER</t>
  </si>
  <si>
    <t>GESER-MCCONNELL</t>
  </si>
  <si>
    <t>05647AG</t>
  </si>
  <si>
    <t>CAMPBELL-WILLIAM</t>
  </si>
  <si>
    <t>79001AP</t>
  </si>
  <si>
    <t>JOSEF BRABEC</t>
  </si>
  <si>
    <t>05647A8</t>
  </si>
  <si>
    <t>CONNER</t>
  </si>
  <si>
    <t>BRIEGLEB BG12B</t>
  </si>
  <si>
    <t>05603DD</t>
  </si>
  <si>
    <t>HAYES</t>
  </si>
  <si>
    <t>BRIEGLEB BG12BD</t>
  </si>
  <si>
    <t>79001AR</t>
  </si>
  <si>
    <t>BEAZLEY</t>
  </si>
  <si>
    <t>WEST COAST GLIDER &amp; SUPPLY</t>
  </si>
  <si>
    <t>05639BE</t>
  </si>
  <si>
    <t>WILLIAM G BRIEGLEB</t>
  </si>
  <si>
    <t>79001AS</t>
  </si>
  <si>
    <t>TOWNSEND H L</t>
  </si>
  <si>
    <t>BRIEGLED BG12A</t>
  </si>
  <si>
    <t>05640SN</t>
  </si>
  <si>
    <t>WILLIAM BRUCE JR</t>
  </si>
  <si>
    <t>BRUCE PRIMARY GLIDER</t>
  </si>
  <si>
    <t>ESSLSTYN</t>
  </si>
  <si>
    <t>BRYAN AIRCRAFT RS-15</t>
  </si>
  <si>
    <t>PREAS</t>
  </si>
  <si>
    <t>05675WU</t>
  </si>
  <si>
    <t>SEBERN RICHARD C</t>
  </si>
  <si>
    <t>BRYAN HP-18</t>
  </si>
  <si>
    <t>50901KD</t>
  </si>
  <si>
    <t>BS-100</t>
  </si>
  <si>
    <t>BSA-100</t>
  </si>
  <si>
    <t>BTS-100</t>
  </si>
  <si>
    <t>05647S7</t>
  </si>
  <si>
    <t>MASSACHUSETTS INST. OF TECH.</t>
  </si>
  <si>
    <t>BURD II</t>
  </si>
  <si>
    <t>05620N3</t>
  </si>
  <si>
    <t>BUXTON JAY</t>
  </si>
  <si>
    <t>BUXTON B-4 GLIDER</t>
  </si>
  <si>
    <t>SISLEY</t>
  </si>
  <si>
    <t>C100S</t>
  </si>
  <si>
    <t>40601NS</t>
  </si>
  <si>
    <t>C2 C-1</t>
  </si>
  <si>
    <t>CADET GLIDER</t>
  </si>
  <si>
    <t>CALIF A21J</t>
  </si>
  <si>
    <t>CAPSTAN TYPE 49B</t>
  </si>
  <si>
    <t>05603JH</t>
  </si>
  <si>
    <t>DOTTIE S.</t>
  </si>
  <si>
    <t>CBS-1</t>
  </si>
  <si>
    <t>40601U1</t>
  </si>
  <si>
    <t>CLES CHEROKEE II</t>
  </si>
  <si>
    <t>CF-1</t>
  </si>
  <si>
    <t>FUNK</t>
  </si>
  <si>
    <t>CG-2</t>
  </si>
  <si>
    <t>WACO</t>
  </si>
  <si>
    <t>CG-4A</t>
  </si>
  <si>
    <t>056091I</t>
  </si>
  <si>
    <t>WINDHAM GENE N</t>
  </si>
  <si>
    <t>CHALLENGER II</t>
  </si>
  <si>
    <t>CHASE C-101</t>
  </si>
  <si>
    <t>ZIMMER</t>
  </si>
  <si>
    <t>CHEROKEE 2</t>
  </si>
  <si>
    <t>LININGER-MYTHEN</t>
  </si>
  <si>
    <t>CHEROKEE 2 SAILPLANE</t>
  </si>
  <si>
    <t>KERLEY</t>
  </si>
  <si>
    <t>SABINE</t>
  </si>
  <si>
    <t>LORD-HALL</t>
  </si>
  <si>
    <t>056037A</t>
  </si>
  <si>
    <t>SVEUM</t>
  </si>
  <si>
    <t>05603JB</t>
  </si>
  <si>
    <t>COLLIER R L/ELLIOTT D W</t>
  </si>
  <si>
    <t>05603JC</t>
  </si>
  <si>
    <t>DION</t>
  </si>
  <si>
    <t>05603YM</t>
  </si>
  <si>
    <t>NEWGARD</t>
  </si>
  <si>
    <t>05647CD</t>
  </si>
  <si>
    <t>RESSEL GOTTFRIED J</t>
  </si>
  <si>
    <t>406010J</t>
  </si>
  <si>
    <t>R. P. HLAVENKA</t>
  </si>
  <si>
    <t>406013G</t>
  </si>
  <si>
    <t>PAGE CHEROKEE</t>
  </si>
  <si>
    <t>406014N</t>
  </si>
  <si>
    <t>SANCHEZ</t>
  </si>
  <si>
    <t>406014Y</t>
  </si>
  <si>
    <t>SHOWALTER-PARKER CHEROKEE</t>
  </si>
  <si>
    <t>406015D</t>
  </si>
  <si>
    <t>SWANEY HALL</t>
  </si>
  <si>
    <t>40601CG</t>
  </si>
  <si>
    <t>BAIRD</t>
  </si>
  <si>
    <t>40601LK</t>
  </si>
  <si>
    <t>CHEROKEE GLIDER</t>
  </si>
  <si>
    <t>40601SF</t>
  </si>
  <si>
    <t>KOLSTAD K/SMITH D</t>
  </si>
  <si>
    <t>40601V4</t>
  </si>
  <si>
    <t>FLAGLOR</t>
  </si>
  <si>
    <t>40601VD</t>
  </si>
  <si>
    <t>DAVIS HOMEBUILT GLIDER</t>
  </si>
  <si>
    <t>40601WV</t>
  </si>
  <si>
    <t>40601XL</t>
  </si>
  <si>
    <t>HALL</t>
  </si>
  <si>
    <t>40601Z5</t>
  </si>
  <si>
    <t>HENNEMAN</t>
  </si>
  <si>
    <t>40601ZT</t>
  </si>
  <si>
    <t>HALL HOME BUILT</t>
  </si>
  <si>
    <t>40601ZW</t>
  </si>
  <si>
    <t>HAUGHEY-MANIACI</t>
  </si>
  <si>
    <t>05603A5</t>
  </si>
  <si>
    <t>AMATEURBUILT</t>
  </si>
  <si>
    <t>CHEROKEE II GLIDER</t>
  </si>
  <si>
    <t>40601ZZ</t>
  </si>
  <si>
    <t>HEPPERLEN</t>
  </si>
  <si>
    <t>CHEROKEE II HMH</t>
  </si>
  <si>
    <t>40601TS</t>
  </si>
  <si>
    <t>SHOEMAKER</t>
  </si>
  <si>
    <t>05603S2</t>
  </si>
  <si>
    <t>JUNIO AIRCRAFT</t>
  </si>
  <si>
    <t>CHEROKEE QUEEN</t>
  </si>
  <si>
    <t>SCHELLENBAUM</t>
  </si>
  <si>
    <t>CHEROKEE RM</t>
  </si>
  <si>
    <t>40601U0</t>
  </si>
  <si>
    <t>CLARK</t>
  </si>
  <si>
    <t>40601W7</t>
  </si>
  <si>
    <t>SHAMBLEN</t>
  </si>
  <si>
    <t>40601W8</t>
  </si>
  <si>
    <t>MCWHORTER</t>
  </si>
  <si>
    <t>05647KE</t>
  </si>
  <si>
    <t>SNEDDON NORMAN R</t>
  </si>
  <si>
    <t>40601JT</t>
  </si>
  <si>
    <t>MCCOSH JACK A</t>
  </si>
  <si>
    <t>056378A</t>
  </si>
  <si>
    <t>STEVENS INS OF TECH GLIDER CLU</t>
  </si>
  <si>
    <t>CLUB GLIDER</t>
  </si>
  <si>
    <t>056045G</t>
  </si>
  <si>
    <t>COLLING J D/PRATT S A</t>
  </si>
  <si>
    <t>COLLING HP-18</t>
  </si>
  <si>
    <t>05639OT</t>
  </si>
  <si>
    <t>STANLEY COLLINS</t>
  </si>
  <si>
    <t>COLLINS GLIDER</t>
  </si>
  <si>
    <t>CONCEPT SAILPLANES INC.</t>
  </si>
  <si>
    <t>CONCEPT-70</t>
  </si>
  <si>
    <t>MCLAUGHLIN</t>
  </si>
  <si>
    <t>056374Y</t>
  </si>
  <si>
    <t>MORSE ROBERT WILLIAM</t>
  </si>
  <si>
    <t>CONDOR</t>
  </si>
  <si>
    <t>SCHMETZ F. B.</t>
  </si>
  <si>
    <t>CONDOR IV.2</t>
  </si>
  <si>
    <t>05639KO</t>
  </si>
  <si>
    <t>WILLIAM COOPER</t>
  </si>
  <si>
    <t>COOPER SECOND GLIDER</t>
  </si>
  <si>
    <t>056267J</t>
  </si>
  <si>
    <t>COWLES RICHARD L</t>
  </si>
  <si>
    <t>COWLES HP-18</t>
  </si>
  <si>
    <t>05639PB</t>
  </si>
  <si>
    <t>CRAWFORD POWER GLIDER MFG</t>
  </si>
  <si>
    <t>CRAWFORD</t>
  </si>
  <si>
    <t>05639PL</t>
  </si>
  <si>
    <t>RAYMOND CRIDEL</t>
  </si>
  <si>
    <t>CRIDEL GLIDER</t>
  </si>
  <si>
    <t>05638BJ</t>
  </si>
  <si>
    <t>CROTHERSVILLE LUMBER CO</t>
  </si>
  <si>
    <t>CROTHERSVILLE GLIDER</t>
  </si>
  <si>
    <t>05639KT</t>
  </si>
  <si>
    <t>CROW RADIO AND GLIDER CO</t>
  </si>
  <si>
    <t>CROW PRIM GLIDER A</t>
  </si>
  <si>
    <t>05639PG</t>
  </si>
  <si>
    <t>CROWN CITY GLIDER CLUB</t>
  </si>
  <si>
    <t>CROWN CITY DB-44 GLI</t>
  </si>
  <si>
    <t>CAMPBELL</t>
  </si>
  <si>
    <t>CSG-1</t>
  </si>
  <si>
    <t>061012I</t>
  </si>
  <si>
    <t>TYLER LERNER</t>
  </si>
  <si>
    <t>CUSTOM DESIGN</t>
  </si>
  <si>
    <t>40601M1</t>
  </si>
  <si>
    <t>CW-1</t>
  </si>
  <si>
    <t>OROZCO</t>
  </si>
  <si>
    <t>D-8</t>
  </si>
  <si>
    <t>05603NB</t>
  </si>
  <si>
    <t>GRASSHOPPER SAILPLANE</t>
  </si>
  <si>
    <t>05603WA</t>
  </si>
  <si>
    <t>MAUCH</t>
  </si>
  <si>
    <t>05676H4</t>
  </si>
  <si>
    <t>PRICE ROY A</t>
  </si>
  <si>
    <t>D-8A</t>
  </si>
  <si>
    <t>05603R5</t>
  </si>
  <si>
    <t>D. N. JACKLEY</t>
  </si>
  <si>
    <t>05640TM</t>
  </si>
  <si>
    <t>DARMSTADT COLLEGE</t>
  </si>
  <si>
    <t>DARMSTADTGLIDER</t>
  </si>
  <si>
    <t>DART T.51/17</t>
  </si>
  <si>
    <t>05603HM</t>
  </si>
  <si>
    <t>DBS-1</t>
  </si>
  <si>
    <t>05603VD</t>
  </si>
  <si>
    <t>LUNGER</t>
  </si>
  <si>
    <t>DFS OLYMPIA</t>
  </si>
  <si>
    <t>056403R</t>
  </si>
  <si>
    <t>OMAHA AERO CLUB</t>
  </si>
  <si>
    <t>DG-1-300</t>
  </si>
  <si>
    <t>DG-303 ELAN</t>
  </si>
  <si>
    <t>ELAN FLIGHT LTD.</t>
  </si>
  <si>
    <t>DG-500 ELAN TRAINER</t>
  </si>
  <si>
    <t>DG-600/18</t>
  </si>
  <si>
    <t>DG-600M</t>
  </si>
  <si>
    <t>38019VM</t>
  </si>
  <si>
    <t>DISCUS</t>
  </si>
  <si>
    <t>38019VQ</t>
  </si>
  <si>
    <t>SCHEMPP-HIRTH FLUZEUGBAU GMBH</t>
  </si>
  <si>
    <t>DISCUS BM</t>
  </si>
  <si>
    <t>05636VV</t>
  </si>
  <si>
    <t>DON GLIDER CLUB</t>
  </si>
  <si>
    <t>DON NORTHROP PRIM GL</t>
  </si>
  <si>
    <t>MARRA</t>
  </si>
  <si>
    <t>DRIFTER</t>
  </si>
  <si>
    <t>05635XO</t>
  </si>
  <si>
    <t>JAMES LESLIE BARTON</t>
  </si>
  <si>
    <t>DUNSTABLE-KESTREL</t>
  </si>
  <si>
    <t>EDDY</t>
  </si>
  <si>
    <t>05647D2</t>
  </si>
  <si>
    <t>MATTIS</t>
  </si>
  <si>
    <t>05647KS</t>
  </si>
  <si>
    <t>SCHAEFER ROBERT</t>
  </si>
  <si>
    <t>05647X3</t>
  </si>
  <si>
    <t>WIESE</t>
  </si>
  <si>
    <t>05675ZG</t>
  </si>
  <si>
    <t>CROSSIN THOMAS H</t>
  </si>
  <si>
    <t>SAVOIE</t>
  </si>
  <si>
    <t>PROTHEROE</t>
  </si>
  <si>
    <t>BRYCE</t>
  </si>
  <si>
    <t>O'CONNOR</t>
  </si>
  <si>
    <t>05647FC</t>
  </si>
  <si>
    <t>MINER ERNEST E</t>
  </si>
  <si>
    <t>05647FN</t>
  </si>
  <si>
    <t>BURPEE CHARLES M</t>
  </si>
  <si>
    <t>05647N5</t>
  </si>
  <si>
    <t>BOMBALL</t>
  </si>
  <si>
    <t>05647V5</t>
  </si>
  <si>
    <t>LUEDER</t>
  </si>
  <si>
    <t>05647X1</t>
  </si>
  <si>
    <t>NEAL</t>
  </si>
  <si>
    <t>05647X9</t>
  </si>
  <si>
    <t>CRUMP</t>
  </si>
  <si>
    <t>05629AZ</t>
  </si>
  <si>
    <t>WALTERS</t>
  </si>
  <si>
    <t>05647BB</t>
  </si>
  <si>
    <t>DUNCAN JOHN V</t>
  </si>
  <si>
    <t>05647FA</t>
  </si>
  <si>
    <t>SCHMITT ALBERT J</t>
  </si>
  <si>
    <t>056359L</t>
  </si>
  <si>
    <t>EUGENE M ARDELT</t>
  </si>
  <si>
    <t>E A II GLIDER</t>
  </si>
  <si>
    <t>05636PZ</t>
  </si>
  <si>
    <t>LEVENE BEN</t>
  </si>
  <si>
    <t>E-403 GLIDER</t>
  </si>
  <si>
    <t>E-415</t>
  </si>
  <si>
    <t>05647GJ</t>
  </si>
  <si>
    <t>CRAIG CHRIS</t>
  </si>
  <si>
    <t>EAGLET</t>
  </si>
  <si>
    <t>05647R6</t>
  </si>
  <si>
    <t>HAWLEY</t>
  </si>
  <si>
    <t>05647W8</t>
  </si>
  <si>
    <t>ATKINSON</t>
  </si>
  <si>
    <t>05620C3</t>
  </si>
  <si>
    <t>DUEDE MFR</t>
  </si>
  <si>
    <t>EB-15 GLIDER</t>
  </si>
  <si>
    <t>NEUKOM</t>
  </si>
  <si>
    <t>ELFE STANDARD S3</t>
  </si>
  <si>
    <t>WOLKOVITCH</t>
  </si>
  <si>
    <t>ENGEL SKYRIDER S-1</t>
  </si>
  <si>
    <t>MEREDITH</t>
  </si>
  <si>
    <t>ENTERPRISE AX-6</t>
  </si>
  <si>
    <t>EON MARK II</t>
  </si>
  <si>
    <t>05603J3</t>
  </si>
  <si>
    <t>EASLEY-POWELL-BLACKSTROM</t>
  </si>
  <si>
    <t>EPB-1</t>
  </si>
  <si>
    <t>056033F</t>
  </si>
  <si>
    <t>ROHSNER</t>
  </si>
  <si>
    <t>EPB-1C</t>
  </si>
  <si>
    <t>05603U3</t>
  </si>
  <si>
    <t>LINDER FLYING PLANK</t>
  </si>
  <si>
    <t>EPB-2</t>
  </si>
  <si>
    <t>SCHNEIDER</t>
  </si>
  <si>
    <t>ES 59 ARROW</t>
  </si>
  <si>
    <t>ES60/II BOOMERANG</t>
  </si>
  <si>
    <t>05647TD</t>
  </si>
  <si>
    <t>ESKUE JERRY W</t>
  </si>
  <si>
    <t>ESKUE-2</t>
  </si>
  <si>
    <t>FB-100</t>
  </si>
  <si>
    <t>05603CN</t>
  </si>
  <si>
    <t>BLACKSTROM GLIDED</t>
  </si>
  <si>
    <t>FLYING PLANK EPB-1C</t>
  </si>
  <si>
    <t>79001V7</t>
  </si>
  <si>
    <t>MELSHEIMER</t>
  </si>
  <si>
    <t>FM-1</t>
  </si>
  <si>
    <t>056362B</t>
  </si>
  <si>
    <t>FRANKLINVILLE AERO ASSN</t>
  </si>
  <si>
    <t>FRANKLINVILLE GLIDER</t>
  </si>
  <si>
    <t>05636RP</t>
  </si>
  <si>
    <t>FRASER HARRISON MARVIN</t>
  </si>
  <si>
    <t>FRASER WATER GLIDER</t>
  </si>
  <si>
    <t>05603UY</t>
  </si>
  <si>
    <t>LESTER &amp; KNOBLOCH</t>
  </si>
  <si>
    <t>FS-1</t>
  </si>
  <si>
    <t>05639PA</t>
  </si>
  <si>
    <t>LESTER FULLER</t>
  </si>
  <si>
    <t>FULLER GLIDER</t>
  </si>
  <si>
    <t>VAN BEZEL AIRCRAFT CO</t>
  </si>
  <si>
    <t>G</t>
  </si>
  <si>
    <t>FUNK AIRCRAFT COMPANY</t>
  </si>
  <si>
    <t>BURKHART GROB/TRAMPUS</t>
  </si>
  <si>
    <t>LAWSON I N JR</t>
  </si>
  <si>
    <t>G-1</t>
  </si>
  <si>
    <t>056350W</t>
  </si>
  <si>
    <t>DETROIT AIRCRAFT CORP</t>
  </si>
  <si>
    <t>05636NO</t>
  </si>
  <si>
    <t>MEAD</t>
  </si>
  <si>
    <t>G-1 GLIDER</t>
  </si>
  <si>
    <t>05636Q8</t>
  </si>
  <si>
    <t>GREEN A B</t>
  </si>
  <si>
    <t>056401I</t>
  </si>
  <si>
    <t>AERO INDUSTRIES TECHNICAL INST</t>
  </si>
  <si>
    <t>G-1GLIDER</t>
  </si>
  <si>
    <t>05621CF</t>
  </si>
  <si>
    <t>G-2</t>
  </si>
  <si>
    <t>05603FL</t>
  </si>
  <si>
    <t>GEESEE</t>
  </si>
  <si>
    <t>05636MO</t>
  </si>
  <si>
    <t>GRAICHEN RALPH R</t>
  </si>
  <si>
    <t>G-A</t>
  </si>
  <si>
    <t>RESSEL</t>
  </si>
  <si>
    <t>G.R.3</t>
  </si>
  <si>
    <t>05603M3</t>
  </si>
  <si>
    <t>GEORGE APPLEBAY</t>
  </si>
  <si>
    <t>GA-II</t>
  </si>
  <si>
    <t>05615U7</t>
  </si>
  <si>
    <t>BURDUE DAWN J</t>
  </si>
  <si>
    <t>GB GLIDER</t>
  </si>
  <si>
    <t>GILLMORE</t>
  </si>
  <si>
    <t>GEHRLEIN GP-1</t>
  </si>
  <si>
    <t>EVANKO</t>
  </si>
  <si>
    <t>05625RH</t>
  </si>
  <si>
    <t>GENESIS GROUP INC</t>
  </si>
  <si>
    <t>GENESIS I GLIDER</t>
  </si>
  <si>
    <t>WIEDERKEHR ANTHONY C</t>
  </si>
  <si>
    <t>GHW-2</t>
  </si>
  <si>
    <t>056404T</t>
  </si>
  <si>
    <t>05641H3</t>
  </si>
  <si>
    <t>GLIDEOPLANE CO</t>
  </si>
  <si>
    <t>GLIDEOPLANE 8</t>
  </si>
  <si>
    <t>BAKER BB &amp; COLLINS MW</t>
  </si>
  <si>
    <t>MOUNTAINEER AERONAUTICAL CLUB</t>
  </si>
  <si>
    <t>MEYSENBURG RICHARD</t>
  </si>
  <si>
    <t>KEGEL-FLUGSEUGHBER</t>
  </si>
  <si>
    <t>056199Z</t>
  </si>
  <si>
    <t>ROBERTSON DAVID</t>
  </si>
  <si>
    <t>056280I</t>
  </si>
  <si>
    <t>MASSACHUSETTS INST OF TECH AER</t>
  </si>
  <si>
    <t>05628OV</t>
  </si>
  <si>
    <t>WESTERN FLYERS</t>
  </si>
  <si>
    <t>05628XO</t>
  </si>
  <si>
    <t>GOTTSCHALK MORTON E</t>
  </si>
  <si>
    <t>05632U5</t>
  </si>
  <si>
    <t>ESSERY / DICKENSON / FREEDMAN</t>
  </si>
  <si>
    <t>05634W0</t>
  </si>
  <si>
    <t>LIMPRIGHT CLIFFORD</t>
  </si>
  <si>
    <t>05634WP</t>
  </si>
  <si>
    <t>05634X6</t>
  </si>
  <si>
    <t>N C E GLIDER CLUB</t>
  </si>
  <si>
    <t>05634XC</t>
  </si>
  <si>
    <t>E H S GLIDER CLUB</t>
  </si>
  <si>
    <t>056354F</t>
  </si>
  <si>
    <t>ROEMER THEODORE/THOMSON JOHN</t>
  </si>
  <si>
    <t>05635MQ</t>
  </si>
  <si>
    <t>JOHNSON LAWRENCE</t>
  </si>
  <si>
    <t>05635PB</t>
  </si>
  <si>
    <t>CHESLEY RAY /CARUSO JAMES</t>
  </si>
  <si>
    <t>056360K</t>
  </si>
  <si>
    <t>DANNER EVERETT / GRAEF NED</t>
  </si>
  <si>
    <t>056361Z</t>
  </si>
  <si>
    <t>LEYVA BELVIN / SOUZA ALBERT</t>
  </si>
  <si>
    <t>05636MU</t>
  </si>
  <si>
    <t>QUINCY GLIDER CLUB</t>
  </si>
  <si>
    <t>05640SK</t>
  </si>
  <si>
    <t>HOWARD BUTTERS/HOY CRANSTON</t>
  </si>
  <si>
    <t>40601P8</t>
  </si>
  <si>
    <t>40601PH</t>
  </si>
  <si>
    <t>05636X9</t>
  </si>
  <si>
    <t>RAAB-KATZENSTEIN</t>
  </si>
  <si>
    <t>GLIDER (1)</t>
  </si>
  <si>
    <t>05636YH</t>
  </si>
  <si>
    <t>GLIDER (2)</t>
  </si>
  <si>
    <t>05633LQ</t>
  </si>
  <si>
    <t>MILLER BOYD</t>
  </si>
  <si>
    <t>GLIDER (SECONDARY)</t>
  </si>
  <si>
    <t>056036K</t>
  </si>
  <si>
    <t>STANLEY SAILPLANE</t>
  </si>
  <si>
    <t>GLIDER 2 PO-CLM</t>
  </si>
  <si>
    <t>05620L4</t>
  </si>
  <si>
    <t>UNIVERSITY GLIDER CLUB</t>
  </si>
  <si>
    <t>GLIDER PG</t>
  </si>
  <si>
    <t>05636OC</t>
  </si>
  <si>
    <t>GLIDER TG-5</t>
  </si>
  <si>
    <t>05636RL</t>
  </si>
  <si>
    <t>GLUNZ JOSEPH</t>
  </si>
  <si>
    <t>GLUNZ 1933 GLIDER</t>
  </si>
  <si>
    <t>05603M1</t>
  </si>
  <si>
    <t>CHAMPAIGN PUBLIC SCHOOLS</t>
  </si>
  <si>
    <t>GOEPPINGEN WOLF I</t>
  </si>
  <si>
    <t>SPORT-FLUGZEUBAU</t>
  </si>
  <si>
    <t>GOPPINGEN 1 WOLF</t>
  </si>
  <si>
    <t>SPORT-FLUGZEUGBAU</t>
  </si>
  <si>
    <t>GOPPINGEN 3 MINIMOA</t>
  </si>
  <si>
    <t>05620IO</t>
  </si>
  <si>
    <t>SPORT FLUGZENBAU</t>
  </si>
  <si>
    <t>GOPPINGEN WOLF</t>
  </si>
  <si>
    <t>05647GB</t>
  </si>
  <si>
    <t>SARGENT KENNETH</t>
  </si>
  <si>
    <t>GRASSHOPPER D-8</t>
  </si>
  <si>
    <t>056399B</t>
  </si>
  <si>
    <t>ROBERT G GRIMES</t>
  </si>
  <si>
    <t>GRIMES NORTHRUP GLID</t>
  </si>
  <si>
    <t>05636UW</t>
  </si>
  <si>
    <t>GROGG</t>
  </si>
  <si>
    <t>GROGG AA</t>
  </si>
  <si>
    <t>05620H5</t>
  </si>
  <si>
    <t>GROSS FRANK</t>
  </si>
  <si>
    <t>GROSS 4</t>
  </si>
  <si>
    <t>05636NP</t>
  </si>
  <si>
    <t>GROSS SAILCRAFT CORP</t>
  </si>
  <si>
    <t>GROSS F-5</t>
  </si>
  <si>
    <t>38001AG</t>
  </si>
  <si>
    <t>GRUMAN</t>
  </si>
  <si>
    <t>GRUMAN BABY</t>
  </si>
  <si>
    <t>MCCLAIN</t>
  </si>
  <si>
    <t>GRUNAU BABY</t>
  </si>
  <si>
    <t>056037R</t>
  </si>
  <si>
    <t>TWEED JR.</t>
  </si>
  <si>
    <t>GT-1</t>
  </si>
  <si>
    <t>GULL 1</t>
  </si>
  <si>
    <t>05636US</t>
  </si>
  <si>
    <t>TRAVERSO/ROSA</t>
  </si>
  <si>
    <t>GULL PRIMARY GLIDER</t>
  </si>
  <si>
    <t>056038X</t>
  </si>
  <si>
    <t>WIGHAM</t>
  </si>
  <si>
    <t>GW-1</t>
  </si>
  <si>
    <t>056038Z</t>
  </si>
  <si>
    <t>GW-2</t>
  </si>
  <si>
    <t>WHIGHAM</t>
  </si>
  <si>
    <t>GW-4</t>
  </si>
  <si>
    <t>05647H6</t>
  </si>
  <si>
    <t>GW4A</t>
  </si>
  <si>
    <t>05647GC</t>
  </si>
  <si>
    <t>GW5</t>
  </si>
  <si>
    <t>05636UF</t>
  </si>
  <si>
    <t>ZIEGENFUSS</t>
  </si>
  <si>
    <t>GYMNICH SAILPLANE</t>
  </si>
  <si>
    <t>05638Q5</t>
  </si>
  <si>
    <t>HICKOK CLARENCE W</t>
  </si>
  <si>
    <t>GYMNICK AMER GLIDER</t>
  </si>
  <si>
    <t>H 301</t>
  </si>
  <si>
    <t>05603QZ</t>
  </si>
  <si>
    <t>HOWARD GULL</t>
  </si>
  <si>
    <t>H 4</t>
  </si>
  <si>
    <t>KNYPSTRA</t>
  </si>
  <si>
    <t>H-101 SALTO</t>
  </si>
  <si>
    <t>HANLE</t>
  </si>
  <si>
    <t>05629BA</t>
  </si>
  <si>
    <t>GURR</t>
  </si>
  <si>
    <t>05636BC</t>
  </si>
  <si>
    <t>HANEY L A</t>
  </si>
  <si>
    <t>HANEY GLIDER</t>
  </si>
  <si>
    <t>056401P</t>
  </si>
  <si>
    <t>N F HANKINS</t>
  </si>
  <si>
    <t>HANKINS C-1 GLIDER</t>
  </si>
  <si>
    <t>05640RE</t>
  </si>
  <si>
    <t>MELVIN C HARCOURT</t>
  </si>
  <si>
    <t>HARCOURT MEAD R R I</t>
  </si>
  <si>
    <t>05640WL</t>
  </si>
  <si>
    <t>WALTER A HAAS</t>
  </si>
  <si>
    <t>HASS PRIMARY GLIDER</t>
  </si>
  <si>
    <t>05603P8</t>
  </si>
  <si>
    <t>HB1-1A</t>
  </si>
  <si>
    <t>HBV DIAMANT</t>
  </si>
  <si>
    <t>05640RF</t>
  </si>
  <si>
    <t>ARVID HENDEN</t>
  </si>
  <si>
    <t>HENDEN PRIMARY GLIDR</t>
  </si>
  <si>
    <t>05636UE</t>
  </si>
  <si>
    <t>HICKISH</t>
  </si>
  <si>
    <t>HICKISH A GLIDER</t>
  </si>
  <si>
    <t>05633MN</t>
  </si>
  <si>
    <t>HIGH HOMER D</t>
  </si>
  <si>
    <t>HIGH PRIMARY GLIDER</t>
  </si>
  <si>
    <t>EAA</t>
  </si>
  <si>
    <t>HM-L3A</t>
  </si>
  <si>
    <t>40601QZ</t>
  </si>
  <si>
    <t>HOME BUILT</t>
  </si>
  <si>
    <t>40601RQ</t>
  </si>
  <si>
    <t>LOCK HAVEN GLIDER CLUB</t>
  </si>
  <si>
    <t>HOMEBUILT D-8</t>
  </si>
  <si>
    <t>BUTLER</t>
  </si>
  <si>
    <t>HOMEBUILT HP-16</t>
  </si>
  <si>
    <t>05612DC</t>
  </si>
  <si>
    <t>SANTEE DONALD F</t>
  </si>
  <si>
    <t>HOMEBUILT SAILPLANE</t>
  </si>
  <si>
    <t>05639K0</t>
  </si>
  <si>
    <t>W J HOMER</t>
  </si>
  <si>
    <t>HOMER GLIDER</t>
  </si>
  <si>
    <t>056024U</t>
  </si>
  <si>
    <t>SACHER RICHARD</t>
  </si>
  <si>
    <t>HP - 18</t>
  </si>
  <si>
    <t>05603U8</t>
  </si>
  <si>
    <t>LOVLESS</t>
  </si>
  <si>
    <t>HP 10</t>
  </si>
  <si>
    <t>05647UX</t>
  </si>
  <si>
    <t>MORGAN MICHAEL L</t>
  </si>
  <si>
    <t>HELISOAR</t>
  </si>
  <si>
    <t>HP-10</t>
  </si>
  <si>
    <t>05603AV</t>
  </si>
  <si>
    <t>05603KZ</t>
  </si>
  <si>
    <t>EMONS</t>
  </si>
  <si>
    <t>05603PV</t>
  </si>
  <si>
    <t>FLODEN</t>
  </si>
  <si>
    <t>05603PW</t>
  </si>
  <si>
    <t>CAMACHO</t>
  </si>
  <si>
    <t>05603AZ</t>
  </si>
  <si>
    <t>05603MJ</t>
  </si>
  <si>
    <t>FLEMING AIR MATE</t>
  </si>
  <si>
    <t>056035Q</t>
  </si>
  <si>
    <t>VONHUENE</t>
  </si>
  <si>
    <t>056035B</t>
  </si>
  <si>
    <t>056035K</t>
  </si>
  <si>
    <t>05603EC</t>
  </si>
  <si>
    <t>MAHLE</t>
  </si>
  <si>
    <t>ALDEN G WILSON</t>
  </si>
  <si>
    <t>HP-11AW</t>
  </si>
  <si>
    <t>056035M</t>
  </si>
  <si>
    <t>HP-12</t>
  </si>
  <si>
    <t>056035L</t>
  </si>
  <si>
    <t>HP-12A</t>
  </si>
  <si>
    <t>05647FU</t>
  </si>
  <si>
    <t>BORNHORST-WILSON-O'HAGAN</t>
  </si>
  <si>
    <t>05603A8</t>
  </si>
  <si>
    <t>AMATEUR-BUILT</t>
  </si>
  <si>
    <t>HP-13A</t>
  </si>
  <si>
    <t>KELLEY</t>
  </si>
  <si>
    <t>SCHREDER SAILPLANE</t>
  </si>
  <si>
    <t>056034N</t>
  </si>
  <si>
    <t>056035S</t>
  </si>
  <si>
    <t>056035X</t>
  </si>
  <si>
    <t>SPARKS-SCHREDER</t>
  </si>
  <si>
    <t>05603BW</t>
  </si>
  <si>
    <t>05603WP</t>
  </si>
  <si>
    <t>MEESTER</t>
  </si>
  <si>
    <t>05675VF</t>
  </si>
  <si>
    <t>CENTRAL MISSOURI STATE UNIV</t>
  </si>
  <si>
    <t>CARVER</t>
  </si>
  <si>
    <t>HP-14 B</t>
  </si>
  <si>
    <t>OPAT</t>
  </si>
  <si>
    <t>HP-14 CT-2</t>
  </si>
  <si>
    <t>056034M</t>
  </si>
  <si>
    <t>GERTSEN</t>
  </si>
  <si>
    <t>05603A3</t>
  </si>
  <si>
    <t>AMATEUR HOMEBUILT</t>
  </si>
  <si>
    <t>056038Q</t>
  </si>
  <si>
    <t>WHITNEY</t>
  </si>
  <si>
    <t>HP-1421</t>
  </si>
  <si>
    <t>05619UH</t>
  </si>
  <si>
    <t>HAMILTON FRANKLIN C</t>
  </si>
  <si>
    <t>05603BA</t>
  </si>
  <si>
    <t>PFLIEGER</t>
  </si>
  <si>
    <t>HP-14T AIRMATE</t>
  </si>
  <si>
    <t>HP-15</t>
  </si>
  <si>
    <t>05647CT</t>
  </si>
  <si>
    <t>BROWN ROBERT E</t>
  </si>
  <si>
    <t>HP-15/18</t>
  </si>
  <si>
    <t>WISDOM</t>
  </si>
  <si>
    <t>PROBOLA</t>
  </si>
  <si>
    <t>CONROY</t>
  </si>
  <si>
    <t>05619AE</t>
  </si>
  <si>
    <t>05647JY</t>
  </si>
  <si>
    <t>LINK-JOHNSON</t>
  </si>
  <si>
    <t>05675Z3</t>
  </si>
  <si>
    <t>CHERRY PAUL J</t>
  </si>
  <si>
    <t>JENSEN</t>
  </si>
  <si>
    <t>HP-16 SAILPLANE</t>
  </si>
  <si>
    <t>BOYER</t>
  </si>
  <si>
    <t>DIERA LEWIS G JR</t>
  </si>
  <si>
    <t>FLYGARE</t>
  </si>
  <si>
    <t>05647A7</t>
  </si>
  <si>
    <t>BROWNE</t>
  </si>
  <si>
    <t>05647AH</t>
  </si>
  <si>
    <t>BARNETT KENNETH</t>
  </si>
  <si>
    <t>05647B5</t>
  </si>
  <si>
    <t>STUTLER</t>
  </si>
  <si>
    <t>05647B7</t>
  </si>
  <si>
    <t>GARNER</t>
  </si>
  <si>
    <t>05647BY</t>
  </si>
  <si>
    <t>BRAY ROBERT E</t>
  </si>
  <si>
    <t>05647CL</t>
  </si>
  <si>
    <t>KOSAR ROBERT D</t>
  </si>
  <si>
    <t>05647CQ</t>
  </si>
  <si>
    <t>BARTON JOHN E</t>
  </si>
  <si>
    <t>05647CV</t>
  </si>
  <si>
    <t>JENKINS WAYNE E</t>
  </si>
  <si>
    <t>05647EQ</t>
  </si>
  <si>
    <t>BROOMFIELD DONALD J</t>
  </si>
  <si>
    <t>05647F7</t>
  </si>
  <si>
    <t>NIERICH</t>
  </si>
  <si>
    <t>05647FW</t>
  </si>
  <si>
    <t>MCCABE WILLIAM H</t>
  </si>
  <si>
    <t>05647H8</t>
  </si>
  <si>
    <t>COLMAR</t>
  </si>
  <si>
    <t>05647JW</t>
  </si>
  <si>
    <t>OWENSBY JOSPEH EDWARD</t>
  </si>
  <si>
    <t>05647JX</t>
  </si>
  <si>
    <t>VANECEK GEORGE SR &amp; JR</t>
  </si>
  <si>
    <t>05647KG</t>
  </si>
  <si>
    <t>MOORE D ANDREW</t>
  </si>
  <si>
    <t>05647L6</t>
  </si>
  <si>
    <t>PURDY</t>
  </si>
  <si>
    <t>05647Q5</t>
  </si>
  <si>
    <t>HARRIS</t>
  </si>
  <si>
    <t>05647T3</t>
  </si>
  <si>
    <t>STEINBAUGH</t>
  </si>
  <si>
    <t>05647V2</t>
  </si>
  <si>
    <t>FLANDRO</t>
  </si>
  <si>
    <t>05647W6</t>
  </si>
  <si>
    <t>05647X6</t>
  </si>
  <si>
    <t>CALVERT</t>
  </si>
  <si>
    <t>05647Y4</t>
  </si>
  <si>
    <t>EPP ROBERT</t>
  </si>
  <si>
    <t>05647Z2</t>
  </si>
  <si>
    <t>STONE ALBERT</t>
  </si>
  <si>
    <t>05647HW</t>
  </si>
  <si>
    <t>PREISS HEINRICH K</t>
  </si>
  <si>
    <t>HP-19C</t>
  </si>
  <si>
    <t>056034T</t>
  </si>
  <si>
    <t>HP-9</t>
  </si>
  <si>
    <t>05626CN</t>
  </si>
  <si>
    <t>WOMACK JACKIE D</t>
  </si>
  <si>
    <t>HP14T</t>
  </si>
  <si>
    <t>05647ES</t>
  </si>
  <si>
    <t>KROSNER-HOOPER</t>
  </si>
  <si>
    <t>PERRY</t>
  </si>
  <si>
    <t>HP18</t>
  </si>
  <si>
    <t>05631SS</t>
  </si>
  <si>
    <t>STEVEN GRAHAM</t>
  </si>
  <si>
    <t>HP18SG</t>
  </si>
  <si>
    <t>05640GX</t>
  </si>
  <si>
    <t>A W HURD</t>
  </si>
  <si>
    <t>HURD G A GLIDER</t>
  </si>
  <si>
    <t>056397Q</t>
  </si>
  <si>
    <t>FRANK HUTCHINSON</t>
  </si>
  <si>
    <t>HUTCHINSON SAILPLANE</t>
  </si>
  <si>
    <t>056208G</t>
  </si>
  <si>
    <t>SPORT FLUGZEUGBAU</t>
  </si>
  <si>
    <t>HUTTER H-17</t>
  </si>
  <si>
    <t>40601ZU</t>
  </si>
  <si>
    <t>IBEX</t>
  </si>
  <si>
    <t>05628XP</t>
  </si>
  <si>
    <t>NEAD KENNETH C</t>
  </si>
  <si>
    <t>ICARUS GLIDER</t>
  </si>
  <si>
    <t>STERLING</t>
  </si>
  <si>
    <t>ICARUS II</t>
  </si>
  <si>
    <t>40601DY</t>
  </si>
  <si>
    <t>40601EP</t>
  </si>
  <si>
    <t>40601F5</t>
  </si>
  <si>
    <t>40601FE</t>
  </si>
  <si>
    <t>40601JF</t>
  </si>
  <si>
    <t>40601JN</t>
  </si>
  <si>
    <t>40601JR</t>
  </si>
  <si>
    <t>40601KU</t>
  </si>
  <si>
    <t>40601S6</t>
  </si>
  <si>
    <t>40601W6</t>
  </si>
  <si>
    <t>HAISER-CHEROKEE</t>
  </si>
  <si>
    <t>05603FK</t>
  </si>
  <si>
    <t>III</t>
  </si>
  <si>
    <t>IS-32A</t>
  </si>
  <si>
    <t>05603QP</t>
  </si>
  <si>
    <t>HORTON</t>
  </si>
  <si>
    <t>IV</t>
  </si>
  <si>
    <t>PETERSON SAILPLANE CORP</t>
  </si>
  <si>
    <t>056401U</t>
  </si>
  <si>
    <t>VIRGIL WEDDLE/HORACE JENSEN</t>
  </si>
  <si>
    <t>J-W GLIDER</t>
  </si>
  <si>
    <t>05603N5</t>
  </si>
  <si>
    <t>S. HALL CHEROKEE II</t>
  </si>
  <si>
    <t>J. M. BAKER</t>
  </si>
  <si>
    <t>05636ME</t>
  </si>
  <si>
    <t>NESSY LAZUKA</t>
  </si>
  <si>
    <t>JACKSON GLIDER</t>
  </si>
  <si>
    <t>05603ZT</t>
  </si>
  <si>
    <t>OLDERSHAW JANA LINN</t>
  </si>
  <si>
    <t>JANA LINN 0-2</t>
  </si>
  <si>
    <t>JANTAR 2 SZD 42-1</t>
  </si>
  <si>
    <t>PZL BIELSKO/MUELLER</t>
  </si>
  <si>
    <t>JANTAR STD 2</t>
  </si>
  <si>
    <t>05617XK</t>
  </si>
  <si>
    <t>PZL BBIELSKO/MUELLER NP</t>
  </si>
  <si>
    <t>JANTAR SZD 38-A</t>
  </si>
  <si>
    <t>056356E</t>
  </si>
  <si>
    <t>LINSKY</t>
  </si>
  <si>
    <t>JAY BIRD</t>
  </si>
  <si>
    <t>05647JC</t>
  </si>
  <si>
    <t>LUTZ ROBERT</t>
  </si>
  <si>
    <t>JB-1B DUSTER</t>
  </si>
  <si>
    <t>05636OB</t>
  </si>
  <si>
    <t>EDESKUTY JOE</t>
  </si>
  <si>
    <t>JE-1 GLIDER</t>
  </si>
  <si>
    <t>05634Z7</t>
  </si>
  <si>
    <t>OLER TOM</t>
  </si>
  <si>
    <t>JEEP</t>
  </si>
  <si>
    <t>056356X</t>
  </si>
  <si>
    <t>JENSEN OTTO</t>
  </si>
  <si>
    <t>JENSEN GLIDER</t>
  </si>
  <si>
    <t>CHIZICK JAMES F</t>
  </si>
  <si>
    <t>JFC4</t>
  </si>
  <si>
    <t>05636YG</t>
  </si>
  <si>
    <t>JOHNSON FRED M</t>
  </si>
  <si>
    <t>JOHNSON GLIDER</t>
  </si>
  <si>
    <t>05626OW</t>
  </si>
  <si>
    <t>JS 1</t>
  </si>
  <si>
    <t>05638R5</t>
  </si>
  <si>
    <t>JS3C 15/18</t>
  </si>
  <si>
    <t>05603WT</t>
  </si>
  <si>
    <t>MIDCO</t>
  </si>
  <si>
    <t>JUPITER 1</t>
  </si>
  <si>
    <t>K 10 A</t>
  </si>
  <si>
    <t>05603TM</t>
  </si>
  <si>
    <t>K-17</t>
  </si>
  <si>
    <t>05610TS</t>
  </si>
  <si>
    <t>FLUGSPORTABEILUNG T S G</t>
  </si>
  <si>
    <t>K-7</t>
  </si>
  <si>
    <t>05603TX</t>
  </si>
  <si>
    <t>KENNEDY-WATSON</t>
  </si>
  <si>
    <t>K-W</t>
  </si>
  <si>
    <t>05636CL</t>
  </si>
  <si>
    <t>KOSS GEORGE</t>
  </si>
  <si>
    <t>K1</t>
  </si>
  <si>
    <t>05624EC</t>
  </si>
  <si>
    <t>K4</t>
  </si>
  <si>
    <t>K64</t>
  </si>
  <si>
    <t>RABEL KURT</t>
  </si>
  <si>
    <t>KA 1</t>
  </si>
  <si>
    <t>KA 6 C</t>
  </si>
  <si>
    <t>KA-1</t>
  </si>
  <si>
    <t>KA-3</t>
  </si>
  <si>
    <t>05610Z5</t>
  </si>
  <si>
    <t>SIEBERT FA PAUL</t>
  </si>
  <si>
    <t>KA-6-CR</t>
  </si>
  <si>
    <t>05636DO</t>
  </si>
  <si>
    <t>KARLBERG JACK</t>
  </si>
  <si>
    <t>KARLBERG GLIDER</t>
  </si>
  <si>
    <t>05603T7</t>
  </si>
  <si>
    <t>KERNS GLIDER</t>
  </si>
  <si>
    <t>KERNS</t>
  </si>
  <si>
    <t>05603UD</t>
  </si>
  <si>
    <t>KRAGE</t>
  </si>
  <si>
    <t>KG-1</t>
  </si>
  <si>
    <t>KURSAWE</t>
  </si>
  <si>
    <t>KIRBY GULL</t>
  </si>
  <si>
    <t>056399V</t>
  </si>
  <si>
    <t>GLIDER WORKS OF WARSAW</t>
  </si>
  <si>
    <t>KOMAR BIS GLIDER</t>
  </si>
  <si>
    <t>05676J3</t>
  </si>
  <si>
    <t>RENSHAW KEVIN J</t>
  </si>
  <si>
    <t>KOMET</t>
  </si>
  <si>
    <t>KR 6 E</t>
  </si>
  <si>
    <t>05627PG</t>
  </si>
  <si>
    <t>SCHWEYER FLUGSEUGBAN</t>
  </si>
  <si>
    <t>KRANICH GLIDER</t>
  </si>
  <si>
    <t>05620I4</t>
  </si>
  <si>
    <t>KUNZ/B/PATTON K</t>
  </si>
  <si>
    <t>KUNZ-PATTON SECND GL</t>
  </si>
  <si>
    <t>05627NQ</t>
  </si>
  <si>
    <t>LUNAK</t>
  </si>
  <si>
    <t>L-107</t>
  </si>
  <si>
    <t>LETECKE ZAVODY AS</t>
  </si>
  <si>
    <t>L.E.S.-1</t>
  </si>
  <si>
    <t>05640QU</t>
  </si>
  <si>
    <t>LA GRANGE GLIDER CLUB</t>
  </si>
  <si>
    <t>LA GRANGE DRAGON FLY</t>
  </si>
  <si>
    <t>05647LG</t>
  </si>
  <si>
    <t>VAN SCHOONHOVEN PETER</t>
  </si>
  <si>
    <t>056751C</t>
  </si>
  <si>
    <t>RUSS ARTHUR</t>
  </si>
  <si>
    <t>05636KT</t>
  </si>
  <si>
    <t>LAWRENCE DONALD M</t>
  </si>
  <si>
    <t>LAWRENCE A GLIDER</t>
  </si>
  <si>
    <t>056153R</t>
  </si>
  <si>
    <t>05636VQ</t>
  </si>
  <si>
    <t>LINDSAY H S GLIDER CLUB</t>
  </si>
  <si>
    <t>LINDSAY H S GLIDER</t>
  </si>
  <si>
    <t>05640QT</t>
  </si>
  <si>
    <t>LIQUID FIRE GLIDER CLUB</t>
  </si>
  <si>
    <t>LIQUID FIRE RHON RGR</t>
  </si>
  <si>
    <t>05603P2</t>
  </si>
  <si>
    <t>LAISTER KAUFFMANN</t>
  </si>
  <si>
    <t>LK-10B</t>
  </si>
  <si>
    <t>05603UT</t>
  </si>
  <si>
    <t>LEFFLER/MACFARLANE</t>
  </si>
  <si>
    <t>LM-1</t>
  </si>
  <si>
    <t>LNE-1</t>
  </si>
  <si>
    <t>05639KV</t>
  </si>
  <si>
    <t>LOCKWOOD GLIDER CO</t>
  </si>
  <si>
    <t>LOCKWOOD GLIDER LS-5</t>
  </si>
  <si>
    <t>05636LT</t>
  </si>
  <si>
    <t>LOVING NEAL</t>
  </si>
  <si>
    <t>LOVING NLG-3 GLIDER</t>
  </si>
  <si>
    <t>LAISTER SAILPLANES INC.</t>
  </si>
  <si>
    <t>05603UF</t>
  </si>
  <si>
    <t>KRISTEN-LAISTER</t>
  </si>
  <si>
    <t>05647V7</t>
  </si>
  <si>
    <t>PERKINS-SHEPHERD</t>
  </si>
  <si>
    <t>05647V8</t>
  </si>
  <si>
    <t>SEARS</t>
  </si>
  <si>
    <t>05647V9</t>
  </si>
  <si>
    <t>LEWIS</t>
  </si>
  <si>
    <t>05647W3</t>
  </si>
  <si>
    <t>MENEES</t>
  </si>
  <si>
    <t>LP-49MS</t>
  </si>
  <si>
    <t>056354L</t>
  </si>
  <si>
    <t>LAISTER FREEMAN</t>
  </si>
  <si>
    <t>LPF 49</t>
  </si>
  <si>
    <t>TERRIGNO</t>
  </si>
  <si>
    <t>LPT-49</t>
  </si>
  <si>
    <t>05603L4</t>
  </si>
  <si>
    <t>FARRAR</t>
  </si>
  <si>
    <t>LSG-1</t>
  </si>
  <si>
    <t>05627OC</t>
  </si>
  <si>
    <t>ALBERT CRIZ COMPANY</t>
  </si>
  <si>
    <t>M C 1</t>
  </si>
  <si>
    <t>05603V9</t>
  </si>
  <si>
    <t>MATTENSON</t>
  </si>
  <si>
    <t>M-1</t>
  </si>
  <si>
    <t>05603VZ</t>
  </si>
  <si>
    <t>056204S</t>
  </si>
  <si>
    <t>MCELHENY CLINTON B</t>
  </si>
  <si>
    <t>05603WG</t>
  </si>
  <si>
    <t>MCEWAN</t>
  </si>
  <si>
    <t>M-2-153</t>
  </si>
  <si>
    <t>05603WK</t>
  </si>
  <si>
    <t>MCFARLAND</t>
  </si>
  <si>
    <t>M.A. S. 1 SAILPLANE</t>
  </si>
  <si>
    <t>056204P</t>
  </si>
  <si>
    <t>BOWLUS-DUPONT SAILPLANE INC</t>
  </si>
  <si>
    <t>M1PU3</t>
  </si>
  <si>
    <t>056208H</t>
  </si>
  <si>
    <t>SHADDOX M L</t>
  </si>
  <si>
    <t>MADDOX GLIDER</t>
  </si>
  <si>
    <t>056372J</t>
  </si>
  <si>
    <t>MALONE BILLY/MOORE LEONARD</t>
  </si>
  <si>
    <t>MALONE/MOORE GLIDER</t>
  </si>
  <si>
    <t>056030S</t>
  </si>
  <si>
    <t>MAP-3</t>
  </si>
  <si>
    <t>05604RU</t>
  </si>
  <si>
    <t>REYNOLDS DONALD H</t>
  </si>
  <si>
    <t>05647AB</t>
  </si>
  <si>
    <t>05636VU</t>
  </si>
  <si>
    <t>MEAD GLIDERS</t>
  </si>
  <si>
    <t>MEAD GLIDER</t>
  </si>
  <si>
    <t>05636N8</t>
  </si>
  <si>
    <t>MEAD L-3 GLIDER</t>
  </si>
  <si>
    <t>05636N7</t>
  </si>
  <si>
    <t>MEAD L-4 GLIDER</t>
  </si>
  <si>
    <t>DECKER</t>
  </si>
  <si>
    <t>MEAD PRIMARY GLIDER</t>
  </si>
  <si>
    <t>05634YS</t>
  </si>
  <si>
    <t>SKYRIDERS GLIDER CLUB</t>
  </si>
  <si>
    <t>05634YW</t>
  </si>
  <si>
    <t>SELMA AERO CLUB</t>
  </si>
  <si>
    <t>05640QW</t>
  </si>
  <si>
    <t>MEAD RR-1</t>
  </si>
  <si>
    <t>MG23</t>
  </si>
  <si>
    <t>MIDWESTSAILPLANES</t>
  </si>
  <si>
    <t>MI-1</t>
  </si>
  <si>
    <t>CLAUSER-STRACK</t>
  </si>
  <si>
    <t>MILLER TERN II</t>
  </si>
  <si>
    <t>DAY-SCHLIMMER-SHAW</t>
  </si>
  <si>
    <t>MILLER-TERN</t>
  </si>
  <si>
    <t>JUNIPER</t>
  </si>
  <si>
    <t>MILLERS TERN II</t>
  </si>
  <si>
    <t>05647HT</t>
  </si>
  <si>
    <t>TURCHEN MICHAEL T</t>
  </si>
  <si>
    <t>MINI BAT</t>
  </si>
  <si>
    <t>05676AL</t>
  </si>
  <si>
    <t>HAMLIN MARC G</t>
  </si>
  <si>
    <t>MINI-BAT</t>
  </si>
  <si>
    <t>05647Q2</t>
  </si>
  <si>
    <t>WITCHER</t>
  </si>
  <si>
    <t>MODIFIED HP-14</t>
  </si>
  <si>
    <t>PERREIRA NATHAN H</t>
  </si>
  <si>
    <t>MODIFIED KB-2</t>
  </si>
  <si>
    <t>MARSKE</t>
  </si>
  <si>
    <t>MONARCH</t>
  </si>
  <si>
    <t>05647EB</t>
  </si>
  <si>
    <t>WELDON THOMAS O</t>
  </si>
  <si>
    <t>05647N2</t>
  </si>
  <si>
    <t>CUNNINGHAM</t>
  </si>
  <si>
    <t>056022Q</t>
  </si>
  <si>
    <t>BURCHAM VICTOR M</t>
  </si>
  <si>
    <t>05604TP</t>
  </si>
  <si>
    <t>OSTRANDER STUART A</t>
  </si>
  <si>
    <t>05647AK</t>
  </si>
  <si>
    <t>LEE-RICHARD</t>
  </si>
  <si>
    <t>05647AN</t>
  </si>
  <si>
    <t>PATTEN-RONALD</t>
  </si>
  <si>
    <t>05647AR</t>
  </si>
  <si>
    <t>LOX CHARLES D</t>
  </si>
  <si>
    <t>05647AU</t>
  </si>
  <si>
    <t>MENDENHALL-MONT</t>
  </si>
  <si>
    <t>05647AV</t>
  </si>
  <si>
    <t>NACHT ERIC H</t>
  </si>
  <si>
    <t>05647AZ</t>
  </si>
  <si>
    <t>PADIOS LENNY</t>
  </si>
  <si>
    <t>05647BG</t>
  </si>
  <si>
    <t>EDDY STEVEN C</t>
  </si>
  <si>
    <t>05647BK</t>
  </si>
  <si>
    <t>SNIVELY LESLIE O</t>
  </si>
  <si>
    <t>05647BN</t>
  </si>
  <si>
    <t>BURHOLM PER</t>
  </si>
  <si>
    <t>05647BZ</t>
  </si>
  <si>
    <t>KIRCHOFF/LUND/POXSON/SHELDON</t>
  </si>
  <si>
    <t>05647CG</t>
  </si>
  <si>
    <t>JOHNSTON RICHARD R</t>
  </si>
  <si>
    <t>05647CY</t>
  </si>
  <si>
    <t>BAUMANN FRANCIS D05646CX2</t>
  </si>
  <si>
    <t>05647DA</t>
  </si>
  <si>
    <t>DARLINGTON THOMAS B</t>
  </si>
  <si>
    <t>05647DK</t>
  </si>
  <si>
    <t>MONNETT JOHN T. JR.</t>
  </si>
  <si>
    <t>05647DP</t>
  </si>
  <si>
    <t>JONES RODNEY V</t>
  </si>
  <si>
    <t>05647DQ</t>
  </si>
  <si>
    <t>MURPHY BROWER</t>
  </si>
  <si>
    <t>05647DR</t>
  </si>
  <si>
    <t>BUSSOLARI STEVEN R</t>
  </si>
  <si>
    <t>05647DV</t>
  </si>
  <si>
    <t>WAGGY GENE</t>
  </si>
  <si>
    <t>05647EV</t>
  </si>
  <si>
    <t>SNYDER WAYNE R</t>
  </si>
  <si>
    <t>05647FG</t>
  </si>
  <si>
    <t>MCNALLY-BELL</t>
  </si>
  <si>
    <t>05647FH</t>
  </si>
  <si>
    <t>ROEMER PETER P</t>
  </si>
  <si>
    <t>05647FJ</t>
  </si>
  <si>
    <t>PAGGEN VIRGIL A</t>
  </si>
  <si>
    <t>05647FK</t>
  </si>
  <si>
    <t>IMLAY HARLESS L</t>
  </si>
  <si>
    <t>05647FM</t>
  </si>
  <si>
    <t>HARVEY HOWARD D</t>
  </si>
  <si>
    <t>05647FZ</t>
  </si>
  <si>
    <t>NECESSARY JAMES E</t>
  </si>
  <si>
    <t>05647HB</t>
  </si>
  <si>
    <t>NUNN LESTER E</t>
  </si>
  <si>
    <t>05647HE</t>
  </si>
  <si>
    <t>LEON JOSE G</t>
  </si>
  <si>
    <t>05647HF</t>
  </si>
  <si>
    <t>GRAVEN PEDER D</t>
  </si>
  <si>
    <t>05647HG</t>
  </si>
  <si>
    <t>THRASHER ROBERT W</t>
  </si>
  <si>
    <t>05647HK</t>
  </si>
  <si>
    <t>MONNETT JOHN T JR</t>
  </si>
  <si>
    <t>05647HU</t>
  </si>
  <si>
    <t>WARREN HOWARD</t>
  </si>
  <si>
    <t>05647HX</t>
  </si>
  <si>
    <t>BERGIN JAMES J</t>
  </si>
  <si>
    <t>05647JH</t>
  </si>
  <si>
    <t>CHESSMAN H ROSS</t>
  </si>
  <si>
    <t>05647KH</t>
  </si>
  <si>
    <t>ROME-WHITE</t>
  </si>
  <si>
    <t>05647KJ</t>
  </si>
  <si>
    <t>PHILLIPS SAMUEL J</t>
  </si>
  <si>
    <t>05647KK</t>
  </si>
  <si>
    <t>METTLER CLAUDE R</t>
  </si>
  <si>
    <t>05647KL</t>
  </si>
  <si>
    <t>CONNON RICHARD L</t>
  </si>
  <si>
    <t>05647KP</t>
  </si>
  <si>
    <t>BARRON BRAD L</t>
  </si>
  <si>
    <t>05647KR</t>
  </si>
  <si>
    <t>DOMKUS KAZIMIERAS &amp; FRANK</t>
  </si>
  <si>
    <t>05647KW</t>
  </si>
  <si>
    <t>MCANERNY RUSS</t>
  </si>
  <si>
    <t>05647LH</t>
  </si>
  <si>
    <t>HERB HARRY G</t>
  </si>
  <si>
    <t>05659V5</t>
  </si>
  <si>
    <t>ADKINS L RICHMOND JR</t>
  </si>
  <si>
    <t>05675VC</t>
  </si>
  <si>
    <t>CEDERHOLM RUSSELL E</t>
  </si>
  <si>
    <t>05676P1</t>
  </si>
  <si>
    <t>BERGSMAN ELMER P</t>
  </si>
  <si>
    <t>05647K8</t>
  </si>
  <si>
    <t>MONNETT</t>
  </si>
  <si>
    <t>MONERAI 1-S</t>
  </si>
  <si>
    <t>05653M4</t>
  </si>
  <si>
    <t>GREEN FRANK R</t>
  </si>
  <si>
    <t>MONERAI MODIFIED</t>
  </si>
  <si>
    <t>05647JF</t>
  </si>
  <si>
    <t>BLOSSOM MICHAEL</t>
  </si>
  <si>
    <t>MONERAI MONNETT</t>
  </si>
  <si>
    <t>05647LX</t>
  </si>
  <si>
    <t>MUSHANEY EDDIE C</t>
  </si>
  <si>
    <t>MONERAI P</t>
  </si>
  <si>
    <t>RUMINSKI DAVID C</t>
  </si>
  <si>
    <t>05625YZ</t>
  </si>
  <si>
    <t>HENSLEE GALE W</t>
  </si>
  <si>
    <t>05645RM</t>
  </si>
  <si>
    <t>RISCHKE BERNARD J</t>
  </si>
  <si>
    <t>05647AT</t>
  </si>
  <si>
    <t>HUGUS KENT</t>
  </si>
  <si>
    <t>05647AY</t>
  </si>
  <si>
    <t>RUSSELL STAN</t>
  </si>
  <si>
    <t>05647BA</t>
  </si>
  <si>
    <t>SNOOK J C</t>
  </si>
  <si>
    <t>05647KF</t>
  </si>
  <si>
    <t>HEATH SCOT L</t>
  </si>
  <si>
    <t>05647MZ</t>
  </si>
  <si>
    <t>MARSHA MICHAEL L</t>
  </si>
  <si>
    <t>05675LL</t>
  </si>
  <si>
    <t>BUNNELL GEORGE R</t>
  </si>
  <si>
    <t>05675M2</t>
  </si>
  <si>
    <t>LINGWALL JOHN C</t>
  </si>
  <si>
    <t>05647EN</t>
  </si>
  <si>
    <t>CRIDLER-BARON</t>
  </si>
  <si>
    <t>MONERAI S-1</t>
  </si>
  <si>
    <t>05647CJ</t>
  </si>
  <si>
    <t>MIZE DARRELL C</t>
  </si>
  <si>
    <t>056751T</t>
  </si>
  <si>
    <t>DOOLEY/MCDONALD</t>
  </si>
  <si>
    <t>MONERAI SAILPLANE</t>
  </si>
  <si>
    <t>05647JS</t>
  </si>
  <si>
    <t>SVOBODA ALAN</t>
  </si>
  <si>
    <t>05647BQ</t>
  </si>
  <si>
    <t>VELIGDAN JAMES T</t>
  </si>
  <si>
    <t>05647BS</t>
  </si>
  <si>
    <t>SNYDER &amp; OWSLEY</t>
  </si>
  <si>
    <t>05647BT</t>
  </si>
  <si>
    <t>TAYLOR LEE</t>
  </si>
  <si>
    <t>05647CF</t>
  </si>
  <si>
    <t>OBST SHARON C</t>
  </si>
  <si>
    <t>05647CR</t>
  </si>
  <si>
    <t>HESS HELMUT</t>
  </si>
  <si>
    <t>05647CU</t>
  </si>
  <si>
    <t>MASITTI THOMAS</t>
  </si>
  <si>
    <t>05647CX</t>
  </si>
  <si>
    <t>READING JOHN H</t>
  </si>
  <si>
    <t>05647CZ</t>
  </si>
  <si>
    <t>BURKE-DAVIS</t>
  </si>
  <si>
    <t>05647DB</t>
  </si>
  <si>
    <t>FINK CHARLES B</t>
  </si>
  <si>
    <t>05647DG</t>
  </si>
  <si>
    <t>HOFMANN MATTHEW A</t>
  </si>
  <si>
    <t>05647DL</t>
  </si>
  <si>
    <t>BRASHEARS-CHITWOOD</t>
  </si>
  <si>
    <t>05647DT</t>
  </si>
  <si>
    <t>MCCULLOCH G JAMES</t>
  </si>
  <si>
    <t>05647DU</t>
  </si>
  <si>
    <t>PRATT DONALD G</t>
  </si>
  <si>
    <t>05647DX</t>
  </si>
  <si>
    <t>PARMET ALLEN J</t>
  </si>
  <si>
    <t>05647DY</t>
  </si>
  <si>
    <t>STETZELBERGER W P</t>
  </si>
  <si>
    <t>05647DZ</t>
  </si>
  <si>
    <t>REZNOR JESSE B05647EB2</t>
  </si>
  <si>
    <t>05647EA</t>
  </si>
  <si>
    <t>LYMONS DENNIS E</t>
  </si>
  <si>
    <t>05647ED</t>
  </si>
  <si>
    <t>KAPLAN JOHN C</t>
  </si>
  <si>
    <t>05647EG</t>
  </si>
  <si>
    <t>HUDGENS B C</t>
  </si>
  <si>
    <t>05647EM</t>
  </si>
  <si>
    <t>TAYLOR JAMES D</t>
  </si>
  <si>
    <t>05647ER</t>
  </si>
  <si>
    <t>MCCRACKEN-SEIDENBERG</t>
  </si>
  <si>
    <t>05647FD</t>
  </si>
  <si>
    <t>GIROUX FRANCIS C</t>
  </si>
  <si>
    <t>05647FQ</t>
  </si>
  <si>
    <t>EULER-CRANE</t>
  </si>
  <si>
    <t>05647GA</t>
  </si>
  <si>
    <t>MANKE JOHN A</t>
  </si>
  <si>
    <t>05647GF</t>
  </si>
  <si>
    <t>STASI ALFRED</t>
  </si>
  <si>
    <t>05647GL</t>
  </si>
  <si>
    <t>ROBERTS VAUGHN</t>
  </si>
  <si>
    <t>05647GT</t>
  </si>
  <si>
    <t>RIGGIN WILLIAM J</t>
  </si>
  <si>
    <t>05647GW</t>
  </si>
  <si>
    <t>MCELHOES WILLIAM A</t>
  </si>
  <si>
    <t>05647GY</t>
  </si>
  <si>
    <t>KNIGHT HARRY S</t>
  </si>
  <si>
    <t>05647GZ</t>
  </si>
  <si>
    <t>HONEY RAY</t>
  </si>
  <si>
    <t>05647HC</t>
  </si>
  <si>
    <t>FRANK JIMMY A</t>
  </si>
  <si>
    <t>05647HH</t>
  </si>
  <si>
    <t>LIMANTOUR JOSE + JULIO</t>
  </si>
  <si>
    <t>05647HJ</t>
  </si>
  <si>
    <t>ALLEVA DENNIS M</t>
  </si>
  <si>
    <t>05647HP</t>
  </si>
  <si>
    <t>KEENER HAROLD E</t>
  </si>
  <si>
    <t>05647HS</t>
  </si>
  <si>
    <t>TRAVER TERRY C</t>
  </si>
  <si>
    <t>05647HZ</t>
  </si>
  <si>
    <t>WALKER-CHRISTIAN</t>
  </si>
  <si>
    <t>05647JA</t>
  </si>
  <si>
    <t>CENTRAL LA SOARING SOC INC</t>
  </si>
  <si>
    <t>05647JB</t>
  </si>
  <si>
    <t>HORST JOHN K E</t>
  </si>
  <si>
    <t>05647KM</t>
  </si>
  <si>
    <t>ROCKHILL WILLIAM M</t>
  </si>
  <si>
    <t>05676P2</t>
  </si>
  <si>
    <t>VINCEK LARRY</t>
  </si>
  <si>
    <t>05647KT</t>
  </si>
  <si>
    <t>MOORE WENDELL I</t>
  </si>
  <si>
    <t>MONETT-MONERAI</t>
  </si>
  <si>
    <t>05634WS</t>
  </si>
  <si>
    <t>HAZELTON F HERSCHEL</t>
  </si>
  <si>
    <t>MONGREL SECONDARY</t>
  </si>
  <si>
    <t>056599E</t>
  </si>
  <si>
    <t>ZIMMERMAN JOHN</t>
  </si>
  <si>
    <t>05607EX</t>
  </si>
  <si>
    <t>RIDGWAY JACKSON J</t>
  </si>
  <si>
    <t>MONI-25</t>
  </si>
  <si>
    <t>05675AS</t>
  </si>
  <si>
    <t>SCHILLER WALTER C</t>
  </si>
  <si>
    <t>MONNETT MONERAI</t>
  </si>
  <si>
    <t>LUBLIN STEPHEN A</t>
  </si>
  <si>
    <t>MONNETT MONERAI S</t>
  </si>
  <si>
    <t>05647GR</t>
  </si>
  <si>
    <t>COGGINS-EHMIG-LEVY</t>
  </si>
  <si>
    <t>MONNETT-MONERAI</t>
  </si>
  <si>
    <t>05647KA</t>
  </si>
  <si>
    <t>TAYLOR FRED G</t>
  </si>
  <si>
    <t>MONNETT-MONERAI-S</t>
  </si>
  <si>
    <t>05639LH</t>
  </si>
  <si>
    <t>WILLIAM R SPELLMAN</t>
  </si>
  <si>
    <t>MONO GLIDER</t>
  </si>
  <si>
    <t>05639OJ</t>
  </si>
  <si>
    <t>MONTGOMERY GLIDER</t>
  </si>
  <si>
    <t>05635RR</t>
  </si>
  <si>
    <t>MONTPELIER GLIDER CLUB</t>
  </si>
  <si>
    <t>MONTPELIER PRIMARY</t>
  </si>
  <si>
    <t>056401N</t>
  </si>
  <si>
    <t>STANLEY SAILPLANES</t>
  </si>
  <si>
    <t>MORSE TOBOGGANAIR</t>
  </si>
  <si>
    <t>MCAVOY JAMES C JR</t>
  </si>
  <si>
    <t>MPA-1</t>
  </si>
  <si>
    <t>05636FF</t>
  </si>
  <si>
    <t>MCFARLAND AIRCRAFT CO</t>
  </si>
  <si>
    <t>MPG-2 GLIDER</t>
  </si>
  <si>
    <t>SHULTZMAN-MADSON</t>
  </si>
  <si>
    <t>MS-100</t>
  </si>
  <si>
    <t>05603CM</t>
  </si>
  <si>
    <t>BERGFALKE I GLIDER</t>
  </si>
  <si>
    <t>MU-13-E</t>
  </si>
  <si>
    <t>05639OF</t>
  </si>
  <si>
    <t>MIDWESTERN SCHOOL OF GLIDING</t>
  </si>
  <si>
    <t>MW PRIMARY GLIDER</t>
  </si>
  <si>
    <t>RAVEN INDUSTRIES INC</t>
  </si>
  <si>
    <t>N10TW-8/8/8T-0.125</t>
  </si>
  <si>
    <t>05639K4</t>
  </si>
  <si>
    <t>NEBRASKA SAILPLANE &amp; GIDER</t>
  </si>
  <si>
    <t>NEBRASKA GLIDER 1</t>
  </si>
  <si>
    <t>05640S7</t>
  </si>
  <si>
    <t>MARVIN C NIELSEN</t>
  </si>
  <si>
    <t>NIELSEN GLIDER</t>
  </si>
  <si>
    <t>056315J</t>
  </si>
  <si>
    <t>MITCHELL DONALD S</t>
  </si>
  <si>
    <t>NIMBUS</t>
  </si>
  <si>
    <t>05603XF</t>
  </si>
  <si>
    <t>MITCHELL</t>
  </si>
  <si>
    <t>NIMBUS 3L</t>
  </si>
  <si>
    <t>NIMBUS 4DM</t>
  </si>
  <si>
    <t>NIMBUS 4T</t>
  </si>
  <si>
    <t>CHASE-SCHEMPP-HIRTH</t>
  </si>
  <si>
    <t>05603W5</t>
  </si>
  <si>
    <t>NIMBUS III</t>
  </si>
  <si>
    <t>05603C7</t>
  </si>
  <si>
    <t>BLALOCK MITCHELL DESIGN</t>
  </si>
  <si>
    <t>NIMBUS III B</t>
  </si>
  <si>
    <t>05603XG</t>
  </si>
  <si>
    <t>NIMBUS IV</t>
  </si>
  <si>
    <t>05603Y1</t>
  </si>
  <si>
    <t>NOBLES-KINDA</t>
  </si>
  <si>
    <t>NKS-1</t>
  </si>
  <si>
    <t>05636MJ</t>
  </si>
  <si>
    <t>NORTH SIDE GLIDER CLUB</t>
  </si>
  <si>
    <t>NORTH GLIDER</t>
  </si>
  <si>
    <t>WALKER NOLAN G</t>
  </si>
  <si>
    <t>NORTHROP GLIDER</t>
  </si>
  <si>
    <t>05636MX</t>
  </si>
  <si>
    <t>HARLEQUIN</t>
  </si>
  <si>
    <t>05636RN</t>
  </si>
  <si>
    <t>STOUT INSTITUTE</t>
  </si>
  <si>
    <t>05640S3</t>
  </si>
  <si>
    <t>R PLOZAY/N BUCK/A SCHMIDT</t>
  </si>
  <si>
    <t>NORTHROP ONE</t>
  </si>
  <si>
    <t>05628C6</t>
  </si>
  <si>
    <t>INGRAM W / HIGGINS A ETAL</t>
  </si>
  <si>
    <t>NORTHROP PRIMARY GLI</t>
  </si>
  <si>
    <t>05636DP</t>
  </si>
  <si>
    <t>STADIUM GLIDER CLUB</t>
  </si>
  <si>
    <t>MCLEAN JOHN WALTER</t>
  </si>
  <si>
    <t>NORTHROP TRAINING GL</t>
  </si>
  <si>
    <t>05639KS</t>
  </si>
  <si>
    <t>R KOPKA/R OWEN/L HARPER</t>
  </si>
  <si>
    <t>NORTHROP TRNG GLIDER</t>
  </si>
  <si>
    <t>056355O</t>
  </si>
  <si>
    <t>LUNDQUIST M/MANNA R/LUNDQUIST</t>
  </si>
  <si>
    <t>NORTHROP TRNR GLIDER</t>
  </si>
  <si>
    <t>ANTIQUE PRESERVATION ASSN</t>
  </si>
  <si>
    <t>NORTHRUP</t>
  </si>
  <si>
    <t>05636T5</t>
  </si>
  <si>
    <t>WILLIAMSON / ROUSSEAU</t>
  </si>
  <si>
    <t>NORTHRUPPRIMARY GLID</t>
  </si>
  <si>
    <t>05636BV</t>
  </si>
  <si>
    <t>VIEWEG OTTO C</t>
  </si>
  <si>
    <t>O V 1 GLIDER</t>
  </si>
  <si>
    <t>05636BW</t>
  </si>
  <si>
    <t>O V S GLIDER</t>
  </si>
  <si>
    <t>05603ZR</t>
  </si>
  <si>
    <t>OLDERSHAW</t>
  </si>
  <si>
    <t>O-3</t>
  </si>
  <si>
    <t>05636W1</t>
  </si>
  <si>
    <t>LABENSKY BORIS P</t>
  </si>
  <si>
    <t>OL GLIDER</t>
  </si>
  <si>
    <t>05603H2</t>
  </si>
  <si>
    <t>DFS</t>
  </si>
  <si>
    <t>ZINNO</t>
  </si>
  <si>
    <t>OLYMPIAN ZB-1</t>
  </si>
  <si>
    <t>UHLEY KENT L</t>
  </si>
  <si>
    <t>ONE-1</t>
  </si>
  <si>
    <t>WARSZTATY SZYBOWCOWE</t>
  </si>
  <si>
    <t>ORLIK</t>
  </si>
  <si>
    <t>056374M</t>
  </si>
  <si>
    <t>P-1 GLIDER</t>
  </si>
  <si>
    <t>WOODHOUSE</t>
  </si>
  <si>
    <t>P.S.E.-1</t>
  </si>
  <si>
    <t>05603WL</t>
  </si>
  <si>
    <t>MCPHERSON</t>
  </si>
  <si>
    <t>PACIFIC AIRCRAFTD-8</t>
  </si>
  <si>
    <t>05633GF</t>
  </si>
  <si>
    <t>PACIFIC BEACH GLIDER CLUB</t>
  </si>
  <si>
    <t>PACIFIC BEACH</t>
  </si>
  <si>
    <t>PACIFIC D-8</t>
  </si>
  <si>
    <t>PACIFIC GLIDER CLUB</t>
  </si>
  <si>
    <t>PACIFIC GLIDER</t>
  </si>
  <si>
    <t>NASA FLIGHT RESEARCH CENTER</t>
  </si>
  <si>
    <t>PARESEV-1</t>
  </si>
  <si>
    <t>056328X</t>
  </si>
  <si>
    <t>PARISH W C</t>
  </si>
  <si>
    <t>PARISH GLIDER</t>
  </si>
  <si>
    <t>056030P</t>
  </si>
  <si>
    <t>PERL</t>
  </si>
  <si>
    <t>PENETRATOR</t>
  </si>
  <si>
    <t>05633R5</t>
  </si>
  <si>
    <t>PENGUIN GLIDER CLUB</t>
  </si>
  <si>
    <t>PENGUIN SAILPLANE</t>
  </si>
  <si>
    <t>05640GR</t>
  </si>
  <si>
    <t>WALLACE E PETTIT</t>
  </si>
  <si>
    <t>PETTIT GLIDER</t>
  </si>
  <si>
    <t>05603KP</t>
  </si>
  <si>
    <t>ELLIOTT</t>
  </si>
  <si>
    <t>PG-1</t>
  </si>
  <si>
    <t>PHOEBUS A1</t>
  </si>
  <si>
    <t>WAGGON UND MASCHINENBAU</t>
  </si>
  <si>
    <t>05603VM</t>
  </si>
  <si>
    <t>PIONEER</t>
  </si>
  <si>
    <t>MORGAN</t>
  </si>
  <si>
    <t>PIONEER 15</t>
  </si>
  <si>
    <t>HERBERT</t>
  </si>
  <si>
    <t>05606JL</t>
  </si>
  <si>
    <t>EHLKE ROBERT R</t>
  </si>
  <si>
    <t>PIONEER IID</t>
  </si>
  <si>
    <t>DELTA</t>
  </si>
  <si>
    <t>PIRAT SZD-30</t>
  </si>
  <si>
    <t>056035Z</t>
  </si>
  <si>
    <t>SINGLE PLACE</t>
  </si>
  <si>
    <t>PL-1</t>
  </si>
  <si>
    <t>05603KD</t>
  </si>
  <si>
    <t>ELFE</t>
  </si>
  <si>
    <t>PM-3</t>
  </si>
  <si>
    <t>056046W</t>
  </si>
  <si>
    <t>RILEY JOSEPH L</t>
  </si>
  <si>
    <t>PMG2</t>
  </si>
  <si>
    <t>05603MW</t>
  </si>
  <si>
    <t>FRANKLIN-MCCONNELL</t>
  </si>
  <si>
    <t>05635VT</t>
  </si>
  <si>
    <t>STAMFORD GLIDING CLUB</t>
  </si>
  <si>
    <t>05647KN</t>
  </si>
  <si>
    <t>HOWARD FRANCIS X</t>
  </si>
  <si>
    <t>056390V</t>
  </si>
  <si>
    <t>SPILLANE AERO SUPPLIES LTD</t>
  </si>
  <si>
    <t>PRIMARY 1 GLIDER</t>
  </si>
  <si>
    <t>PRIMARY GLIDER</t>
  </si>
  <si>
    <t>056038B</t>
  </si>
  <si>
    <t>WACO GLIDER</t>
  </si>
  <si>
    <t>05603BK</t>
  </si>
  <si>
    <t>DICKSON</t>
  </si>
  <si>
    <t>05620C5</t>
  </si>
  <si>
    <t>QUAM-FRANZEN</t>
  </si>
  <si>
    <t>05620IX</t>
  </si>
  <si>
    <t>LAKEWOOD GLIDER CLUB</t>
  </si>
  <si>
    <t>056274V</t>
  </si>
  <si>
    <t>SMITH ALBERT E / PERL HARRY N</t>
  </si>
  <si>
    <t>05633LU</t>
  </si>
  <si>
    <t>MERRITT LAWRENCE G</t>
  </si>
  <si>
    <t>056347F</t>
  </si>
  <si>
    <t>ZUCK ANDREW</t>
  </si>
  <si>
    <t>05634X8</t>
  </si>
  <si>
    <t>JAMISON / MAYBEE / ATKINSON</t>
  </si>
  <si>
    <t>05634XR</t>
  </si>
  <si>
    <t>OGDEN GLIDER CLUB</t>
  </si>
  <si>
    <t>05634YV</t>
  </si>
  <si>
    <t>WOOD-MEAD</t>
  </si>
  <si>
    <t>056357L</t>
  </si>
  <si>
    <t>MT BAKER GLIDER CLUB</t>
  </si>
  <si>
    <t>05635SS</t>
  </si>
  <si>
    <t>OLNHAUSEN PAUL</t>
  </si>
  <si>
    <t>05636A8</t>
  </si>
  <si>
    <t>MCGILL AIRCRAFT CO</t>
  </si>
  <si>
    <t>05636C0</t>
  </si>
  <si>
    <t>MORRISON HOWARD</t>
  </si>
  <si>
    <t>05636CH</t>
  </si>
  <si>
    <t>DE ROSE / BARHORST</t>
  </si>
  <si>
    <t>05636DH</t>
  </si>
  <si>
    <t>MARTIN BOYD/LEWIS TERRY/PACE J</t>
  </si>
  <si>
    <t>05636MS</t>
  </si>
  <si>
    <t>EDWARDS TRAULL OARRORS</t>
  </si>
  <si>
    <t>05636NM</t>
  </si>
  <si>
    <t>KVETKO ZIMMERMAN</t>
  </si>
  <si>
    <t>05636NZ</t>
  </si>
  <si>
    <t>ZOEGLING</t>
  </si>
  <si>
    <t>05636T4</t>
  </si>
  <si>
    <t>FLETCHER</t>
  </si>
  <si>
    <t>05636T6</t>
  </si>
  <si>
    <t>DONALD</t>
  </si>
  <si>
    <t>05636V8</t>
  </si>
  <si>
    <t>DILWORTH JOHN J</t>
  </si>
  <si>
    <t>05636VR</t>
  </si>
  <si>
    <t>EKMAN V G/BOLTON M C</t>
  </si>
  <si>
    <t>05636VT</t>
  </si>
  <si>
    <t>ALBERT D/HAMSHER J/OTT L</t>
  </si>
  <si>
    <t>05636VW</t>
  </si>
  <si>
    <t>FRISWOLD FRANK</t>
  </si>
  <si>
    <t>05636Z5</t>
  </si>
  <si>
    <t>MIDLAND H S GLIDER CLUB</t>
  </si>
  <si>
    <t>056372K</t>
  </si>
  <si>
    <t>FULLER L/COWAN M/JOLLY H</t>
  </si>
  <si>
    <t>056373A</t>
  </si>
  <si>
    <t>DAVIDSON ROGER</t>
  </si>
  <si>
    <t>056373C</t>
  </si>
  <si>
    <t>STEVENS DON</t>
  </si>
  <si>
    <t>056373E</t>
  </si>
  <si>
    <t>WOLFE CLAUDE</t>
  </si>
  <si>
    <t>056373F</t>
  </si>
  <si>
    <t>MILLER LLOYD R</t>
  </si>
  <si>
    <t>05637I2</t>
  </si>
  <si>
    <t>PELICAN GLIDER CO</t>
  </si>
  <si>
    <t>056390Y</t>
  </si>
  <si>
    <t>ED MACKLIN</t>
  </si>
  <si>
    <t>056391A</t>
  </si>
  <si>
    <t>RIVERSIDE AERO CLUB</t>
  </si>
  <si>
    <t>05639KP</t>
  </si>
  <si>
    <t>FULLERTON DISTRICT JR COLLEGE</t>
  </si>
  <si>
    <t>05639LG</t>
  </si>
  <si>
    <t>HERBERT MCMAHON</t>
  </si>
  <si>
    <t>05640TJ</t>
  </si>
  <si>
    <t>JOSEPH STEINHOUSER</t>
  </si>
  <si>
    <t>05640TR</t>
  </si>
  <si>
    <t>FRANK CHAVEZ</t>
  </si>
  <si>
    <t>05634YQ</t>
  </si>
  <si>
    <t>PORTLAND GLIDER CLUB INC</t>
  </si>
  <si>
    <t>PRIMARY TRAINING GLI</t>
  </si>
  <si>
    <t>05639OX</t>
  </si>
  <si>
    <t>WILLAIM G BRIEGLEB</t>
  </si>
  <si>
    <t>PRIMARY TRNG GLIDER</t>
  </si>
  <si>
    <t>056032A</t>
  </si>
  <si>
    <t>ANTHONY</t>
  </si>
  <si>
    <t>PRUE 215-A</t>
  </si>
  <si>
    <t>05603WV</t>
  </si>
  <si>
    <t>MINGHELLE</t>
  </si>
  <si>
    <t>PRUE 2A</t>
  </si>
  <si>
    <t>PRUE SUPER STANDARD</t>
  </si>
  <si>
    <t>PRUE TWO</t>
  </si>
  <si>
    <t>05634XL</t>
  </si>
  <si>
    <t>BOTTARINI CHARLES</t>
  </si>
  <si>
    <t>PRUFLING GLIDER</t>
  </si>
  <si>
    <t>05603MR</t>
  </si>
  <si>
    <t>FRANKLIN GILDER</t>
  </si>
  <si>
    <t>056351W</t>
  </si>
  <si>
    <t>MICHIGAN GLIDER LABORATORIES</t>
  </si>
  <si>
    <t>PT</t>
  </si>
  <si>
    <t>05634WY</t>
  </si>
  <si>
    <t>WEITZ SIDNEY</t>
  </si>
  <si>
    <t>PT GLIDER</t>
  </si>
  <si>
    <t>056361X</t>
  </si>
  <si>
    <t>DUFFEY RAYMOND A</t>
  </si>
  <si>
    <t>05636VM</t>
  </si>
  <si>
    <t>QUINTET AERO CLUB</t>
  </si>
  <si>
    <t>05627YK</t>
  </si>
  <si>
    <t>GLIDERS INC</t>
  </si>
  <si>
    <t>PT GLIDER NO 1</t>
  </si>
  <si>
    <t>PT GLIDER NO 2</t>
  </si>
  <si>
    <t>056340F</t>
  </si>
  <si>
    <t>WILLIAM PENN GLIDER CLUB</t>
  </si>
  <si>
    <t>PT-1</t>
  </si>
  <si>
    <t>056359U</t>
  </si>
  <si>
    <t>ABERDEEN GLIDER CLUB</t>
  </si>
  <si>
    <t>056352M</t>
  </si>
  <si>
    <t>FRANKLIN BROS</t>
  </si>
  <si>
    <t>PT2</t>
  </si>
  <si>
    <t>056353W</t>
  </si>
  <si>
    <t>PTG 3</t>
  </si>
  <si>
    <t>05617QT</t>
  </si>
  <si>
    <t>PULSION AVENTURE</t>
  </si>
  <si>
    <t>PULSIM</t>
  </si>
  <si>
    <t>05601RB</t>
  </si>
  <si>
    <t>WSK PZL-SWIDNIK</t>
  </si>
  <si>
    <t>056058Y</t>
  </si>
  <si>
    <t>NICKS ORAN W</t>
  </si>
  <si>
    <t>PW-5 GLIDER</t>
  </si>
  <si>
    <t>05635PD</t>
  </si>
  <si>
    <t>PIERCE JOHN R ETAL</t>
  </si>
  <si>
    <t>QUINCY GLIDER</t>
  </si>
  <si>
    <t>056208W</t>
  </si>
  <si>
    <t>ROWLEY E H</t>
  </si>
  <si>
    <t>R-100</t>
  </si>
  <si>
    <t>GEPGYAR</t>
  </si>
  <si>
    <t>R-26S GOBE</t>
  </si>
  <si>
    <t>056033M</t>
  </si>
  <si>
    <t>ROSS</t>
  </si>
  <si>
    <t>R-6</t>
  </si>
  <si>
    <t>PINE CREST AIR PARK INC</t>
  </si>
  <si>
    <t>RAVEN 229</t>
  </si>
  <si>
    <t>MCKENZIE ROBERT</t>
  </si>
  <si>
    <t>GLOBEMSKY MICHAEL</t>
  </si>
  <si>
    <t>05628EO</t>
  </si>
  <si>
    <t>REEDLEY GLIDER CLUB</t>
  </si>
  <si>
    <t>REEDLEY GLIDER</t>
  </si>
  <si>
    <t>REID</t>
  </si>
  <si>
    <t>RGS-1</t>
  </si>
  <si>
    <t>056033X</t>
  </si>
  <si>
    <t>ROSS HICKS SAILPLANE</t>
  </si>
  <si>
    <t>RH-3</t>
  </si>
  <si>
    <t>05603SR</t>
  </si>
  <si>
    <t>RHJ-6</t>
  </si>
  <si>
    <t>RHJ-7</t>
  </si>
  <si>
    <t>ROSS-JOHNSON</t>
  </si>
  <si>
    <t>RJK</t>
  </si>
  <si>
    <t>05647Y5</t>
  </si>
  <si>
    <t>SULLIVAN</t>
  </si>
  <si>
    <t>RJS-1</t>
  </si>
  <si>
    <t>056355S</t>
  </si>
  <si>
    <t>RUDESILLE R D</t>
  </si>
  <si>
    <t>RLN-13</t>
  </si>
  <si>
    <t>ROBBINS BOB</t>
  </si>
  <si>
    <t>ROBBINS SAILPLANE</t>
  </si>
  <si>
    <t>05620N4</t>
  </si>
  <si>
    <t>ROBERTSON 1A GLIDER</t>
  </si>
  <si>
    <t>05640SI</t>
  </si>
  <si>
    <t>GORDON E ROHLOFF</t>
  </si>
  <si>
    <t>ROHLOFF GLIDER</t>
  </si>
  <si>
    <t>SCHWEYER</t>
  </si>
  <si>
    <t>ROHONSPEBER</t>
  </si>
  <si>
    <t>05635J4</t>
  </si>
  <si>
    <t>VIS BRYCE</t>
  </si>
  <si>
    <t>ROLLPH UTILITY GLIDE</t>
  </si>
  <si>
    <t>05633LT</t>
  </si>
  <si>
    <t>ROSS HARLAND C</t>
  </si>
  <si>
    <t>ROSS SAILPLANE</t>
  </si>
  <si>
    <t>05636CO</t>
  </si>
  <si>
    <t>ROSS VERNIE</t>
  </si>
  <si>
    <t>ROSS SUPER RANGER</t>
  </si>
  <si>
    <t>05634Z8</t>
  </si>
  <si>
    <t>WICHITA ENGINEERING CO</t>
  </si>
  <si>
    <t>ROSS-17</t>
  </si>
  <si>
    <t>056359K</t>
  </si>
  <si>
    <t>ROYDON AIRCRAFT CO</t>
  </si>
  <si>
    <t>ROYDON GLIDER</t>
  </si>
  <si>
    <t>05647FT</t>
  </si>
  <si>
    <t>RENSSELAR POLYTECHNIC INST</t>
  </si>
  <si>
    <t>RP</t>
  </si>
  <si>
    <t>RENSSELAER POLYTECHNIC INST</t>
  </si>
  <si>
    <t>RP-2</t>
  </si>
  <si>
    <t>05604D6</t>
  </si>
  <si>
    <t>RP-3</t>
  </si>
  <si>
    <t>05603Z3</t>
  </si>
  <si>
    <t>PARKER SAILPLANE</t>
  </si>
  <si>
    <t>RP9</t>
  </si>
  <si>
    <t>05635W0</t>
  </si>
  <si>
    <t>DURBIN LUKE</t>
  </si>
  <si>
    <t>RR-1</t>
  </si>
  <si>
    <t>056360J</t>
  </si>
  <si>
    <t>KOONTZ ROLLAND E</t>
  </si>
  <si>
    <t>05636Z8</t>
  </si>
  <si>
    <t>ASHLAND GLIDER CLUB</t>
  </si>
  <si>
    <t>056206U</t>
  </si>
  <si>
    <t>SALEM GLIDER CLUB</t>
  </si>
  <si>
    <t>RR-1 GLIDER</t>
  </si>
  <si>
    <t>05634YT</t>
  </si>
  <si>
    <t>LUNDQUIST</t>
  </si>
  <si>
    <t>056345R</t>
  </si>
  <si>
    <t>SPANISH FORK GLIDER CLUB</t>
  </si>
  <si>
    <t>RR-2</t>
  </si>
  <si>
    <t>05636KE</t>
  </si>
  <si>
    <t>UNIVERSITY OF PA GLIDER CLUB</t>
  </si>
  <si>
    <t>RR1 GLIDER</t>
  </si>
  <si>
    <t>05636WX</t>
  </si>
  <si>
    <t>HIRTH WOLFRAM K E</t>
  </si>
  <si>
    <t>RRG PRUEFLING GLIDER</t>
  </si>
  <si>
    <t>ANDERSON</t>
  </si>
  <si>
    <t>RS 15</t>
  </si>
  <si>
    <t>STEPHENS</t>
  </si>
  <si>
    <t>RS-1</t>
  </si>
  <si>
    <t>COOK</t>
  </si>
  <si>
    <t>05647AL</t>
  </si>
  <si>
    <t>BEAM-WALTER</t>
  </si>
  <si>
    <t>05647C7</t>
  </si>
  <si>
    <t>JUNIPER-SUSZYNSKI</t>
  </si>
  <si>
    <t>05647CS</t>
  </si>
  <si>
    <t>REIFFER RAYMOND</t>
  </si>
  <si>
    <t>05647GS</t>
  </si>
  <si>
    <t>DOUNOUCOS ANGELO</t>
  </si>
  <si>
    <t>05647W2</t>
  </si>
  <si>
    <t>05675RF</t>
  </si>
  <si>
    <t>STIER EARL L</t>
  </si>
  <si>
    <t>05627N8</t>
  </si>
  <si>
    <t>PARKER DONALD A</t>
  </si>
  <si>
    <t>RS-15 SAILPLANE</t>
  </si>
  <si>
    <t>056037J</t>
  </si>
  <si>
    <t>TORGERSON</t>
  </si>
  <si>
    <t>RT-2</t>
  </si>
  <si>
    <t>05640Q2</t>
  </si>
  <si>
    <t>RAYMOND RICHARD RUSSELL</t>
  </si>
  <si>
    <t>RUSSELL GLIDER</t>
  </si>
  <si>
    <t>50901SC</t>
  </si>
  <si>
    <t>S-1000</t>
  </si>
  <si>
    <t>056204Q</t>
  </si>
  <si>
    <t>PERL A/BUBY W</t>
  </si>
  <si>
    <t>S-1000 GLIDER</t>
  </si>
  <si>
    <t>MCALLISTER CHARLES D</t>
  </si>
  <si>
    <t>S-4</t>
  </si>
  <si>
    <t>05634XM</t>
  </si>
  <si>
    <t>WALTERS G / PETERSON H</t>
  </si>
  <si>
    <t>S-60</t>
  </si>
  <si>
    <t>05640TK</t>
  </si>
  <si>
    <t>JOSEPH STEINHAUSER</t>
  </si>
  <si>
    <t>S2 GLIDER</t>
  </si>
  <si>
    <t>05636OA</t>
  </si>
  <si>
    <t>SAILER GLIDER CORP</t>
  </si>
  <si>
    <t>SAILER PRIMARY GLIDE</t>
  </si>
  <si>
    <t>056038M</t>
  </si>
  <si>
    <t>WEIHE</t>
  </si>
  <si>
    <t>05603XR</t>
  </si>
  <si>
    <t>05620C4</t>
  </si>
  <si>
    <t>SAN DIEGO HIGH SCHOOL</t>
  </si>
  <si>
    <t>05631TX</t>
  </si>
  <si>
    <t>BARR - BATZLOFF</t>
  </si>
  <si>
    <t>056359J</t>
  </si>
  <si>
    <t>SMITH O C</t>
  </si>
  <si>
    <t>05636T7</t>
  </si>
  <si>
    <t>LANGLEY / LUNDGREN</t>
  </si>
  <si>
    <t>056397S</t>
  </si>
  <si>
    <t>MARION LEE STONE/FRANK KERNS</t>
  </si>
  <si>
    <t>05639LJ</t>
  </si>
  <si>
    <t>ROSENOW/KELDER/COSTELLO/LOGAN</t>
  </si>
  <si>
    <t>406011J</t>
  </si>
  <si>
    <t>HOMEBUILT CHEROKEE 2</t>
  </si>
  <si>
    <t>40601UQ</t>
  </si>
  <si>
    <t>056039M</t>
  </si>
  <si>
    <t>ZIMMERMAN-SCHAER</t>
  </si>
  <si>
    <t>SAILPLANE C-69</t>
  </si>
  <si>
    <t>056209C</t>
  </si>
  <si>
    <t>ROBINSON JOHN</t>
  </si>
  <si>
    <t>SAILPLANE GLIDER</t>
  </si>
  <si>
    <t>05620C7</t>
  </si>
  <si>
    <t>COLLINS MAURICE W</t>
  </si>
  <si>
    <t>056372X</t>
  </si>
  <si>
    <t>MCLEAN H C</t>
  </si>
  <si>
    <t>05639LI</t>
  </si>
  <si>
    <t>RICHARD DEVINE</t>
  </si>
  <si>
    <t>40601UT</t>
  </si>
  <si>
    <t>SALEPLANE</t>
  </si>
  <si>
    <t>056203K</t>
  </si>
  <si>
    <t>SANBORN DANIEL</t>
  </si>
  <si>
    <t>SANBORN-GRUNAU 8 GLD</t>
  </si>
  <si>
    <t>79001ZK</t>
  </si>
  <si>
    <t>STOCKBARGER</t>
  </si>
  <si>
    <t>SBG-12</t>
  </si>
  <si>
    <t>MINNESOTA UNIVERSITY</t>
  </si>
  <si>
    <t>SC-2</t>
  </si>
  <si>
    <t>SCHMUTZHART</t>
  </si>
  <si>
    <t>SCH-1</t>
  </si>
  <si>
    <t>056038L</t>
  </si>
  <si>
    <t>WECZE/DBR AMATEUR FLYING CLUB</t>
  </si>
  <si>
    <t>SCHEIBE MU 13 E</t>
  </si>
  <si>
    <t>LUFTFAHRT VEREIN MAINZ</t>
  </si>
  <si>
    <t>SCHLEICHER KA 3</t>
  </si>
  <si>
    <t>056399H</t>
  </si>
  <si>
    <t>SCHMUCK AIRCRAFT CO</t>
  </si>
  <si>
    <t>SCHMUCK PRIM GLIDER</t>
  </si>
  <si>
    <t>056350G</t>
  </si>
  <si>
    <t>DULUTH SCHOOL OF AERONAUTICS</t>
  </si>
  <si>
    <t>SCHOOL GLIDER</t>
  </si>
  <si>
    <t>HEIDEBRINK</t>
  </si>
  <si>
    <t>056206X</t>
  </si>
  <si>
    <t>SCHREDER HP-11</t>
  </si>
  <si>
    <t>05603J6</t>
  </si>
  <si>
    <t>ECK</t>
  </si>
  <si>
    <t>SCHREDER HP-11-A</t>
  </si>
  <si>
    <t>05647X5</t>
  </si>
  <si>
    <t>CARSON-KUNDA</t>
  </si>
  <si>
    <t>SCHREDER HP-12A</t>
  </si>
  <si>
    <t>05647L3</t>
  </si>
  <si>
    <t>STARNER</t>
  </si>
  <si>
    <t>05675JX</t>
  </si>
  <si>
    <t>SHOEMAKER CLAYTON H</t>
  </si>
  <si>
    <t>SLIWA</t>
  </si>
  <si>
    <t>RUSSELL</t>
  </si>
  <si>
    <t>05647AE</t>
  </si>
  <si>
    <t>BRAY-ROBERT</t>
  </si>
  <si>
    <t>05647BM</t>
  </si>
  <si>
    <t>LESLEY WILLIAM H</t>
  </si>
  <si>
    <t>05647BR</t>
  </si>
  <si>
    <t>CLAUSER RICHARD L</t>
  </si>
  <si>
    <t>05647V3</t>
  </si>
  <si>
    <t>LLOYD</t>
  </si>
  <si>
    <t>05647Z1</t>
  </si>
  <si>
    <t>MAHONY-JOHN</t>
  </si>
  <si>
    <t>05647Z5</t>
  </si>
  <si>
    <t>SNYDER-CHARLES</t>
  </si>
  <si>
    <t>05647JJ</t>
  </si>
  <si>
    <t>SCHREDER RICHARD E</t>
  </si>
  <si>
    <t>SCHREDER HP-20</t>
  </si>
  <si>
    <t>MARTINI</t>
  </si>
  <si>
    <t>SCHREDER RHJ-8</t>
  </si>
  <si>
    <t>RYBURN</t>
  </si>
  <si>
    <t>SHARMAN</t>
  </si>
  <si>
    <t>SCHREDER RS15</t>
  </si>
  <si>
    <t>05647EL</t>
  </si>
  <si>
    <t>BALLAS ELTON M</t>
  </si>
  <si>
    <t>SCHREDER SHU-1</t>
  </si>
  <si>
    <t>05647K6</t>
  </si>
  <si>
    <t>LOVELL</t>
  </si>
  <si>
    <t>SCHREDER-HP18</t>
  </si>
  <si>
    <t>BERG HANS W</t>
  </si>
  <si>
    <t>SCHROEDER RHJ 10</t>
  </si>
  <si>
    <t>05636P6</t>
  </si>
  <si>
    <t>SCHWARTZ EDWARD</t>
  </si>
  <si>
    <t>SCHWARTZ E GLIDER</t>
  </si>
  <si>
    <t>05626C2</t>
  </si>
  <si>
    <t>MASAK PETER C</t>
  </si>
  <si>
    <t>SCIMITAR</t>
  </si>
  <si>
    <t>056377T</t>
  </si>
  <si>
    <t>MORRIS SILVERMAN/HAROLD DUNAYE</t>
  </si>
  <si>
    <t>SDPT GLIDER</t>
  </si>
  <si>
    <t>05628XL</t>
  </si>
  <si>
    <t>MELHOSE EMERSON</t>
  </si>
  <si>
    <t>SECONDARY GLIDER</t>
  </si>
  <si>
    <t>05634YP</t>
  </si>
  <si>
    <t>PECK / LE BALLISTER SWALLOW</t>
  </si>
  <si>
    <t>05636DG</t>
  </si>
  <si>
    <t>TILBY JD/TILBY BO/VINYARD HE</t>
  </si>
  <si>
    <t>05636N5</t>
  </si>
  <si>
    <t>NISSEN JAMES MAGNUS</t>
  </si>
  <si>
    <t>05636VK</t>
  </si>
  <si>
    <t>POSEY MFG CO</t>
  </si>
  <si>
    <t>056372F</t>
  </si>
  <si>
    <t>WINN WF/WANG HA/LEATHERWOOD GM</t>
  </si>
  <si>
    <t>056372I</t>
  </si>
  <si>
    <t>CLARK MAYNARD/ELLIOTT JOE</t>
  </si>
  <si>
    <t>056372S</t>
  </si>
  <si>
    <t>CULVER IRVEN H</t>
  </si>
  <si>
    <t>056372Z</t>
  </si>
  <si>
    <t>HEPBURN PAUL N</t>
  </si>
  <si>
    <t>056373B</t>
  </si>
  <si>
    <t>MCNAMEE D/MARTIN R/ERICKSON B</t>
  </si>
  <si>
    <t>056373D</t>
  </si>
  <si>
    <t>ATWOOD BILL E</t>
  </si>
  <si>
    <t>056391B</t>
  </si>
  <si>
    <t>ELWIN G ROWELL</t>
  </si>
  <si>
    <t>056397R</t>
  </si>
  <si>
    <t>ALFRED HAGMANN/BEN H SHIREY JR</t>
  </si>
  <si>
    <t>056397U</t>
  </si>
  <si>
    <t>DONALD WILLIAM EDWARDS</t>
  </si>
  <si>
    <t>056397X</t>
  </si>
  <si>
    <t>RALPH B KNIGHT/JAMES SANDS</t>
  </si>
  <si>
    <t>05639KW</t>
  </si>
  <si>
    <t>A MARTINELLI/E MARTINELLI</t>
  </si>
  <si>
    <t>05640Q0</t>
  </si>
  <si>
    <t>JOSEPH PATRICK</t>
  </si>
  <si>
    <t>056372H</t>
  </si>
  <si>
    <t>JENKS THEODORE</t>
  </si>
  <si>
    <t>SECONDARY SPORT GLID</t>
  </si>
  <si>
    <t>05639K1</t>
  </si>
  <si>
    <t>FRANK H RIGGS</t>
  </si>
  <si>
    <t>SECONDARY TRNG GLIDR</t>
  </si>
  <si>
    <t>GIRARD RICHARD N</t>
  </si>
  <si>
    <t>SENSOR 510</t>
  </si>
  <si>
    <t>SF-26 STANDARD</t>
  </si>
  <si>
    <t>056034Q</t>
  </si>
  <si>
    <t>SCANLAN</t>
  </si>
  <si>
    <t>SG-1</t>
  </si>
  <si>
    <t>05631FU</t>
  </si>
  <si>
    <t>ABERNATHY</t>
  </si>
  <si>
    <t>SG-1A</t>
  </si>
  <si>
    <t>05635J7</t>
  </si>
  <si>
    <t>SMITH SAILPLANE</t>
  </si>
  <si>
    <t>SG-5</t>
  </si>
  <si>
    <t>SGP1-1</t>
  </si>
  <si>
    <t>SGS 1-23HM</t>
  </si>
  <si>
    <t>SGS 1-24</t>
  </si>
  <si>
    <t>SCHWEIZER-HOLLAND HILL FLYING</t>
  </si>
  <si>
    <t>SCHWEIZER-HOLLAND</t>
  </si>
  <si>
    <t>SGS 2-12</t>
  </si>
  <si>
    <t>SGS 2-25</t>
  </si>
  <si>
    <t>SGS 2-8(LNS-1)</t>
  </si>
  <si>
    <t>SGS 2-8A</t>
  </si>
  <si>
    <t>BOWMAN</t>
  </si>
  <si>
    <t>SGS-1</t>
  </si>
  <si>
    <t>05639N9</t>
  </si>
  <si>
    <t>ERNEST SCHWEIZER/PAUL SCHWEIZE</t>
  </si>
  <si>
    <t>SGU 1-6</t>
  </si>
  <si>
    <t>SGU 1-7</t>
  </si>
  <si>
    <t>SGU 2-22A</t>
  </si>
  <si>
    <t>SGU 2-22B</t>
  </si>
  <si>
    <t>05607NL</t>
  </si>
  <si>
    <t>HAGGENMACHER SCOTT</t>
  </si>
  <si>
    <t>SH-1</t>
  </si>
  <si>
    <t>05636YB</t>
  </si>
  <si>
    <t>SHAFFER REUBEN/ALBIN KENNETH</t>
  </si>
  <si>
    <t>SHAFFER/ALBIN GLIDER</t>
  </si>
  <si>
    <t>05639OY</t>
  </si>
  <si>
    <t>NOEL SHARP</t>
  </si>
  <si>
    <t>SHARP SECOND GLIDER</t>
  </si>
  <si>
    <t>05636MV</t>
  </si>
  <si>
    <t>SHINER GLIDER CLUB</t>
  </si>
  <si>
    <t>SHINER GLIDER</t>
  </si>
  <si>
    <t>056399X</t>
  </si>
  <si>
    <t>FRED H SICKLER</t>
  </si>
  <si>
    <t>SICKLER A GLIDER</t>
  </si>
  <si>
    <t>05647Y8</t>
  </si>
  <si>
    <t>WEAKLEY-TIMOTHY</t>
  </si>
  <si>
    <t>SIERRA</t>
  </si>
  <si>
    <t>05606ZO</t>
  </si>
  <si>
    <t>OPERATION SIGMA LIMITED</t>
  </si>
  <si>
    <t>SIGMA PROTOYPE GLDR</t>
  </si>
  <si>
    <t>05635VO</t>
  </si>
  <si>
    <t>SIMBROW MILTON</t>
  </si>
  <si>
    <t>SIMBROW GLIDER</t>
  </si>
  <si>
    <t>05603YB</t>
  </si>
  <si>
    <t>NEMI</t>
  </si>
  <si>
    <t>ASTRO</t>
  </si>
  <si>
    <t>056015O</t>
  </si>
  <si>
    <t>WOLFE J/FISCHER J</t>
  </si>
  <si>
    <t>SKD DOUBLE HELIX</t>
  </si>
  <si>
    <t>056399J</t>
  </si>
  <si>
    <t>EARL POLK</t>
  </si>
  <si>
    <t>SKYLARK GLIDER</t>
  </si>
  <si>
    <t>05636UV</t>
  </si>
  <si>
    <t>SLATZER</t>
  </si>
  <si>
    <t>SLATZER GLIDER</t>
  </si>
  <si>
    <t>05621CD</t>
  </si>
  <si>
    <t>SMITH MELVIN WILLIAM</t>
  </si>
  <si>
    <t>SMITH GLIDER</t>
  </si>
  <si>
    <t>05636EF</t>
  </si>
  <si>
    <t>SMITH THEODORE R</t>
  </si>
  <si>
    <t>SMITH GLIDER MDL 43</t>
  </si>
  <si>
    <t>056347D</t>
  </si>
  <si>
    <t>SMITH LAWRENCE</t>
  </si>
  <si>
    <t>SMITH PRIMARY GLIDER</t>
  </si>
  <si>
    <t>05639KR</t>
  </si>
  <si>
    <t>SIGMA TAU GAMMA</t>
  </si>
  <si>
    <t>SOARING GLIDER</t>
  </si>
  <si>
    <t>05640SO</t>
  </si>
  <si>
    <t>SOUTH PARK GLIDER CLUB</t>
  </si>
  <si>
    <t>SOUTH PARK GLIDER</t>
  </si>
  <si>
    <t>05640RB</t>
  </si>
  <si>
    <t>SOUTH PARK GLIDER CLUB NO 3</t>
  </si>
  <si>
    <t>SOUTH PARK MEAD</t>
  </si>
  <si>
    <t>SP1</t>
  </si>
  <si>
    <t>05627SY</t>
  </si>
  <si>
    <t>SPARLING ROBERT A</t>
  </si>
  <si>
    <t>SPARLING GLIDER</t>
  </si>
  <si>
    <t>05631L4</t>
  </si>
  <si>
    <t>05631NY</t>
  </si>
  <si>
    <t>WINDWARD PERFORMANCE / G COLE</t>
  </si>
  <si>
    <t>05631TS</t>
  </si>
  <si>
    <t>GREG COLE</t>
  </si>
  <si>
    <t>SCHEIBE-FLUGZEUGBAU</t>
  </si>
  <si>
    <t>SPATZ B 105</t>
  </si>
  <si>
    <t>SPATZ-55</t>
  </si>
  <si>
    <t>05647Q9</t>
  </si>
  <si>
    <t>TATMAN</t>
  </si>
  <si>
    <t>SPIZ SYNDICATE BA-2B</t>
  </si>
  <si>
    <t>05636R5</t>
  </si>
  <si>
    <t>SPRINGFIELD GLIDER CLUB</t>
  </si>
  <si>
    <t>SPRINGFIELD GLIDER</t>
  </si>
  <si>
    <t>05603XX</t>
  </si>
  <si>
    <t>MOORE</t>
  </si>
  <si>
    <t>SS-1</t>
  </si>
  <si>
    <t>05631IC</t>
  </si>
  <si>
    <t>RAINWATER J H</t>
  </si>
  <si>
    <t>ST GLIDER #1</t>
  </si>
  <si>
    <t>05603MZ</t>
  </si>
  <si>
    <t>FRANKS</t>
  </si>
  <si>
    <t>STD 1</t>
  </si>
  <si>
    <t>05635VC</t>
  </si>
  <si>
    <t>STEELE JOHN THOMAS</t>
  </si>
  <si>
    <t>STEELE GLIDER</t>
  </si>
  <si>
    <t>05639KY</t>
  </si>
  <si>
    <t>RAYMOND J STEPHAN</t>
  </si>
  <si>
    <t>STEPHAN A GLIDER</t>
  </si>
  <si>
    <t>STG-13</t>
  </si>
  <si>
    <t>05603BR</t>
  </si>
  <si>
    <t>AUBURN</t>
  </si>
  <si>
    <t>SU-1</t>
  </si>
  <si>
    <t>056390P</t>
  </si>
  <si>
    <t>SULLIVAN AIRCRAFT CO</t>
  </si>
  <si>
    <t>SULLIVAN SG-1 GLIDER</t>
  </si>
  <si>
    <t>05604FW</t>
  </si>
  <si>
    <t>SINCLAIR JOHN S</t>
  </si>
  <si>
    <t>SUPER ALBATROSS</t>
  </si>
  <si>
    <t>05620FO</t>
  </si>
  <si>
    <t>VANCE AIRCRAFT CO</t>
  </si>
  <si>
    <t>SUPERIOR GLIDER</t>
  </si>
  <si>
    <t>05634X1</t>
  </si>
  <si>
    <t>SWIFT HAROLD O</t>
  </si>
  <si>
    <t>SWIFT GLIDER</t>
  </si>
  <si>
    <t>05638EX</t>
  </si>
  <si>
    <t>SWIFT LEON M</t>
  </si>
  <si>
    <t>SWIFT MEAD PRIM GLDR</t>
  </si>
  <si>
    <t>056352I</t>
  </si>
  <si>
    <t>STOUT ENGINEERING LABORATORIES</t>
  </si>
  <si>
    <t>SX-9</t>
  </si>
  <si>
    <t>ZEFIR</t>
  </si>
  <si>
    <t>SZD 192A</t>
  </si>
  <si>
    <t>05637I5</t>
  </si>
  <si>
    <t>JANTAR</t>
  </si>
  <si>
    <t>SZD 41A</t>
  </si>
  <si>
    <t>05620XH</t>
  </si>
  <si>
    <t>SZD 42-1 JANTAR 2A</t>
  </si>
  <si>
    <t>05617W9</t>
  </si>
  <si>
    <t>SZD 51-1 JUNIOR</t>
  </si>
  <si>
    <t>S Z D</t>
  </si>
  <si>
    <t>SZD-22CMUCHA STD</t>
  </si>
  <si>
    <t>SZD-24C FOKA</t>
  </si>
  <si>
    <t>WSK-SWIDNIK</t>
  </si>
  <si>
    <t>SZD-30 PIRAT</t>
  </si>
  <si>
    <t>05614ZT</t>
  </si>
  <si>
    <t>ZS DELTA-BIELSKO WROCLAW</t>
  </si>
  <si>
    <t>SZD-36 A COBRA 15</t>
  </si>
  <si>
    <t>SZD-37 JANTAR 17</t>
  </si>
  <si>
    <t>SZD-38A JANTAR-1</t>
  </si>
  <si>
    <t>05607QB</t>
  </si>
  <si>
    <t>PDPSPZL-BIELSKO</t>
  </si>
  <si>
    <t>SZD-48-3 JANTAR S 3</t>
  </si>
  <si>
    <t>PDPS PZL BIELSKO</t>
  </si>
  <si>
    <t>SZD-50-3A</t>
  </si>
  <si>
    <t>05630UR</t>
  </si>
  <si>
    <t>SZD-54-2 PERKOZ</t>
  </si>
  <si>
    <t>SZD-56-1</t>
  </si>
  <si>
    <t>05612T2</t>
  </si>
  <si>
    <t>BIURO PROJEKTOWE B BOGUMIL B</t>
  </si>
  <si>
    <t>05628UG</t>
  </si>
  <si>
    <t>SZD-59 ACRO</t>
  </si>
  <si>
    <t>SZD</t>
  </si>
  <si>
    <t>SZD-9BIS1D</t>
  </si>
  <si>
    <t>T-53</t>
  </si>
  <si>
    <t>SLINGSBY/LIST</t>
  </si>
  <si>
    <t>T-61A FALKE</t>
  </si>
  <si>
    <t>05636BE</t>
  </si>
  <si>
    <t>SOUTHERN AIRCRAFT</t>
  </si>
  <si>
    <t>T1</t>
  </si>
  <si>
    <t>T2</t>
  </si>
  <si>
    <t>T31 MK II</t>
  </si>
  <si>
    <t>T61A FALKE</t>
  </si>
  <si>
    <t>T61B FALKE</t>
  </si>
  <si>
    <t>VICKERS SLINGSBY</t>
  </si>
  <si>
    <t>T65C VEGA</t>
  </si>
  <si>
    <t>06102DP</t>
  </si>
  <si>
    <t>TAO</t>
  </si>
  <si>
    <t>05636BB</t>
  </si>
  <si>
    <t>TENNESSEE GLIDER ASSOC</t>
  </si>
  <si>
    <t>TENNESSEE GLIDER</t>
  </si>
  <si>
    <t>TERN</t>
  </si>
  <si>
    <t>HARDIE</t>
  </si>
  <si>
    <t>056036A</t>
  </si>
  <si>
    <t>SPAULDING</t>
  </si>
  <si>
    <t>05603EQ</t>
  </si>
  <si>
    <t>COOK GLIDER</t>
  </si>
  <si>
    <t>05603WU</t>
  </si>
  <si>
    <t>05619AJ</t>
  </si>
  <si>
    <t>056479C</t>
  </si>
  <si>
    <t>BURGE WILLIAM M JR</t>
  </si>
  <si>
    <t>05647EP</t>
  </si>
  <si>
    <t>STECKLER STEPHEN T</t>
  </si>
  <si>
    <t>05603L3</t>
  </si>
  <si>
    <t>FARR AIRCRAFT</t>
  </si>
  <si>
    <t>TERN IA</t>
  </si>
  <si>
    <t>HURT</t>
  </si>
  <si>
    <t>TERN II</t>
  </si>
  <si>
    <t>WIELAND</t>
  </si>
  <si>
    <t>TERN II-1B</t>
  </si>
  <si>
    <t>SHOWALTER</t>
  </si>
  <si>
    <t>TERN SAILPLANE</t>
  </si>
  <si>
    <t>05603A1</t>
  </si>
  <si>
    <t>05603T8</t>
  </si>
  <si>
    <t>KNAUFF-KENLY-DACHILLE-WELCH</t>
  </si>
  <si>
    <t>056032P</t>
  </si>
  <si>
    <t>TERN TWO</t>
  </si>
  <si>
    <t>JACKSON</t>
  </si>
  <si>
    <t>TERN-2</t>
  </si>
  <si>
    <t>TG-13A</t>
  </si>
  <si>
    <t>TG-1C</t>
  </si>
  <si>
    <t>TG-2</t>
  </si>
  <si>
    <t>TG-32</t>
  </si>
  <si>
    <t>TG-4A</t>
  </si>
  <si>
    <t>TG6</t>
  </si>
  <si>
    <t>05603Z9</t>
  </si>
  <si>
    <t>PARKER-JOHNSON</t>
  </si>
  <si>
    <t>TINY MITE</t>
  </si>
  <si>
    <t>056360T</t>
  </si>
  <si>
    <t>DAVID FRANK M</t>
  </si>
  <si>
    <t>TP-1 GLIDER</t>
  </si>
  <si>
    <t>05636RC</t>
  </si>
  <si>
    <t>MOORE W/MOORE F/SMITH R</t>
  </si>
  <si>
    <t>TRAINING GLIDER</t>
  </si>
  <si>
    <t>056378B</t>
  </si>
  <si>
    <t>SYRACUSE GLIDER CLUB</t>
  </si>
  <si>
    <t>05639LK</t>
  </si>
  <si>
    <t>ERNEST A TOWERS</t>
  </si>
  <si>
    <t>05607VI</t>
  </si>
  <si>
    <t>TEST AIRCRAFT</t>
  </si>
  <si>
    <t>TST-1-ALPIN</t>
  </si>
  <si>
    <t>05616IB</t>
  </si>
  <si>
    <t>TST-10 M</t>
  </si>
  <si>
    <t>SPORT FLUGZEUGBAU GOEPPINGEN</t>
  </si>
  <si>
    <t>TYPE 1 WOLF</t>
  </si>
  <si>
    <t>TYPE 41 SERIES 2</t>
  </si>
  <si>
    <t>TYPE 43 SERIES 3D</t>
  </si>
  <si>
    <t>UNIVERSITY OF UTAH GLIDER CLUB</t>
  </si>
  <si>
    <t>U OF U GLIDER</t>
  </si>
  <si>
    <t>05620WG</t>
  </si>
  <si>
    <t>UNIVERSAL GLIDERS</t>
  </si>
  <si>
    <t>UG-2P-2</t>
  </si>
  <si>
    <t>UHP-1</t>
  </si>
  <si>
    <t>RAYMOND ERIC SCOTT</t>
  </si>
  <si>
    <t>ULTRALIGHT SAILPLANE</t>
  </si>
  <si>
    <t>UNIVERSITY OF MINNESOTA</t>
  </si>
  <si>
    <t>UMG-3</t>
  </si>
  <si>
    <t>UNKNOWN</t>
  </si>
  <si>
    <t>MILLER EDWARD B</t>
  </si>
  <si>
    <t>UT-1GLIDER</t>
  </si>
  <si>
    <t>056361Y</t>
  </si>
  <si>
    <t>UNIV OF UTAH GLIDER CLUB</t>
  </si>
  <si>
    <t>UTAH GLIDER</t>
  </si>
  <si>
    <t>056354Z</t>
  </si>
  <si>
    <t>DENVER PIENEER</t>
  </si>
  <si>
    <t>UTILITY GLIDER</t>
  </si>
  <si>
    <t>05639KB</t>
  </si>
  <si>
    <t>MAX PETERSON/BOBBIE SWARD JR</t>
  </si>
  <si>
    <t>05639LC</t>
  </si>
  <si>
    <t>GEORGE T DICKASON</t>
  </si>
  <si>
    <t>UTILITY LP GLIDER</t>
  </si>
  <si>
    <t>05636NN</t>
  </si>
  <si>
    <t>YOUNCE WM</t>
  </si>
  <si>
    <t>V A C 2</t>
  </si>
  <si>
    <t>05603L5</t>
  </si>
  <si>
    <t>V-1</t>
  </si>
  <si>
    <t>05635RP</t>
  </si>
  <si>
    <t>VALENCIA GLIDER CLUB</t>
  </si>
  <si>
    <t>VALENCIA-MEAD</t>
  </si>
  <si>
    <t>05635W1</t>
  </si>
  <si>
    <t>EGNER GEORGE</t>
  </si>
  <si>
    <t>VAMPYR 1</t>
  </si>
  <si>
    <t>05620MO</t>
  </si>
  <si>
    <t>VAN BEZEL S-100</t>
  </si>
  <si>
    <t>VENTUS 2 BX</t>
  </si>
  <si>
    <t>VENTUS 2AX</t>
  </si>
  <si>
    <t>SCHEMPP-HIRTH FLUGZEUBAU GMBH</t>
  </si>
  <si>
    <t>VENTUS 2CXT</t>
  </si>
  <si>
    <t>05603Q9</t>
  </si>
  <si>
    <t>HUTCHINSON</t>
  </si>
  <si>
    <t>VHS</t>
  </si>
  <si>
    <t>05620R1</t>
  </si>
  <si>
    <t>MCCARTNEY/PETERS</t>
  </si>
  <si>
    <t>VIKING VG II</t>
  </si>
  <si>
    <t>05676UH</t>
  </si>
  <si>
    <t>PACIFIC WIND CRAFT</t>
  </si>
  <si>
    <t>VISION 194</t>
  </si>
  <si>
    <t>NICHOLS-KOSZYK</t>
  </si>
  <si>
    <t>VJ-23</t>
  </si>
  <si>
    <t>05647KZ</t>
  </si>
  <si>
    <t>TREUE THOMAS N</t>
  </si>
  <si>
    <t>VJ-23 SWINGWING</t>
  </si>
  <si>
    <t>056338V</t>
  </si>
  <si>
    <t>ORLICAN</t>
  </si>
  <si>
    <t>VSO 10</t>
  </si>
  <si>
    <t>05647KY</t>
  </si>
  <si>
    <t>GRIFFIN EDWARD J</t>
  </si>
  <si>
    <t>W S III</t>
  </si>
  <si>
    <t>05636YD</t>
  </si>
  <si>
    <t>WALMSLEY PEYTON RANDOLPH</t>
  </si>
  <si>
    <t>WALMSLEY GLIDER</t>
  </si>
  <si>
    <t>05640G3</t>
  </si>
  <si>
    <t>FAYE WALSTON</t>
  </si>
  <si>
    <t>WALSTON GN-1 GLIDER</t>
  </si>
  <si>
    <t>WOODS W COPTER</t>
  </si>
  <si>
    <t>WB</t>
  </si>
  <si>
    <t>05636NT</t>
  </si>
  <si>
    <t>WESTERN STATE TEACHERS COLLEGE</t>
  </si>
  <si>
    <t>WEAVER SECONDARY GLI</t>
  </si>
  <si>
    <t>05603H7</t>
  </si>
  <si>
    <t>056127Y</t>
  </si>
  <si>
    <t>SIEBEL</t>
  </si>
  <si>
    <t>05636SS</t>
  </si>
  <si>
    <t>RAHN ARTHUR</t>
  </si>
  <si>
    <t>WESTPREUSSEN GLIDER</t>
  </si>
  <si>
    <t>05637FD</t>
  </si>
  <si>
    <t>WASHINGTON GLIDER CLUB INC</t>
  </si>
  <si>
    <t>WGC - PT</t>
  </si>
  <si>
    <t>WILSON</t>
  </si>
  <si>
    <t>WILSON PRIMARY GLIDE</t>
  </si>
  <si>
    <t>05612S8</t>
  </si>
  <si>
    <t>SOLO WINGS CC</t>
  </si>
  <si>
    <t>WINDLASS AQUILLA</t>
  </si>
  <si>
    <t>OTIS ROBERT R</t>
  </si>
  <si>
    <t>WINDROSE</t>
  </si>
  <si>
    <t>PARKER D / GROSS K</t>
  </si>
  <si>
    <t>05636W2</t>
  </si>
  <si>
    <t>SEGELFLUGZEUGBAU KASSEL</t>
  </si>
  <si>
    <t>WLV H2</t>
  </si>
  <si>
    <t>056759J</t>
  </si>
  <si>
    <t>WINKEL RICHARD C</t>
  </si>
  <si>
    <t>WMG-1</t>
  </si>
  <si>
    <t>056399G</t>
  </si>
  <si>
    <t>E J WOODARD</t>
  </si>
  <si>
    <t>WOODARD PRIM GLIDER</t>
  </si>
  <si>
    <t>BROWN JOHN</t>
  </si>
  <si>
    <t>KAUSE DENNIS R</t>
  </si>
  <si>
    <t>GILMORE JAMES M</t>
  </si>
  <si>
    <t>056077O</t>
  </si>
  <si>
    <t>HURT DREXEL</t>
  </si>
  <si>
    <t>05613Y5</t>
  </si>
  <si>
    <t>MEYERS DAVID</t>
  </si>
  <si>
    <t>05620RJ</t>
  </si>
  <si>
    <t>BESKOW CHARLES R</t>
  </si>
  <si>
    <t>05626UL</t>
  </si>
  <si>
    <t>HART PHILIP G</t>
  </si>
  <si>
    <t>056378Q</t>
  </si>
  <si>
    <t>STEVEN E KEMMERLY</t>
  </si>
  <si>
    <t>05647CH</t>
  </si>
  <si>
    <t>STRAUS WALLACE R</t>
  </si>
  <si>
    <t>05647EW</t>
  </si>
  <si>
    <t>JOHNSON DALE A</t>
  </si>
  <si>
    <t>05647EY</t>
  </si>
  <si>
    <t>BAKER HENRY J</t>
  </si>
  <si>
    <t>05647HQ</t>
  </si>
  <si>
    <t>NAVARRE LOUIS F</t>
  </si>
  <si>
    <t>05647TZ</t>
  </si>
  <si>
    <t>BANKS THEODORE JR</t>
  </si>
  <si>
    <t>05675ZL</t>
  </si>
  <si>
    <t>PLUMMER GARY W</t>
  </si>
  <si>
    <t>05675F7</t>
  </si>
  <si>
    <t>VAN EGMOND WILLEM N</t>
  </si>
  <si>
    <t>WOODSTOCK 1</t>
  </si>
  <si>
    <t>05647LP</t>
  </si>
  <si>
    <t>KNIGHT MICHAEL A</t>
  </si>
  <si>
    <t>WOODSTOCK GLIDER</t>
  </si>
  <si>
    <t>056074I</t>
  </si>
  <si>
    <t>RICH HARRY A</t>
  </si>
  <si>
    <t>WOODSTOCK I</t>
  </si>
  <si>
    <t>TAYLOR REUBEN R JR</t>
  </si>
  <si>
    <t>WOODSTOCK ONE</t>
  </si>
  <si>
    <t>05647Y3</t>
  </si>
  <si>
    <t>MAUPIN</t>
  </si>
  <si>
    <t>WOODSTOCK-I</t>
  </si>
  <si>
    <t>05627R8</t>
  </si>
  <si>
    <t>WYANDOTTE AVIATION CLUB</t>
  </si>
  <si>
    <t>WYANDOTTE MODEL 1</t>
  </si>
  <si>
    <t>X-391</t>
  </si>
  <si>
    <t>XLNP-1</t>
  </si>
  <si>
    <t>05603VP</t>
  </si>
  <si>
    <t>XM-1</t>
  </si>
  <si>
    <t>06101V3</t>
  </si>
  <si>
    <t>SPACECORE INC</t>
  </si>
  <si>
    <t>XS-1A</t>
  </si>
  <si>
    <t>XTG-9</t>
  </si>
  <si>
    <t>05636ZO</t>
  </si>
  <si>
    <t>PIERCE PERCY</t>
  </si>
  <si>
    <t>XY SAILPLANE</t>
  </si>
  <si>
    <t>05611XF</t>
  </si>
  <si>
    <t>SKYSPORTS MICROLIGHT AVIA LTD</t>
  </si>
  <si>
    <t>YARROW ARROW</t>
  </si>
  <si>
    <t>05635ZX</t>
  </si>
  <si>
    <t>YATES VERNON L/PALMER GEORGE W</t>
  </si>
  <si>
    <t>YP-1</t>
  </si>
  <si>
    <t>056318L</t>
  </si>
  <si>
    <t>PEEL GLIDER BOAT CORPORATION</t>
  </si>
  <si>
    <t>ZELCER #1</t>
  </si>
  <si>
    <t>05603JS</t>
  </si>
  <si>
    <t>DUSTE</t>
  </si>
  <si>
    <t>ZINA III</t>
  </si>
  <si>
    <t>05636PY</t>
  </si>
  <si>
    <t>SEGELFLUGZEUGBAU</t>
  </si>
  <si>
    <t>05637H0</t>
  </si>
  <si>
    <t>KARL L ERICKSON</t>
  </si>
  <si>
    <t>ZUGVOGEL I</t>
  </si>
  <si>
    <t>ZUGVOGEL II</t>
  </si>
  <si>
    <t>05647W5</t>
  </si>
  <si>
    <t>ROBINSON</t>
  </si>
  <si>
    <t>056204N</t>
  </si>
  <si>
    <t>AEROTEK INC</t>
  </si>
  <si>
    <t>ZUNO</t>
  </si>
  <si>
    <t>05615CX</t>
  </si>
  <si>
    <t>GIROUX FRANCIS A</t>
  </si>
  <si>
    <t>032 MOTORGLIDER</t>
  </si>
  <si>
    <t>FRY-KIBLER</t>
  </si>
  <si>
    <t>03A RENIGADE</t>
  </si>
  <si>
    <t>05647BW</t>
  </si>
  <si>
    <t>HUDSON SANDERS V</t>
  </si>
  <si>
    <t>2-2-2E</t>
  </si>
  <si>
    <t>056147A</t>
  </si>
  <si>
    <t>BEZINQUE DAVID J</t>
  </si>
  <si>
    <t>ALISPORT-SILENT IN</t>
  </si>
  <si>
    <t>05607Q5</t>
  </si>
  <si>
    <t>TEST CO</t>
  </si>
  <si>
    <t>ALPIN TM</t>
  </si>
  <si>
    <t>05647X7</t>
  </si>
  <si>
    <t>LAWRENCE</t>
  </si>
  <si>
    <t>AM EAGLET</t>
  </si>
  <si>
    <t>05647HN</t>
  </si>
  <si>
    <t>LEMER WILLIAM L</t>
  </si>
  <si>
    <t>AM-EAGLET</t>
  </si>
  <si>
    <t>05676N2</t>
  </si>
  <si>
    <t>WARD WILLIAM F</t>
  </si>
  <si>
    <t>HAIG</t>
  </si>
  <si>
    <t>05647AF</t>
  </si>
  <si>
    <t>STRICKLAND-DAVID</t>
  </si>
  <si>
    <t>05647AM</t>
  </si>
  <si>
    <t>CANNIZZO-SAL</t>
  </si>
  <si>
    <t>05647BD</t>
  </si>
  <si>
    <t>DOESBURG VAN I</t>
  </si>
  <si>
    <t>05647BP</t>
  </si>
  <si>
    <t>05647CB</t>
  </si>
  <si>
    <t>BONNEY JAMES H</t>
  </si>
  <si>
    <t>05647CK</t>
  </si>
  <si>
    <t>FREDRICK DELBERT R</t>
  </si>
  <si>
    <t>05647CM</t>
  </si>
  <si>
    <t>KILCER JOHN S</t>
  </si>
  <si>
    <t>05647DM</t>
  </si>
  <si>
    <t>STEWART JOHN W</t>
  </si>
  <si>
    <t>05647DN</t>
  </si>
  <si>
    <t>MILLER JOHNIE</t>
  </si>
  <si>
    <t>05647DS</t>
  </si>
  <si>
    <t>BOYETT THOMAS P JR</t>
  </si>
  <si>
    <t>05647EC</t>
  </si>
  <si>
    <t>JONES RUPERT D</t>
  </si>
  <si>
    <t>05647EU</t>
  </si>
  <si>
    <t>SMITH DEWILTON C</t>
  </si>
  <si>
    <t>05647EZ</t>
  </si>
  <si>
    <t>MARCHANT G H</t>
  </si>
  <si>
    <t>05647FS</t>
  </si>
  <si>
    <t>BAREFOOT RICHARD</t>
  </si>
  <si>
    <t>05647G7</t>
  </si>
  <si>
    <t>DARLINGTON</t>
  </si>
  <si>
    <t>05647GX</t>
  </si>
  <si>
    <t>05647JD</t>
  </si>
  <si>
    <t>WELLS TERRY G</t>
  </si>
  <si>
    <t>05647JP</t>
  </si>
  <si>
    <t>CLARK RICHARD K</t>
  </si>
  <si>
    <t>05647JV</t>
  </si>
  <si>
    <t>GEISSINGER WALTER H</t>
  </si>
  <si>
    <t>05647T8</t>
  </si>
  <si>
    <t>MIZE</t>
  </si>
  <si>
    <t>05647X2</t>
  </si>
  <si>
    <t>05647Y1</t>
  </si>
  <si>
    <t>WEEKS</t>
  </si>
  <si>
    <t>AMT-100</t>
  </si>
  <si>
    <t>05623DA</t>
  </si>
  <si>
    <t>AMT-100 XIMANGO</t>
  </si>
  <si>
    <t>056136I</t>
  </si>
  <si>
    <t>SCHNURR JACK C</t>
  </si>
  <si>
    <t>ANTARES MA-32</t>
  </si>
  <si>
    <t>05607GQ</t>
  </si>
  <si>
    <t>WELSH LANSFORD K</t>
  </si>
  <si>
    <t>05611J5</t>
  </si>
  <si>
    <t>KMAK ANDREW S</t>
  </si>
  <si>
    <t>05614HG</t>
  </si>
  <si>
    <t>PARKER DOUGLAS</t>
  </si>
  <si>
    <t>05614MZ</t>
  </si>
  <si>
    <t>NICOSON ALAN E</t>
  </si>
  <si>
    <t>05616CU</t>
  </si>
  <si>
    <t>KRUSE PAUL G</t>
  </si>
  <si>
    <t>APEX 5XPK</t>
  </si>
  <si>
    <t>059009P</t>
  </si>
  <si>
    <t>AMS FLIGHT</t>
  </si>
  <si>
    <t>APIS-M (MOTORGLIDER)</t>
  </si>
  <si>
    <t>38015GX</t>
  </si>
  <si>
    <t>ASK-16</t>
  </si>
  <si>
    <t>ASHLEY</t>
  </si>
  <si>
    <t>50901J3</t>
  </si>
  <si>
    <t>BABY ALBATROSS</t>
  </si>
  <si>
    <t>SNOOK C WILLIAM JR</t>
  </si>
  <si>
    <t>BD 4</t>
  </si>
  <si>
    <t>INGALLS CHARLES A</t>
  </si>
  <si>
    <t>BD IV</t>
  </si>
  <si>
    <t>JARVIS RONALD J</t>
  </si>
  <si>
    <t>BD-4</t>
  </si>
  <si>
    <t>WOLF LOUIS R</t>
  </si>
  <si>
    <t>BD-5B</t>
  </si>
  <si>
    <t>11307MR</t>
  </si>
  <si>
    <t>ROCCO MANUEL / ROCCO CHRISTINA</t>
  </si>
  <si>
    <t>BD5</t>
  </si>
  <si>
    <t>05624MM</t>
  </si>
  <si>
    <t>HOLDER THOMAS C</t>
  </si>
  <si>
    <t>05647D9</t>
  </si>
  <si>
    <t>MENDENHALL</t>
  </si>
  <si>
    <t>BIG BIRD</t>
  </si>
  <si>
    <t>WIDNER JACK ALLEN</t>
  </si>
  <si>
    <t>05647JQ</t>
  </si>
  <si>
    <t>WILKES RAYMOND S</t>
  </si>
  <si>
    <t>BMW-1</t>
  </si>
  <si>
    <t>05647MT</t>
  </si>
  <si>
    <t>HICKMAN-BELL</t>
  </si>
  <si>
    <t>BRIEGLEB BG-6</t>
  </si>
  <si>
    <t>PATTISON JOHN</t>
  </si>
  <si>
    <t>BULLET 160</t>
  </si>
  <si>
    <t>05637GP</t>
  </si>
  <si>
    <t>HARTLEY MEAD</t>
  </si>
  <si>
    <t>CH</t>
  </si>
  <si>
    <t>05621TM</t>
  </si>
  <si>
    <t>SCHWANDT CHARLES F</t>
  </si>
  <si>
    <t>406015A</t>
  </si>
  <si>
    <t>STEFFENS</t>
  </si>
  <si>
    <t>05611XR</t>
  </si>
  <si>
    <t>KENNEDY STEPHEN</t>
  </si>
  <si>
    <t>COBRA 912S</t>
  </si>
  <si>
    <t>05611MG</t>
  </si>
  <si>
    <t>PALMATIER BARRY</t>
  </si>
  <si>
    <t>COSMOS G10</t>
  </si>
  <si>
    <t>CRAIG WESTWOOD</t>
  </si>
  <si>
    <t>COZY MK IV</t>
  </si>
  <si>
    <t>05633GG</t>
  </si>
  <si>
    <t>SULLIVAN DENNIS</t>
  </si>
  <si>
    <t>CRAWFORD A-1</t>
  </si>
  <si>
    <t>05633JO</t>
  </si>
  <si>
    <t>CRAWFORD MOTOR &amp; AIRPLANE MANU</t>
  </si>
  <si>
    <t>CRAWFORD'S GLIDER</t>
  </si>
  <si>
    <t>056477W</t>
  </si>
  <si>
    <t>MULVEY GEORGE P</t>
  </si>
  <si>
    <t>D-8 SAILPLANE</t>
  </si>
  <si>
    <t>DAMSEL FLY 1</t>
  </si>
  <si>
    <t>05608O8</t>
  </si>
  <si>
    <t>NITSCHKE LANCE G</t>
  </si>
  <si>
    <t>DOMINATOR</t>
  </si>
  <si>
    <t>05647GH</t>
  </si>
  <si>
    <t>DONNELLY ROBERT R</t>
  </si>
  <si>
    <t>05647JL</t>
  </si>
  <si>
    <t>BARRON-USEN</t>
  </si>
  <si>
    <t>05647N1</t>
  </si>
  <si>
    <t>PETERSEN</t>
  </si>
  <si>
    <t>05647Z6</t>
  </si>
  <si>
    <t>KRETSCHMER-STEPHEN</t>
  </si>
  <si>
    <t>EB28</t>
  </si>
  <si>
    <t>EGRETT I</t>
  </si>
  <si>
    <t>056114P</t>
  </si>
  <si>
    <t>NELSON JAMES H</t>
  </si>
  <si>
    <t>EUROPA</t>
  </si>
  <si>
    <t>05610XP</t>
  </si>
  <si>
    <t>SIMPKINS SHAUN</t>
  </si>
  <si>
    <t>EUROPA MOTOR GLIDER</t>
  </si>
  <si>
    <t>056248X</t>
  </si>
  <si>
    <t>ROTORWAY</t>
  </si>
  <si>
    <t>EXECUTIVE</t>
  </si>
  <si>
    <t>FOURNIER R.F.5</t>
  </si>
  <si>
    <t>G 109</t>
  </si>
  <si>
    <t>05605YY</t>
  </si>
  <si>
    <t>GENESIS</t>
  </si>
  <si>
    <t>05647DD</t>
  </si>
  <si>
    <t>MONTGOMERY-SCHMIDT</t>
  </si>
  <si>
    <t>GROB G115D</t>
  </si>
  <si>
    <t>05614SK</t>
  </si>
  <si>
    <t>FRENCH HAL THOMAS</t>
  </si>
  <si>
    <t>HF GLIDER SLF LAUNCH</t>
  </si>
  <si>
    <t>056075U</t>
  </si>
  <si>
    <t>WHIGHAM EUGENE E (GENE)</t>
  </si>
  <si>
    <t>HIPP RELIANT SX</t>
  </si>
  <si>
    <t>HK 36TTC ECO</t>
  </si>
  <si>
    <t>HK-36TTS</t>
  </si>
  <si>
    <t>DAVIS</t>
  </si>
  <si>
    <t>05647BF</t>
  </si>
  <si>
    <t>PARK ROBERT M</t>
  </si>
  <si>
    <t>HOMEMADE GLIDERPLANE</t>
  </si>
  <si>
    <t>056478C</t>
  </si>
  <si>
    <t>HP-2</t>
  </si>
  <si>
    <t>05603CB</t>
  </si>
  <si>
    <t>BERGFALKE</t>
  </si>
  <si>
    <t>II/55</t>
  </si>
  <si>
    <t>SCHUETZE R M</t>
  </si>
  <si>
    <t>IRWIN M-T-2</t>
  </si>
  <si>
    <t>IS-28M2A</t>
  </si>
  <si>
    <t>KEENEY</t>
  </si>
  <si>
    <t>JUNIOR ACE MODEL E</t>
  </si>
  <si>
    <t>05637FE</t>
  </si>
  <si>
    <t>WASHINGTON GLIDER</t>
  </si>
  <si>
    <t>K-945/2-RI</t>
  </si>
  <si>
    <t>05647H9</t>
  </si>
  <si>
    <t>RENAU</t>
  </si>
  <si>
    <t>LUNDY KEARNEY V</t>
  </si>
  <si>
    <t>KVL 41</t>
  </si>
  <si>
    <t>05641FW</t>
  </si>
  <si>
    <t>MAXIMUM SAFETY AIRPLANE CO INC</t>
  </si>
  <si>
    <t>M-2</t>
  </si>
  <si>
    <t>05614VI</t>
  </si>
  <si>
    <t>BEZILLA MICHAEL</t>
  </si>
  <si>
    <t>MA-33</t>
  </si>
  <si>
    <t>FOTI WILLIAM</t>
  </si>
  <si>
    <t>MARCO J-5</t>
  </si>
  <si>
    <t>056162B</t>
  </si>
  <si>
    <t>VAN DER KAAY ERIK K</t>
  </si>
  <si>
    <t>MARCO J5</t>
  </si>
  <si>
    <t>05636C6</t>
  </si>
  <si>
    <t>MOTOR GLIDERS INC</t>
  </si>
  <si>
    <t>MG1</t>
  </si>
  <si>
    <t>MILLER CARROLL K</t>
  </si>
  <si>
    <t>MILLER SAILPLANE</t>
  </si>
  <si>
    <t>COLEMAN GORDON</t>
  </si>
  <si>
    <t>05647JG</t>
  </si>
  <si>
    <t>CARTER KELLEY E</t>
  </si>
  <si>
    <t>05647NM</t>
  </si>
  <si>
    <t>CHESTER CHARLES ALLEN</t>
  </si>
  <si>
    <t>056598R</t>
  </si>
  <si>
    <t>LISTUL DANIEL K</t>
  </si>
  <si>
    <t>05647K9</t>
  </si>
  <si>
    <t>MONERAI 1-P</t>
  </si>
  <si>
    <t>GRIDER BRUCE</t>
  </si>
  <si>
    <t>MONERAI P G</t>
  </si>
  <si>
    <t>05647JR</t>
  </si>
  <si>
    <t>HAUPT EDWARD C</t>
  </si>
  <si>
    <t>05647JT</t>
  </si>
  <si>
    <t>SULLIVAN WILLIAM L</t>
  </si>
  <si>
    <t>05623PV</t>
  </si>
  <si>
    <t>HAGEMAN JOHN H</t>
  </si>
  <si>
    <t>MONETT MONI</t>
  </si>
  <si>
    <t>05621RQ</t>
  </si>
  <si>
    <t>CHAVES CARLOS A</t>
  </si>
  <si>
    <t>056593S</t>
  </si>
  <si>
    <t>MCDONALD ELMER T</t>
  </si>
  <si>
    <t>056599Q</t>
  </si>
  <si>
    <t>KUHLIG CLEMENS C</t>
  </si>
  <si>
    <t>HOFFMEYER ROBERT W</t>
  </si>
  <si>
    <t>MONI STANDARD</t>
  </si>
  <si>
    <t>056599F</t>
  </si>
  <si>
    <t>DOEBLER ROBERT L</t>
  </si>
  <si>
    <t>056599G</t>
  </si>
  <si>
    <t>PERDUE GARY J</t>
  </si>
  <si>
    <t>NAVAL AIRCRAFT FACTORY</t>
  </si>
  <si>
    <t>N3N-1</t>
  </si>
  <si>
    <t>WIEDERKEHR GEORGE H</t>
  </si>
  <si>
    <t>NA</t>
  </si>
  <si>
    <t>05634W2</t>
  </si>
  <si>
    <t>HOLMES</t>
  </si>
  <si>
    <t>05647P8</t>
  </si>
  <si>
    <t>ELECTRA FLYER CORP.</t>
  </si>
  <si>
    <t>OLYMPUS 160</t>
  </si>
  <si>
    <t>05615SI</t>
  </si>
  <si>
    <t>LESHNER ERVIN P E</t>
  </si>
  <si>
    <t>ONIE RUTH</t>
  </si>
  <si>
    <t>PIPER AIRCRAFT CORP</t>
  </si>
  <si>
    <t>P2</t>
  </si>
  <si>
    <t>05637FP</t>
  </si>
  <si>
    <t>PACKARD MOTOR CAR CO</t>
  </si>
  <si>
    <t>PACKARD</t>
  </si>
  <si>
    <t>056037F</t>
  </si>
  <si>
    <t>TEMPLIN</t>
  </si>
  <si>
    <t>PEGASUS</t>
  </si>
  <si>
    <t>PG-185</t>
  </si>
  <si>
    <t>05644PU</t>
  </si>
  <si>
    <t>IRWIN JOHN W</t>
  </si>
  <si>
    <t>05647M9</t>
  </si>
  <si>
    <t>KENNEDY-WARNER</t>
  </si>
  <si>
    <t>PS-1</t>
  </si>
  <si>
    <t>056319S</t>
  </si>
  <si>
    <t>REINHART-WHELAN COMPANY</t>
  </si>
  <si>
    <t>RAMBLER</t>
  </si>
  <si>
    <t>RITENOUR-KATZ</t>
  </si>
  <si>
    <t>RK-2 PTERODACTYL</t>
  </si>
  <si>
    <t>05626RG</t>
  </si>
  <si>
    <t>ROBBINS CARLISLE HENSDALE</t>
  </si>
  <si>
    <t>ROBBINS MOTOR GLIDER</t>
  </si>
  <si>
    <t>05647TX</t>
  </si>
  <si>
    <t>LOUIS GRANT W</t>
  </si>
  <si>
    <t>SHORT TERRY G</t>
  </si>
  <si>
    <t>STEMME GMBH</t>
  </si>
  <si>
    <t>S-15-1</t>
  </si>
  <si>
    <t>HOFER ROBERT SCOTT</t>
  </si>
  <si>
    <t>S2A</t>
  </si>
  <si>
    <t>05607LM</t>
  </si>
  <si>
    <t>PACE STANTON R</t>
  </si>
  <si>
    <t>SEAIR 2000</t>
  </si>
  <si>
    <t>PURCELL THOMAS H JR</t>
  </si>
  <si>
    <t>SEASPRITE</t>
  </si>
  <si>
    <t>SF-24A MOTORSPATZ</t>
  </si>
  <si>
    <t>SF-24B MOTORSPATZ</t>
  </si>
  <si>
    <t>SF-25A</t>
  </si>
  <si>
    <t>SF-25B FALKE</t>
  </si>
  <si>
    <t>380135Z</t>
  </si>
  <si>
    <t>SF-33</t>
  </si>
  <si>
    <t>GLASS AIRCRAFT DE COLOMBIA</t>
  </si>
  <si>
    <t>SG-70/2002</t>
  </si>
  <si>
    <t>SGS 2-32PN</t>
  </si>
  <si>
    <t>05631KH</t>
  </si>
  <si>
    <t>PURPLE HONKER AVIATION LLC</t>
  </si>
  <si>
    <t>SINUS SRO</t>
  </si>
  <si>
    <t>SM-1</t>
  </si>
  <si>
    <t>GROSVENOR RICHARD</t>
  </si>
  <si>
    <t>05676C1</t>
  </si>
  <si>
    <t>WENGER HARRY V</t>
  </si>
  <si>
    <t>05676CH</t>
  </si>
  <si>
    <t>WEMPLE DON K MD</t>
  </si>
  <si>
    <t>056909Z</t>
  </si>
  <si>
    <t>CAMPBELL R N JR</t>
  </si>
  <si>
    <t>05628F1</t>
  </si>
  <si>
    <t>RUHL DONALD J</t>
  </si>
  <si>
    <t>SONEX</t>
  </si>
  <si>
    <t>05638EB</t>
  </si>
  <si>
    <t>LARRY L OLSON</t>
  </si>
  <si>
    <t>05647DE</t>
  </si>
  <si>
    <t>STEVENS LEE E</t>
  </si>
  <si>
    <t>SORRELL SNS-2 GUPPY</t>
  </si>
  <si>
    <t>05647FR</t>
  </si>
  <si>
    <t>PARKER W L</t>
  </si>
  <si>
    <t>SPIVIT</t>
  </si>
  <si>
    <t>STANDARD AIRCRAFT CO</t>
  </si>
  <si>
    <t>SPORT</t>
  </si>
  <si>
    <t>05637FW</t>
  </si>
  <si>
    <t>EDWARD PHILLIPS</t>
  </si>
  <si>
    <t>SPORT PLANE</t>
  </si>
  <si>
    <t>05676AW</t>
  </si>
  <si>
    <t>GILDERSLEEVE HAYDEN P</t>
  </si>
  <si>
    <t>STROJNIK S2-A</t>
  </si>
  <si>
    <t>05647CW</t>
  </si>
  <si>
    <t>STROJNIK ALES</t>
  </si>
  <si>
    <t>STROJNIK-S2</t>
  </si>
  <si>
    <t>056304C</t>
  </si>
  <si>
    <t>SW VIRUS</t>
  </si>
  <si>
    <t>05606UQ</t>
  </si>
  <si>
    <t>DUNN MELVIN L</t>
  </si>
  <si>
    <t>TITAN</t>
  </si>
  <si>
    <t>056055T</t>
  </si>
  <si>
    <t>PACE CLIFFORD</t>
  </si>
  <si>
    <t>TITAN TORNADO</t>
  </si>
  <si>
    <t>SCHWEIZER AIRCRAFT CORP</t>
  </si>
  <si>
    <t>TSC-1A1</t>
  </si>
  <si>
    <t>05615K5</t>
  </si>
  <si>
    <t>TEST SPOL. SR.O</t>
  </si>
  <si>
    <t>TST-8 ALPIN DM</t>
  </si>
  <si>
    <t>05614ZZ</t>
  </si>
  <si>
    <t>TST-9 JUNIOR 2000</t>
  </si>
  <si>
    <t>05647GG</t>
  </si>
  <si>
    <t>BROWN L R</t>
  </si>
  <si>
    <t>U2</t>
  </si>
  <si>
    <t>05636FW</t>
  </si>
  <si>
    <t>INKS ALLEN W</t>
  </si>
  <si>
    <t>05629YI</t>
  </si>
  <si>
    <t>COMPOSIT AIRPLANES SPOL SRO</t>
  </si>
  <si>
    <t>VIVA</t>
  </si>
  <si>
    <t>GREEN DAVID C</t>
  </si>
  <si>
    <t>VJ 24</t>
  </si>
  <si>
    <t>05628YL</t>
  </si>
  <si>
    <t>MORSE PAUL E</t>
  </si>
  <si>
    <t>VOLMER SPORTSMAN</t>
  </si>
  <si>
    <t>05655ZT</t>
  </si>
  <si>
    <t>GRIMSTAD JAMES P</t>
  </si>
  <si>
    <t>WAG-AERO SPORT TRNR</t>
  </si>
  <si>
    <t>05647BC</t>
  </si>
  <si>
    <t>MATHEWS JOHN R</t>
  </si>
  <si>
    <t>WEEDHOPPER</t>
  </si>
  <si>
    <t>WALKLING JOHN L</t>
  </si>
  <si>
    <t>05612HW</t>
  </si>
  <si>
    <t>BURGE W M JR</t>
  </si>
  <si>
    <t>05608AI</t>
  </si>
  <si>
    <t>MCCLINTOCK WARREN J</t>
  </si>
  <si>
    <t>WINDROSE 15 M</t>
  </si>
  <si>
    <t>05602VI</t>
  </si>
  <si>
    <t>SADORUS GEORGE P</t>
  </si>
  <si>
    <t>WINDROSE II</t>
  </si>
  <si>
    <t>LIEBENBERG PAUL LEON</t>
  </si>
  <si>
    <t>WOODSTOCK TWO</t>
  </si>
  <si>
    <t>05628MJ</t>
  </si>
  <si>
    <t>LOVING NEAL V</t>
  </si>
  <si>
    <t>WR-1</t>
  </si>
  <si>
    <t>05629TM</t>
  </si>
  <si>
    <t>THOMAS DANIEL M</t>
  </si>
  <si>
    <t>05635FV</t>
  </si>
  <si>
    <t>LAKELAND AERO CLUB INC</t>
  </si>
  <si>
    <t>05631YM</t>
  </si>
  <si>
    <t>DAVIS FRANK R</t>
  </si>
  <si>
    <t>PIPER AIRCRAFT INC</t>
  </si>
  <si>
    <t>XJ-6</t>
  </si>
  <si>
    <t>05617LQ</t>
  </si>
  <si>
    <t>WYNNE WILLIAM</t>
  </si>
  <si>
    <t>ZENITH 601 XL</t>
  </si>
  <si>
    <t>APPLEBAY GEORGE</t>
  </si>
  <si>
    <t>ZIA</t>
  </si>
  <si>
    <t>LS8-T</t>
  </si>
  <si>
    <t>CANADAIR LTD</t>
  </si>
  <si>
    <t>T-33A-1-L0</t>
  </si>
  <si>
    <t>05640FE</t>
  </si>
  <si>
    <t>APIS BEE</t>
  </si>
  <si>
    <t>ASW 28-18E</t>
  </si>
  <si>
    <t>05628QO</t>
  </si>
  <si>
    <t>BADE JOHN W</t>
  </si>
  <si>
    <t>BADE SUPER MONI</t>
  </si>
  <si>
    <t>05636C7</t>
  </si>
  <si>
    <t>CLARK EARL H</t>
  </si>
  <si>
    <t>CLARK M-1</t>
  </si>
  <si>
    <t>DISCUS 2CT</t>
  </si>
  <si>
    <t>06001A9</t>
  </si>
  <si>
    <t>05606EY</t>
  </si>
  <si>
    <t>TOLAND S/THORNBURGH J</t>
  </si>
  <si>
    <t>TWIN 503SL</t>
  </si>
  <si>
    <t>05903K3</t>
  </si>
  <si>
    <t>MOORE BYRON J</t>
  </si>
  <si>
    <t>ZEALOT</t>
  </si>
  <si>
    <t>05632FC</t>
  </si>
  <si>
    <t>PETER W STEVENS</t>
  </si>
  <si>
    <t>BEARHAWK PATROL</t>
  </si>
  <si>
    <t>05615UX</t>
  </si>
  <si>
    <t>SCHOFIELD B LYLE</t>
  </si>
  <si>
    <t>056214Y</t>
  </si>
  <si>
    <t>REED GEORGE T</t>
  </si>
  <si>
    <t>05607MG</t>
  </si>
  <si>
    <t>STEWART WILLIAM S</t>
  </si>
  <si>
    <t>05633GL</t>
  </si>
  <si>
    <t>DANIEL DUFAULT</t>
  </si>
  <si>
    <t>GLACIER CUB</t>
  </si>
  <si>
    <t>DIAMOND AIRCRAFT IND INC</t>
  </si>
  <si>
    <t>HK 36R</t>
  </si>
  <si>
    <t>05628MF</t>
  </si>
  <si>
    <t>TURBINE CUBS OF WYOMING LLC</t>
  </si>
  <si>
    <t>SQ2</t>
  </si>
  <si>
    <t>05622YA</t>
  </si>
  <si>
    <t>WILKINS PERRY</t>
  </si>
  <si>
    <t>05632UO</t>
  </si>
  <si>
    <t>PAUL DARRELL OWNBY</t>
  </si>
  <si>
    <t>ZODIAC 601XL</t>
  </si>
  <si>
    <t>06101IL</t>
  </si>
  <si>
    <t>UNIVERSITY OF KANSAS</t>
  </si>
  <si>
    <t>DYNAFLITE BIRDOFTIME</t>
  </si>
  <si>
    <t>05634HX</t>
  </si>
  <si>
    <t>ZEE.AERO INC</t>
  </si>
  <si>
    <t>MUTT</t>
  </si>
  <si>
    <t>061010N</t>
  </si>
  <si>
    <t>SHANTOU LANYU MODEL INDUSTRIAL</t>
  </si>
  <si>
    <t>PHOENIX EVOLUTION TW</t>
  </si>
  <si>
    <t>05640GH</t>
  </si>
  <si>
    <t>AERIANE</t>
  </si>
  <si>
    <t>SWIFT LIGHT E</t>
  </si>
  <si>
    <t>05630Z9</t>
  </si>
  <si>
    <t>TAURUS G4</t>
  </si>
  <si>
    <t>05633P5</t>
  </si>
  <si>
    <t>ZEE AERO INC</t>
  </si>
  <si>
    <t>Z-P1</t>
  </si>
  <si>
    <t>05631NS</t>
  </si>
  <si>
    <t>STEVEN C VEACH</t>
  </si>
  <si>
    <t>LANCAIR 360</t>
  </si>
  <si>
    <t>RHONLERCHE II</t>
  </si>
  <si>
    <t>056039H</t>
  </si>
  <si>
    <t>OTTO ZAUNER</t>
  </si>
  <si>
    <t>05603A2</t>
  </si>
  <si>
    <t>05603B1</t>
  </si>
  <si>
    <t>BELLOW FLEX</t>
  </si>
  <si>
    <t>CC 4-36</t>
  </si>
  <si>
    <t>05603C8</t>
  </si>
  <si>
    <t>BLISS</t>
  </si>
  <si>
    <t>TERN 17M</t>
  </si>
  <si>
    <t>05603DC</t>
  </si>
  <si>
    <t>J. W. BOCK</t>
  </si>
  <si>
    <t>J. W. BOCK-1</t>
  </si>
  <si>
    <t>05603N3</t>
  </si>
  <si>
    <t>HA-S-1</t>
  </si>
  <si>
    <t>HOBBY</t>
  </si>
  <si>
    <t>05603NQ</t>
  </si>
  <si>
    <t>HILL</t>
  </si>
  <si>
    <t>HA-S-3 HOBBY</t>
  </si>
  <si>
    <t>05603UW</t>
  </si>
  <si>
    <t>LEONARD</t>
  </si>
  <si>
    <t>ANNEBULA</t>
  </si>
  <si>
    <t>05603YX</t>
  </si>
  <si>
    <t>05604XB</t>
  </si>
  <si>
    <t>ANDERSON RICK G</t>
  </si>
  <si>
    <t>MISTRAL-C</t>
  </si>
  <si>
    <t>05608Q8</t>
  </si>
  <si>
    <t>SCHLEICHER ALESANDER GMBH &amp; CO</t>
  </si>
  <si>
    <t>05610WU</t>
  </si>
  <si>
    <t>ANTONOV</t>
  </si>
  <si>
    <t>A-15</t>
  </si>
  <si>
    <t>05614PD</t>
  </si>
  <si>
    <t>AVIATION NORMAND DUBE INC</t>
  </si>
  <si>
    <t>AEROCRUISER/A</t>
  </si>
  <si>
    <t>05614QC</t>
  </si>
  <si>
    <t>KK LEHTOVAARA OY</t>
  </si>
  <si>
    <t>05619LA</t>
  </si>
  <si>
    <t>DITTMAR HEINI</t>
  </si>
  <si>
    <t>056228N</t>
  </si>
  <si>
    <t>HERMANSPANN FRED</t>
  </si>
  <si>
    <t>CHINOOK</t>
  </si>
  <si>
    <t>056234U</t>
  </si>
  <si>
    <t>VALENTIN FLUGZEUGBAU GMBH</t>
  </si>
  <si>
    <t>MISTRAL C</t>
  </si>
  <si>
    <t>056247L</t>
  </si>
  <si>
    <t>FISHMAN RANDALL</t>
  </si>
  <si>
    <t>ELECTRA FLYER-C</t>
  </si>
  <si>
    <t>05625LP</t>
  </si>
  <si>
    <t>BUCHER E PHILIP</t>
  </si>
  <si>
    <t>HOPPE</t>
  </si>
  <si>
    <t>H-1A</t>
  </si>
  <si>
    <t>JIRAN</t>
  </si>
  <si>
    <t>FJ-1</t>
  </si>
  <si>
    <t>05630U8</t>
  </si>
  <si>
    <t>BRADLEY HILL</t>
  </si>
  <si>
    <t>TETRA 15</t>
  </si>
  <si>
    <t>05634O6</t>
  </si>
  <si>
    <t>BENJAMIN PELLETIER</t>
  </si>
  <si>
    <t>ORIGAMI STANDARD</t>
  </si>
  <si>
    <t>05635CV</t>
  </si>
  <si>
    <t>BRIAN J CARPENTER</t>
  </si>
  <si>
    <t>EMG</t>
  </si>
  <si>
    <t>056394R</t>
  </si>
  <si>
    <t>GALACTIC CO LLC</t>
  </si>
  <si>
    <t>APPLEBAY</t>
  </si>
  <si>
    <t>MESCALERO GA-111</t>
  </si>
  <si>
    <t>06101PN</t>
  </si>
  <si>
    <t>EATON GRANITE</t>
  </si>
  <si>
    <t>CELAIR PTY LTD</t>
  </si>
  <si>
    <t>CELSTAR GA-1</t>
  </si>
  <si>
    <t>CAYO</t>
  </si>
  <si>
    <t>B-8 GYROGLIDER</t>
  </si>
  <si>
    <t>H121 GLOBETROTTER</t>
  </si>
  <si>
    <t>AHRENS AIRCRAFT CORP.</t>
  </si>
  <si>
    <t>AR 124</t>
  </si>
  <si>
    <t>ALEXANDER AIRCRAFT CO</t>
  </si>
  <si>
    <t>ALSEMA</t>
  </si>
  <si>
    <t>SAGITTA</t>
  </si>
  <si>
    <t>05601ZA</t>
  </si>
  <si>
    <t>WORLDWIDE AEROS CORP</t>
  </si>
  <si>
    <t>AEROS-40</t>
  </si>
  <si>
    <t>05602IV</t>
  </si>
  <si>
    <t>MARSDEN D/JONES M/DUMAS E</t>
  </si>
  <si>
    <t>GEMINI</t>
  </si>
  <si>
    <t>05602MU</t>
  </si>
  <si>
    <t>BUCHANAN DAN</t>
  </si>
  <si>
    <t>PULSE 10 METER</t>
  </si>
  <si>
    <t>05602YZ</t>
  </si>
  <si>
    <t>TROMMER MICHAEL</t>
  </si>
  <si>
    <t>056035W</t>
  </si>
  <si>
    <t>SCHULTZ</t>
  </si>
  <si>
    <t>ABC</t>
  </si>
  <si>
    <t>VAIL</t>
  </si>
  <si>
    <t>GYROCOPTER V-3</t>
  </si>
  <si>
    <t>056037M</t>
  </si>
  <si>
    <t>K.TRAGER</t>
  </si>
  <si>
    <t>T-3</t>
  </si>
  <si>
    <t>056038P</t>
  </si>
  <si>
    <t>J. S. WEIHE</t>
  </si>
  <si>
    <t>05603BF</t>
  </si>
  <si>
    <t>EXPLORER PG-1</t>
  </si>
  <si>
    <t>05603BG</t>
  </si>
  <si>
    <t>J D W</t>
  </si>
  <si>
    <t>05603BH</t>
  </si>
  <si>
    <t>AQUA-GLIDER</t>
  </si>
  <si>
    <t>PH-1</t>
  </si>
  <si>
    <t>05603BJ</t>
  </si>
  <si>
    <t>05603BZ</t>
  </si>
  <si>
    <t>BEKAS</t>
  </si>
  <si>
    <t>N</t>
  </si>
  <si>
    <t>05603CK</t>
  </si>
  <si>
    <t>BIKLE</t>
  </si>
  <si>
    <t>T6</t>
  </si>
  <si>
    <t>05603CU</t>
  </si>
  <si>
    <t>BJ</t>
  </si>
  <si>
    <t>05603CX</t>
  </si>
  <si>
    <t>BKB</t>
  </si>
  <si>
    <t>05603D3</t>
  </si>
  <si>
    <t>BROWN</t>
  </si>
  <si>
    <t>L-25</t>
  </si>
  <si>
    <t>05603DH</t>
  </si>
  <si>
    <t>BONOTAUX GLIDER</t>
  </si>
  <si>
    <t>1-PLACE</t>
  </si>
  <si>
    <t>05603DT</t>
  </si>
  <si>
    <t>BOZEMAN</t>
  </si>
  <si>
    <t>05603ED</t>
  </si>
  <si>
    <t>BROWN &amp; PRUE</t>
  </si>
  <si>
    <t>REBEL</t>
  </si>
  <si>
    <t>05603EP</t>
  </si>
  <si>
    <t>CASEY GLIDER</t>
  </si>
  <si>
    <t>KCA</t>
  </si>
  <si>
    <t>05603EW</t>
  </si>
  <si>
    <t>CHANEY</t>
  </si>
  <si>
    <t>EFG-1</t>
  </si>
  <si>
    <t>05603EZ</t>
  </si>
  <si>
    <t>CHARDON</t>
  </si>
  <si>
    <t>C S-32</t>
  </si>
  <si>
    <t>05603FV</t>
  </si>
  <si>
    <t>CLEVE</t>
  </si>
  <si>
    <t>05603GR</t>
  </si>
  <si>
    <t>DAAMS</t>
  </si>
  <si>
    <t>FALCON</t>
  </si>
  <si>
    <t>05603HR</t>
  </si>
  <si>
    <t>DEE DEE</t>
  </si>
  <si>
    <t>05603JM</t>
  </si>
  <si>
    <t>DREW</t>
  </si>
  <si>
    <t>05603K9</t>
  </si>
  <si>
    <t>EXLINE-GLIDER</t>
  </si>
  <si>
    <t>PX1</t>
  </si>
  <si>
    <t>05603L8</t>
  </si>
  <si>
    <t>FAUVEL FLYING WING</t>
  </si>
  <si>
    <t>AV-361 SAILPLANE</t>
  </si>
  <si>
    <t>05603L9</t>
  </si>
  <si>
    <t>FAUVEL-JUKICH</t>
  </si>
  <si>
    <t>AV-36</t>
  </si>
  <si>
    <t>05603LV</t>
  </si>
  <si>
    <t>FALCONI-YAHN</t>
  </si>
  <si>
    <t>SL-1</t>
  </si>
  <si>
    <t>05603MB</t>
  </si>
  <si>
    <t>FERENCZ</t>
  </si>
  <si>
    <t>05603MS</t>
  </si>
  <si>
    <t>FRAZIER ZEUS II</t>
  </si>
  <si>
    <t>A</t>
  </si>
  <si>
    <t>05603N1</t>
  </si>
  <si>
    <t>HA-G-1</t>
  </si>
  <si>
    <t>BUGGIE</t>
  </si>
  <si>
    <t>05603N7</t>
  </si>
  <si>
    <t>HAUFE DALE</t>
  </si>
  <si>
    <t>HAWK 2</t>
  </si>
  <si>
    <t>05603NP</t>
  </si>
  <si>
    <t>F. R. GREEN - G. C. TWEED JR</t>
  </si>
  <si>
    <t>GT-2</t>
  </si>
  <si>
    <t>05603NX</t>
  </si>
  <si>
    <t>GYRO GLIDER</t>
  </si>
  <si>
    <t>05603PH</t>
  </si>
  <si>
    <t>HAWK</t>
  </si>
  <si>
    <t>05603PT</t>
  </si>
  <si>
    <t>HELICAR</t>
  </si>
  <si>
    <t>05603QQ</t>
  </si>
  <si>
    <t>HOPKINS-MILLER</t>
  </si>
  <si>
    <t>HM-1</t>
  </si>
  <si>
    <t>05603RK</t>
  </si>
  <si>
    <t>H. S. 127</t>
  </si>
  <si>
    <t>05603RL</t>
  </si>
  <si>
    <t>H. S. 128</t>
  </si>
  <si>
    <t>05603RV</t>
  </si>
  <si>
    <t>IDOM</t>
  </si>
  <si>
    <t>SLABSIDE</t>
  </si>
  <si>
    <t>05603SX</t>
  </si>
  <si>
    <t>JONGBLOOD GLIDER</t>
  </si>
  <si>
    <t>05603Y7</t>
  </si>
  <si>
    <t>ARTHUR SCHULTZ</t>
  </si>
  <si>
    <t>NUCLEON</t>
  </si>
  <si>
    <t>05604A2</t>
  </si>
  <si>
    <t>CORR D JOSEPH</t>
  </si>
  <si>
    <t>1 L</t>
  </si>
  <si>
    <t>05605BA</t>
  </si>
  <si>
    <t>DREBICK MONTY</t>
  </si>
  <si>
    <t>AC-HERCULES-B+</t>
  </si>
  <si>
    <t>05606DP</t>
  </si>
  <si>
    <t>HEAVEN GEORGE</t>
  </si>
  <si>
    <t>RUBBER BANDIT</t>
  </si>
  <si>
    <t>056073V</t>
  </si>
  <si>
    <t>BUCHANAN DANIEL</t>
  </si>
  <si>
    <t>MUSTANG TK 15</t>
  </si>
  <si>
    <t>05610VW</t>
  </si>
  <si>
    <t>BATTLE MARTIN PATRICK</t>
  </si>
  <si>
    <t>056133F</t>
  </si>
  <si>
    <t>GALLAGHER JAMES W</t>
  </si>
  <si>
    <t>CAROUSEL 1</t>
  </si>
  <si>
    <t>056133P</t>
  </si>
  <si>
    <t>JACKMAN DON</t>
  </si>
  <si>
    <t>SCANLAN SG-1A GLIDER</t>
  </si>
  <si>
    <t>056134B</t>
  </si>
  <si>
    <t>LEMME CHARLES D</t>
  </si>
  <si>
    <t>FRIGATE II</t>
  </si>
  <si>
    <t>05615D0</t>
  </si>
  <si>
    <t>SCALED COMPOSITES LLC</t>
  </si>
  <si>
    <t>056172C</t>
  </si>
  <si>
    <t>OHTM MEADE</t>
  </si>
  <si>
    <t>RHON RANGER</t>
  </si>
  <si>
    <t>05619X9</t>
  </si>
  <si>
    <t>BONOTAUX LEON</t>
  </si>
  <si>
    <t>05619XL</t>
  </si>
  <si>
    <t>BOZEMAN SOARING SOCIETY</t>
  </si>
  <si>
    <t>056205L</t>
  </si>
  <si>
    <t>CHAMBERLAIN PAUL D</t>
  </si>
  <si>
    <t>FLYING WING GLIDER</t>
  </si>
  <si>
    <t>056205Z</t>
  </si>
  <si>
    <t>FETTERS R/MORRISON W</t>
  </si>
  <si>
    <t>056208X</t>
  </si>
  <si>
    <t>HARPER L/CORCORAN S</t>
  </si>
  <si>
    <t>H C UTILITY GLIDER</t>
  </si>
  <si>
    <t>AQUA-GLIDER PG-1</t>
  </si>
  <si>
    <t>05620DI</t>
  </si>
  <si>
    <t>ANDERSON BENJAMIN T</t>
  </si>
  <si>
    <t>05620DO</t>
  </si>
  <si>
    <t>BENBOUGH RICHARD/BROWN VERNON</t>
  </si>
  <si>
    <t>05620FV</t>
  </si>
  <si>
    <t>GOEBEL/OWEN</t>
  </si>
  <si>
    <t>05620N2</t>
  </si>
  <si>
    <t>CARPENTER GEORGE E</t>
  </si>
  <si>
    <t>CARPENTER GLIDER</t>
  </si>
  <si>
    <t>05620VR</t>
  </si>
  <si>
    <t>HILKER CARL F JR</t>
  </si>
  <si>
    <t>FASHION FROCKS GB1A</t>
  </si>
  <si>
    <t>05620VS</t>
  </si>
  <si>
    <t>HEDGEPETH TED</t>
  </si>
  <si>
    <t>GABCO FLYER</t>
  </si>
  <si>
    <t>SAILWING</t>
  </si>
  <si>
    <t>STOUT</t>
  </si>
  <si>
    <t>MODEL P-2</t>
  </si>
  <si>
    <t>KICENIUK</t>
  </si>
  <si>
    <t>ULTRA-LIGHT GLIDER</t>
  </si>
  <si>
    <t>DEETER</t>
  </si>
  <si>
    <t>BARCLAY</t>
  </si>
  <si>
    <t>SLS-B1</t>
  </si>
  <si>
    <t>HUMPHRIES</t>
  </si>
  <si>
    <t>BWB PARAWING</t>
  </si>
  <si>
    <t>J R GREENE INC</t>
  </si>
  <si>
    <t>JG-1</t>
  </si>
  <si>
    <t>05626SH</t>
  </si>
  <si>
    <t>CUMULUS</t>
  </si>
  <si>
    <t>2F</t>
  </si>
  <si>
    <t>IRVIN-LEWIS</t>
  </si>
  <si>
    <t>STRATOGLIDER 337</t>
  </si>
  <si>
    <t>056272C</t>
  </si>
  <si>
    <t>MARTINEZ GLIDER CLUB</t>
  </si>
  <si>
    <t>MATTLEY PT GLIDER</t>
  </si>
  <si>
    <t>056274W</t>
  </si>
  <si>
    <t>GAGE WALTER H / FAXON ELBERT L</t>
  </si>
  <si>
    <t>GAGE &amp; FAXON GLIDER</t>
  </si>
  <si>
    <t>MIT-MAN POWERED AIRC</t>
  </si>
  <si>
    <t>056279C</t>
  </si>
  <si>
    <t>GUY</t>
  </si>
  <si>
    <t>05627CQ</t>
  </si>
  <si>
    <t>05627R9</t>
  </si>
  <si>
    <t>EVANS GLIDER CO</t>
  </si>
  <si>
    <t>056280G</t>
  </si>
  <si>
    <t>GOEBEL ROBERT</t>
  </si>
  <si>
    <t>05628MS</t>
  </si>
  <si>
    <t>BURNS C T /DOWNARD J E / ETAL</t>
  </si>
  <si>
    <t>SECONDARY TRAINING G</t>
  </si>
  <si>
    <t>05628NJ</t>
  </si>
  <si>
    <t>AMERICAN GLIDER ASSOCIATION</t>
  </si>
  <si>
    <t>05628XM</t>
  </si>
  <si>
    <t>A B C GLIDER CLUB</t>
  </si>
  <si>
    <t>ABC-S GLIDER</t>
  </si>
  <si>
    <t>GOOCH</t>
  </si>
  <si>
    <t>GARRABRANT</t>
  </si>
  <si>
    <t>UHP-1 MODIFIED</t>
  </si>
  <si>
    <t>05629CZ</t>
  </si>
  <si>
    <t>COUCH</t>
  </si>
  <si>
    <t>05629FM</t>
  </si>
  <si>
    <t>EVANS ALLSTEEL GLIDER CO</t>
  </si>
  <si>
    <t>05630ER</t>
  </si>
  <si>
    <t>BECKETT-HANSBERGER</t>
  </si>
  <si>
    <t>05630M6</t>
  </si>
  <si>
    <t>056318N</t>
  </si>
  <si>
    <t>CURTISS GLIDER CLUB</t>
  </si>
  <si>
    <t>GRASSHOPPER</t>
  </si>
  <si>
    <t>056319P</t>
  </si>
  <si>
    <t>AUTOGIRO GLIDER</t>
  </si>
  <si>
    <t>Z-8</t>
  </si>
  <si>
    <t>05633IU</t>
  </si>
  <si>
    <t>DAHRENS VIRGIL L</t>
  </si>
  <si>
    <t>05633MM</t>
  </si>
  <si>
    <t>BROWN DAVID L</t>
  </si>
  <si>
    <t>BROWN LOW WING SECON</t>
  </si>
  <si>
    <t>05633MP</t>
  </si>
  <si>
    <t>HORN OTTO F</t>
  </si>
  <si>
    <t>HORN PT2 GLIDER</t>
  </si>
  <si>
    <t>05633XF</t>
  </si>
  <si>
    <t>COCKE WM A JR / SCOTT WM J</t>
  </si>
  <si>
    <t>COCKE &amp; SCOTT GLIDER</t>
  </si>
  <si>
    <t>05634W1</t>
  </si>
  <si>
    <t>HALTON HARLOLD E</t>
  </si>
  <si>
    <t>05634W5</t>
  </si>
  <si>
    <t>HODGKIN JOHN W</t>
  </si>
  <si>
    <t>05634W6</t>
  </si>
  <si>
    <t>H H S GLIDER CLUB</t>
  </si>
  <si>
    <t>05634WT</t>
  </si>
  <si>
    <t>KEVIN GLIDER CLUB</t>
  </si>
  <si>
    <t>05634WX</t>
  </si>
  <si>
    <t>ANNIS EDWARD L</t>
  </si>
  <si>
    <t>ANNIS GLIDER</t>
  </si>
  <si>
    <t>05634XI</t>
  </si>
  <si>
    <t>MEAD GLIDER CO</t>
  </si>
  <si>
    <t>RHONE RANGER</t>
  </si>
  <si>
    <t>05634XO</t>
  </si>
  <si>
    <t>BERRY GLENN A</t>
  </si>
  <si>
    <t>05634XQ</t>
  </si>
  <si>
    <t>MAGNA GLIDER CLUB</t>
  </si>
  <si>
    <t>05634YO</t>
  </si>
  <si>
    <t>JENSEN VOLMER</t>
  </si>
  <si>
    <t>VOLMER GLIDER</t>
  </si>
  <si>
    <t>05634YR</t>
  </si>
  <si>
    <t>MARYSVILLE HIGH SCHOOL</t>
  </si>
  <si>
    <t>05634YZ</t>
  </si>
  <si>
    <t>MITCHELL-BACKMAN</t>
  </si>
  <si>
    <t>05634Z0</t>
  </si>
  <si>
    <t>COBURN-SHAFFNER</t>
  </si>
  <si>
    <t>CS-1</t>
  </si>
  <si>
    <t>056353Z</t>
  </si>
  <si>
    <t>ENNA JETTICK GLIDER CLUB</t>
  </si>
  <si>
    <t>CHALLENGER C-3</t>
  </si>
  <si>
    <t>056354G</t>
  </si>
  <si>
    <t>HACKENBURG HERMAN JOS</t>
  </si>
  <si>
    <t>056355R</t>
  </si>
  <si>
    <t>GARDNER GLEN B</t>
  </si>
  <si>
    <t>056356Y</t>
  </si>
  <si>
    <t>HINES ALBERT B</t>
  </si>
  <si>
    <t>HINES A GLIDER</t>
  </si>
  <si>
    <t>056357I</t>
  </si>
  <si>
    <t>AIR ASSOCIATES INC</t>
  </si>
  <si>
    <t>NO 1</t>
  </si>
  <si>
    <t>056357V</t>
  </si>
  <si>
    <t>COMSTOCK C F</t>
  </si>
  <si>
    <t>NPG-1</t>
  </si>
  <si>
    <t>05635J5</t>
  </si>
  <si>
    <t>B D MAULE COMPANY</t>
  </si>
  <si>
    <t>FW-1</t>
  </si>
  <si>
    <t>05635NI</t>
  </si>
  <si>
    <t>MALOUIN GEORGE J JR</t>
  </si>
  <si>
    <t>MALOUIN GLIDER</t>
  </si>
  <si>
    <t>05635O1</t>
  </si>
  <si>
    <t>GETTINS EDWIN G</t>
  </si>
  <si>
    <t>SCHULZ GLIDER</t>
  </si>
  <si>
    <t>05635V0</t>
  </si>
  <si>
    <t>BERWICK ALBERT</t>
  </si>
  <si>
    <t>BERWICK GLIDER</t>
  </si>
  <si>
    <t>05635VL</t>
  </si>
  <si>
    <t>BUFFALO GLIDER CLUB</t>
  </si>
  <si>
    <t>BUFFALO OH GOSH GLID</t>
  </si>
  <si>
    <t>05635VX</t>
  </si>
  <si>
    <t>BARKER ALFRED K</t>
  </si>
  <si>
    <t>05635W7</t>
  </si>
  <si>
    <t>NEWTON GLIDER CLUB</t>
  </si>
  <si>
    <t>05635Z8</t>
  </si>
  <si>
    <t>FULKERSON NORRIS NEAL</t>
  </si>
  <si>
    <t>056360V</t>
  </si>
  <si>
    <t>LONG GUY G</t>
  </si>
  <si>
    <t>MEAD RHON RANGER</t>
  </si>
  <si>
    <t>05636A9</t>
  </si>
  <si>
    <t>05636B2</t>
  </si>
  <si>
    <t>RICHMOND HENRY T</t>
  </si>
  <si>
    <t>RICHMOND GLIDER</t>
  </si>
  <si>
    <t>05636B3</t>
  </si>
  <si>
    <t>ARTMAN CLOYD L</t>
  </si>
  <si>
    <t>05636BD</t>
  </si>
  <si>
    <t>DELAWARE COUNTY GLIDER CLUB</t>
  </si>
  <si>
    <t>05636DJ</t>
  </si>
  <si>
    <t>HOEM ARTHUR</t>
  </si>
  <si>
    <t>05636ET</t>
  </si>
  <si>
    <t>COLLIER &amp; SON AERONAUTICO AICR</t>
  </si>
  <si>
    <t>COLLIER C-4</t>
  </si>
  <si>
    <t>05636IH</t>
  </si>
  <si>
    <t>GENERAL AIRBORNE TRANSPORT CO</t>
  </si>
  <si>
    <t>MC1A</t>
  </si>
  <si>
    <t>05636JH</t>
  </si>
  <si>
    <t>BROOKS BERT BAER</t>
  </si>
  <si>
    <t>BROOKS PT GLIDER</t>
  </si>
  <si>
    <t>05636JU</t>
  </si>
  <si>
    <t>MCDANIEL TAYLOR</t>
  </si>
  <si>
    <t>MCDANIEL GLIDER</t>
  </si>
  <si>
    <t>05636M7</t>
  </si>
  <si>
    <t>BAUER B F/HALLIDAY H B</t>
  </si>
  <si>
    <t>BAUER-HALLIDAY GLIDE</t>
  </si>
  <si>
    <t>05636MF</t>
  </si>
  <si>
    <t>KETZLER</t>
  </si>
  <si>
    <t>05636MG</t>
  </si>
  <si>
    <t>MEYER BEN</t>
  </si>
  <si>
    <t>MEYER GLIDER</t>
  </si>
  <si>
    <t>05636N6</t>
  </si>
  <si>
    <t>KANE JOHN R</t>
  </si>
  <si>
    <t>05636NI</t>
  </si>
  <si>
    <t>KETCHUM J/YOUNGQUIST A</t>
  </si>
  <si>
    <t>HIGH WING MONOPLANE</t>
  </si>
  <si>
    <t>05636NR</t>
  </si>
  <si>
    <t>BREA-OLINDA</t>
  </si>
  <si>
    <t>05636P5</t>
  </si>
  <si>
    <t>BUCKHANNON/MEAD/RHON</t>
  </si>
  <si>
    <t>05636P9</t>
  </si>
  <si>
    <t>HALLER-HIRTH SAILPLANE CORP</t>
  </si>
  <si>
    <t>K20</t>
  </si>
  <si>
    <t>05636R4</t>
  </si>
  <si>
    <t>BALLARD/ROOKE/POTTS/KNIGHT</t>
  </si>
  <si>
    <t>05636RE</t>
  </si>
  <si>
    <t>HEDDERLY MAYNARD/REED DELBERT</t>
  </si>
  <si>
    <t>HEDDERLY REED HR-1</t>
  </si>
  <si>
    <t>05636RF</t>
  </si>
  <si>
    <t>CASS TECH HIGH SCHOOL</t>
  </si>
  <si>
    <t>CASS TECH D GLIDER</t>
  </si>
  <si>
    <t>05636RI</t>
  </si>
  <si>
    <t>KENT STATE GLIDER CLUB</t>
  </si>
  <si>
    <t>KENT STATE UTILITY</t>
  </si>
  <si>
    <t>05636SJ</t>
  </si>
  <si>
    <t>K20-HALLER JR HAWK</t>
  </si>
  <si>
    <t>05636SX</t>
  </si>
  <si>
    <t>BESSLER JOSEPH</t>
  </si>
  <si>
    <t>RHON RANGER GLIDER</t>
  </si>
  <si>
    <t>05636U8</t>
  </si>
  <si>
    <t>JEAN LINDA</t>
  </si>
  <si>
    <t>05636UH</t>
  </si>
  <si>
    <t>BOEING SCHOOL OF AERONAUTICS</t>
  </si>
  <si>
    <t>PTA</t>
  </si>
  <si>
    <t>05636UJ</t>
  </si>
  <si>
    <t>MCCART/BAILEY</t>
  </si>
  <si>
    <t>A-1</t>
  </si>
  <si>
    <t>05636UL</t>
  </si>
  <si>
    <t>FIELD/DICKSON</t>
  </si>
  <si>
    <t>FD-1</t>
  </si>
  <si>
    <t>05636UR</t>
  </si>
  <si>
    <t>SOUTH PARK GLIDER CLUB NO 4</t>
  </si>
  <si>
    <t>05636V2</t>
  </si>
  <si>
    <t>LEONARD MOTORLESS ACFT CO INC</t>
  </si>
  <si>
    <t>PT-2</t>
  </si>
  <si>
    <t>05636VL</t>
  </si>
  <si>
    <t>GAYNER BROS &amp; BOSCACCI</t>
  </si>
  <si>
    <t>MODEL 1 GLIDER</t>
  </si>
  <si>
    <t>05636VN</t>
  </si>
  <si>
    <t>C-1 GLIDER</t>
  </si>
  <si>
    <t>05636W0</t>
  </si>
  <si>
    <t>EVEREST ALFRED WALLACE</t>
  </si>
  <si>
    <t>05636WA</t>
  </si>
  <si>
    <t>BRAUN DONALD C</t>
  </si>
  <si>
    <t>BRAUN-MEAD GLIDER</t>
  </si>
  <si>
    <t>05636WD</t>
  </si>
  <si>
    <t>KAMMERLANDER JR C/BROUCKMAN H</t>
  </si>
  <si>
    <t>05636WZ</t>
  </si>
  <si>
    <t>BARNARD ALDEN G</t>
  </si>
  <si>
    <t>05636YF</t>
  </si>
  <si>
    <t>ADAMS GEORGE EDWIN</t>
  </si>
  <si>
    <t>05636YW</t>
  </si>
  <si>
    <t>CHURCH ARTHUR</t>
  </si>
  <si>
    <t>05636Z3</t>
  </si>
  <si>
    <t>CLEVELAND HGHTS FLYING CLUB</t>
  </si>
  <si>
    <t>S-1 GLIDER</t>
  </si>
  <si>
    <t>05636Z6</t>
  </si>
  <si>
    <t>MCCLAIN RAYMOND B</t>
  </si>
  <si>
    <t>05636Z7</t>
  </si>
  <si>
    <t>ENGLEMAN ALBERT</t>
  </si>
  <si>
    <t>05636ZX</t>
  </si>
  <si>
    <t>LEONARD/WHITMAR GLID</t>
  </si>
  <si>
    <t>056370S</t>
  </si>
  <si>
    <t>CONWAY D J/FEINBERG LOUIS</t>
  </si>
  <si>
    <t>C F GLIDER</t>
  </si>
  <si>
    <t>056371Y</t>
  </si>
  <si>
    <t>MCEVEN ROBERT O</t>
  </si>
  <si>
    <t>MCEVEN SEC GLIDER</t>
  </si>
  <si>
    <t>056372G</t>
  </si>
  <si>
    <t>ERHART EDWIN/WIEMANN SHERWOOD</t>
  </si>
  <si>
    <t>P T GLIDER</t>
  </si>
  <si>
    <t>056372M</t>
  </si>
  <si>
    <t>BOWMAN FLOYD O</t>
  </si>
  <si>
    <t>056372N</t>
  </si>
  <si>
    <t>PASADENA JR COLL GLIDER CLUB</t>
  </si>
  <si>
    <t>AIR KING PRIM GLIDER</t>
  </si>
  <si>
    <t>056372P</t>
  </si>
  <si>
    <t>GOLDEN GATE GLIDER CLUB</t>
  </si>
  <si>
    <t>MONOPLANE GLIDER</t>
  </si>
  <si>
    <t>056372R</t>
  </si>
  <si>
    <t>BOOTH JAMES A</t>
  </si>
  <si>
    <t>BOOTH P T GLIDER</t>
  </si>
  <si>
    <t>056372T</t>
  </si>
  <si>
    <t>FIFIELD WILLIAM A</t>
  </si>
  <si>
    <t>FIFIELD PRIM GLIDER</t>
  </si>
  <si>
    <t>056372Y</t>
  </si>
  <si>
    <t>SALITRNIK EUGENE</t>
  </si>
  <si>
    <t>A PRIMARY GLIDER</t>
  </si>
  <si>
    <t>056373G</t>
  </si>
  <si>
    <t>CARY MARGARET L</t>
  </si>
  <si>
    <t>BOEING LTD CANADA</t>
  </si>
  <si>
    <t>BOEING B-C GLIDER</t>
  </si>
  <si>
    <t>HELICRAFT</t>
  </si>
  <si>
    <t>AUTOGYRO GLIDER</t>
  </si>
  <si>
    <t>HERMANN GERBOTH/EMIL KISSEL</t>
  </si>
  <si>
    <t>GERBOTHKISSEL GLIDER</t>
  </si>
  <si>
    <t>056387D</t>
  </si>
  <si>
    <t>F W KIMBALL</t>
  </si>
  <si>
    <t>KIMBALL 1 GLIDER</t>
  </si>
  <si>
    <t>05638BC</t>
  </si>
  <si>
    <t>IROD FOLSOM</t>
  </si>
  <si>
    <t>05638BW</t>
  </si>
  <si>
    <t>CHARLES ABEL/FRED WESTPHAL</t>
  </si>
  <si>
    <t>05638DD</t>
  </si>
  <si>
    <t>BIRKMEYER A / SCHEURER G</t>
  </si>
  <si>
    <t>SEC TRAINING GLIDER</t>
  </si>
  <si>
    <t>JOHN ROBINSON PIERCE</t>
  </si>
  <si>
    <t>PROFESSOR GLIDER</t>
  </si>
  <si>
    <t>056390J</t>
  </si>
  <si>
    <t>ELDON L DALE</t>
  </si>
  <si>
    <t>DALE MODEL A</t>
  </si>
  <si>
    <t>056390M</t>
  </si>
  <si>
    <t>DIETRICH F FECHTMAN</t>
  </si>
  <si>
    <t>FECHTMAN GLIDER</t>
  </si>
  <si>
    <t>056390O</t>
  </si>
  <si>
    <t>BRALEY GLIDER CORP</t>
  </si>
  <si>
    <t>SKYSPORT</t>
  </si>
  <si>
    <t>056390W</t>
  </si>
  <si>
    <t>ENGINEERS GLIDER CLUB</t>
  </si>
  <si>
    <t>PRIMARY A GLIDER</t>
  </si>
  <si>
    <t>056397F</t>
  </si>
  <si>
    <t>HERBERT W JOLLY</t>
  </si>
  <si>
    <t>JOLLY GLIDER</t>
  </si>
  <si>
    <t>056397P</t>
  </si>
  <si>
    <t>D EDWARDS/J KELBER/E ROSENOW</t>
  </si>
  <si>
    <t>056397T</t>
  </si>
  <si>
    <t>DWIGHT PIERCE/WALTER PIERCE</t>
  </si>
  <si>
    <t>PIERCE UTIL GLIDER</t>
  </si>
  <si>
    <t>056397V</t>
  </si>
  <si>
    <t>BOUCHER/MEAD</t>
  </si>
  <si>
    <t>J R COLE</t>
  </si>
  <si>
    <t>COLE ST-3</t>
  </si>
  <si>
    <t>056399D</t>
  </si>
  <si>
    <t>BALDWIN PARK GLIDER CLUB</t>
  </si>
  <si>
    <t>JOHN PIERCE GLIDER</t>
  </si>
  <si>
    <t>056399E</t>
  </si>
  <si>
    <t>EVANS SAILPLANE</t>
  </si>
  <si>
    <t>05639KA</t>
  </si>
  <si>
    <t>HAROLD ALLEN STEWART</t>
  </si>
  <si>
    <t>GLIDER/ALEXANDER TRN</t>
  </si>
  <si>
    <t>05639KQ</t>
  </si>
  <si>
    <t>I TABATA/T TABATA/N ESTEY</t>
  </si>
  <si>
    <t>PRIM TRAINING GLIDER</t>
  </si>
  <si>
    <t>05639KX</t>
  </si>
  <si>
    <t>HAIRGROVE PAUL WILLIAM</t>
  </si>
  <si>
    <t>P-1</t>
  </si>
  <si>
    <t>05639KZ</t>
  </si>
  <si>
    <t>D H VOLLMER</t>
  </si>
  <si>
    <t>VOLLMER MODEL A</t>
  </si>
  <si>
    <t>05639O1</t>
  </si>
  <si>
    <t>PETERSEN/SWANSON/SCHROEDER</t>
  </si>
  <si>
    <t>APOLLO SMITH GLIDER</t>
  </si>
  <si>
    <t>05639O3</t>
  </si>
  <si>
    <t>ALHAMBRA GLIDER CLUB</t>
  </si>
  <si>
    <t>ALHAMBRA PRIM GLIDER</t>
  </si>
  <si>
    <t>05639OD</t>
  </si>
  <si>
    <t>ALAN RICHARD ESSERY</t>
  </si>
  <si>
    <t>ESSERY A E</t>
  </si>
  <si>
    <t>05639OG</t>
  </si>
  <si>
    <t>ALBRECHT AIRCRAFT INC</t>
  </si>
  <si>
    <t>ALBRECHT PARASOL GLI</t>
  </si>
  <si>
    <t>05639OH</t>
  </si>
  <si>
    <t>HEATH AIRCRAFT CORP</t>
  </si>
  <si>
    <t>HEATH SOARER</t>
  </si>
  <si>
    <t>05639OV</t>
  </si>
  <si>
    <t>BREA-OLINDA UNION HIGH SCHOOL</t>
  </si>
  <si>
    <t>05639OZ</t>
  </si>
  <si>
    <t>DEVINE PRIM GLIDER</t>
  </si>
  <si>
    <t>05639PK</t>
  </si>
  <si>
    <t>B ERICKSON/R MARTIN/B WOODARD</t>
  </si>
  <si>
    <t>056401E</t>
  </si>
  <si>
    <t>GEORGE C WILBER</t>
  </si>
  <si>
    <t>05640S5</t>
  </si>
  <si>
    <t>HAWKEYE GLIDER CLUB</t>
  </si>
  <si>
    <t>05640S6</t>
  </si>
  <si>
    <t>JOHN BROWN</t>
  </si>
  <si>
    <t>BROWN GLIDER</t>
  </si>
  <si>
    <t>05640SL</t>
  </si>
  <si>
    <t>WAUKEGAN GLIDER CLUB</t>
  </si>
  <si>
    <t>05640SR</t>
  </si>
  <si>
    <t>F J WOOD/M A SCHAAF/F L THOMAS</t>
  </si>
  <si>
    <t>WOOD RR-1 GLIDER</t>
  </si>
  <si>
    <t>05640T4</t>
  </si>
  <si>
    <t>MACK GLIDING CLUB</t>
  </si>
  <si>
    <t>SERIES A GLIDER</t>
  </si>
  <si>
    <t>05640TH</t>
  </si>
  <si>
    <t>OLIVER BENSON</t>
  </si>
  <si>
    <t>BENSON HEDGEHOPPER</t>
  </si>
  <si>
    <t>05640TU</t>
  </si>
  <si>
    <t>ROBERT BOYNTON</t>
  </si>
  <si>
    <t>ALBATROSS GLIDER</t>
  </si>
  <si>
    <t>05640TV</t>
  </si>
  <si>
    <t>CECIL E CARMACK</t>
  </si>
  <si>
    <t>CARMACK GLIDER</t>
  </si>
  <si>
    <t>05640TW</t>
  </si>
  <si>
    <t>JAY BUXTON</t>
  </si>
  <si>
    <t>05640WD</t>
  </si>
  <si>
    <t>A K GLIDER CO</t>
  </si>
  <si>
    <t>AK TRAINER GLIDER</t>
  </si>
  <si>
    <t>056412W</t>
  </si>
  <si>
    <t>O PROPRIO LIBRA HOT AIR BALLOO</t>
  </si>
  <si>
    <t>05641H2</t>
  </si>
  <si>
    <t>AVIATION CADETS OF AMERICA</t>
  </si>
  <si>
    <t>MODEL A GLIDER</t>
  </si>
  <si>
    <t>RIDGET MIDGET</t>
  </si>
  <si>
    <t>HAUFE</t>
  </si>
  <si>
    <t>HAWK-MODEL 4</t>
  </si>
  <si>
    <t>GABRIEL</t>
  </si>
  <si>
    <t>MODEL-1</t>
  </si>
  <si>
    <t>HOPKINS</t>
  </si>
  <si>
    <t>HM 2</t>
  </si>
  <si>
    <t>DELTA-SINE</t>
  </si>
  <si>
    <t>BLIESNER</t>
  </si>
  <si>
    <t>MAN POWERED ORIGINAL</t>
  </si>
  <si>
    <t>05647AC</t>
  </si>
  <si>
    <t>LONG-ROBERT</t>
  </si>
  <si>
    <t>KASPER WING</t>
  </si>
  <si>
    <t>05647AP</t>
  </si>
  <si>
    <t>HENSARLING-ROBERT</t>
  </si>
  <si>
    <t>05647AQ</t>
  </si>
  <si>
    <t>MANAZZI BLAINE K</t>
  </si>
  <si>
    <t>SCOTT CR 19</t>
  </si>
  <si>
    <t>05647AS</t>
  </si>
  <si>
    <t>AMEAGLE CORP.</t>
  </si>
  <si>
    <t>MINIBAT</t>
  </si>
  <si>
    <t>05647AX</t>
  </si>
  <si>
    <t>BULLERWELL WALTER R</t>
  </si>
  <si>
    <t>EPB-1-C</t>
  </si>
  <si>
    <t>05647BE</t>
  </si>
  <si>
    <t>WARNE BRIAN</t>
  </si>
  <si>
    <t>EASY RISER</t>
  </si>
  <si>
    <t>05647BJ</t>
  </si>
  <si>
    <t>JOHNSTON R R</t>
  </si>
  <si>
    <t>DUST DEVIL</t>
  </si>
  <si>
    <t>05647D1</t>
  </si>
  <si>
    <t>BRUGGER</t>
  </si>
  <si>
    <t>BWI</t>
  </si>
  <si>
    <t>05647D3</t>
  </si>
  <si>
    <t>MAYER</t>
  </si>
  <si>
    <t>05647D4</t>
  </si>
  <si>
    <t>DELANEY</t>
  </si>
  <si>
    <t>EASYRISER</t>
  </si>
  <si>
    <t>05647EK</t>
  </si>
  <si>
    <t>JAKE JOSEPH A</t>
  </si>
  <si>
    <t>05647ET</t>
  </si>
  <si>
    <t>HEATH DONALD J</t>
  </si>
  <si>
    <t>H-1</t>
  </si>
  <si>
    <t>05647FB</t>
  </si>
  <si>
    <t>MCCALMON MARK</t>
  </si>
  <si>
    <t>05647FE</t>
  </si>
  <si>
    <t>CRONIG ALVIN</t>
  </si>
  <si>
    <t>05647FL</t>
  </si>
  <si>
    <t>WALKER SAMMIE R</t>
  </si>
  <si>
    <t>05647FX</t>
  </si>
  <si>
    <t>PALMER DAN W</t>
  </si>
  <si>
    <t>05647G6</t>
  </si>
  <si>
    <t>KENNON-QUENAN-WILSON</t>
  </si>
  <si>
    <t>05647GE</t>
  </si>
  <si>
    <t>OSWALD WILLIAM JOHN</t>
  </si>
  <si>
    <t>05647GK</t>
  </si>
  <si>
    <t>HOSTAGE GILMARY M</t>
  </si>
  <si>
    <t>05647HD</t>
  </si>
  <si>
    <t>GIFFORD DAVID B</t>
  </si>
  <si>
    <t>SNOBYRD</t>
  </si>
  <si>
    <t>05647HL</t>
  </si>
  <si>
    <t>PRESCOTT THOMAS M</t>
  </si>
  <si>
    <t>05647JZ</t>
  </si>
  <si>
    <t>LARSON DONALD C</t>
  </si>
  <si>
    <t>05647KD</t>
  </si>
  <si>
    <t>ONEIL DANIEL T</t>
  </si>
  <si>
    <t>05647KU</t>
  </si>
  <si>
    <t>BOUCHARD RONNIE R</t>
  </si>
  <si>
    <t>05647LM</t>
  </si>
  <si>
    <t>KEITH ROBERT</t>
  </si>
  <si>
    <t>05647U6</t>
  </si>
  <si>
    <t>PHILLIPS</t>
  </si>
  <si>
    <t>QUICKSILVER B</t>
  </si>
  <si>
    <t>05647UA</t>
  </si>
  <si>
    <t>GLA NORTHWEST</t>
  </si>
  <si>
    <t>05647W9</t>
  </si>
  <si>
    <t>DEE BEE DOVE</t>
  </si>
  <si>
    <t>05647X8</t>
  </si>
  <si>
    <t>GERLACH</t>
  </si>
  <si>
    <t>ADENIAN</t>
  </si>
  <si>
    <t>056752N</t>
  </si>
  <si>
    <t>WESTALL THOMAS S</t>
  </si>
  <si>
    <t>05675K7</t>
  </si>
  <si>
    <t>MARTENS JOHN THOMAS</t>
  </si>
  <si>
    <t>05675X3</t>
  </si>
  <si>
    <t>LONG ROBERT WARREN</t>
  </si>
  <si>
    <t>059017L</t>
  </si>
  <si>
    <t>AEROS</t>
  </si>
  <si>
    <t>AL-12</t>
  </si>
  <si>
    <t>059027C</t>
  </si>
  <si>
    <t>TILLMAN TS/COLLETTI LM</t>
  </si>
  <si>
    <t>AEROLA AL-12</t>
  </si>
  <si>
    <t>05902GG</t>
  </si>
  <si>
    <t>EMSLIE DON</t>
  </si>
  <si>
    <t>SUPER FLOATER</t>
  </si>
  <si>
    <t>06101UZ</t>
  </si>
  <si>
    <t>LOGISTIC GLIDERS INC</t>
  </si>
  <si>
    <t>LG-X</t>
  </si>
  <si>
    <t>SNOW LOUIS</t>
  </si>
  <si>
    <t>FLANNIGAN</t>
  </si>
  <si>
    <t>FLANNIGAN SAILWING</t>
  </si>
  <si>
    <t>BEDE AIRCRAFT INC.</t>
  </si>
  <si>
    <t>BEDE BD-5S</t>
  </si>
  <si>
    <t>HOLCOMBE</t>
  </si>
  <si>
    <t>B-8GYROGLIDER</t>
  </si>
  <si>
    <t>BENSEN</t>
  </si>
  <si>
    <t>BENSEN GYRO-GLIDER</t>
  </si>
  <si>
    <t>MODIFIED BENSEN</t>
  </si>
  <si>
    <t>GYRO-GLIDER</t>
  </si>
  <si>
    <t>ROBERT JACKSON</t>
  </si>
  <si>
    <t>BENSEN GLIDER</t>
  </si>
  <si>
    <t>BENSEN GYRO GLIDER</t>
  </si>
  <si>
    <t>B-7</t>
  </si>
  <si>
    <t>B-8 ROTORCRAFT</t>
  </si>
  <si>
    <t>BENSEN-ALLGEIER</t>
  </si>
  <si>
    <t>BA1</t>
  </si>
  <si>
    <t>PHELPS-BENSEN</t>
  </si>
  <si>
    <t>GYRO-GLIDER B-8</t>
  </si>
  <si>
    <t>B8MJ</t>
  </si>
  <si>
    <t>130052J</t>
  </si>
  <si>
    <t>BENSEN B-8</t>
  </si>
  <si>
    <t>BENSEN GYROGLIDER</t>
  </si>
  <si>
    <t>BENSEN-MASH</t>
  </si>
  <si>
    <t>B-8A</t>
  </si>
  <si>
    <t>130056D</t>
  </si>
  <si>
    <t>DOE-BENSEN</t>
  </si>
  <si>
    <t>130056E</t>
  </si>
  <si>
    <t>TIPPINS GYRO GLIDER</t>
  </si>
  <si>
    <t>MODEL H</t>
  </si>
  <si>
    <t>130056F</t>
  </si>
  <si>
    <t>WESSON-PINE</t>
  </si>
  <si>
    <t>BENSEN B-8M</t>
  </si>
  <si>
    <t>13005ZW</t>
  </si>
  <si>
    <t>BENSEN AUTOGYRO</t>
  </si>
  <si>
    <t>130079S</t>
  </si>
  <si>
    <t>BENSEN-GILMAN</t>
  </si>
  <si>
    <t>SPRINGER MARION</t>
  </si>
  <si>
    <t>BENSEN B8 GYROGLIDER</t>
  </si>
  <si>
    <t>DOE</t>
  </si>
  <si>
    <t>B-8 GYRO GLIDER</t>
  </si>
  <si>
    <t>BREGUET</t>
  </si>
  <si>
    <t>FAUVETTE 905A</t>
  </si>
  <si>
    <t>CESSNA</t>
  </si>
  <si>
    <t>CESSNA AIRCRAFT CO</t>
  </si>
  <si>
    <t>CG-1GLIDER</t>
  </si>
  <si>
    <t>CORCORAN</t>
  </si>
  <si>
    <t>FRANKFORT SAILPLANE CO</t>
  </si>
  <si>
    <t>CINEMA 1 MODIFIED</t>
  </si>
  <si>
    <t>CURTISS WRIGHT</t>
  </si>
  <si>
    <t>FIBERA</t>
  </si>
  <si>
    <t>KK-I-E UTU</t>
  </si>
  <si>
    <t>FFA ALTENRHEIN AG</t>
  </si>
  <si>
    <t>BUE 133</t>
  </si>
  <si>
    <t>38001AC</t>
  </si>
  <si>
    <t>GERMANTIC TYPE</t>
  </si>
  <si>
    <t>CIMMINO-LEANARD</t>
  </si>
  <si>
    <t>AB FLYGPLAN</t>
  </si>
  <si>
    <t>DFS KRANICH 1B</t>
  </si>
  <si>
    <t>WELLEY-CHEROKEE RM</t>
  </si>
  <si>
    <t>DARLA-BIKLE</t>
  </si>
  <si>
    <t>SAVAGE</t>
  </si>
  <si>
    <t>Electric</t>
  </si>
  <si>
    <t>06001AF</t>
  </si>
  <si>
    <t>DISTAR CZ AS</t>
  </si>
  <si>
    <t>D 13/15 SUN DANCER</t>
  </si>
  <si>
    <t>06001CE</t>
  </si>
  <si>
    <t>DISTAR CZ A S</t>
  </si>
  <si>
    <t>05630UL</t>
  </si>
  <si>
    <t>GOLDNER LESLIE M</t>
  </si>
  <si>
    <t>056320M</t>
  </si>
  <si>
    <t>BRIAN CARPENTER</t>
  </si>
  <si>
    <t>EMG6</t>
  </si>
  <si>
    <t>05632LM</t>
  </si>
  <si>
    <t>ERIC SCOTT RAYMOND</t>
  </si>
  <si>
    <t>SUNSEEKER DUO</t>
  </si>
  <si>
    <t>05630JG</t>
  </si>
  <si>
    <t>ENGLERT WILLIAM</t>
  </si>
  <si>
    <t>VANS RV-4</t>
  </si>
  <si>
    <t>05630N6</t>
  </si>
  <si>
    <t>MALOTT CORWIN</t>
  </si>
  <si>
    <t>S-51</t>
  </si>
  <si>
    <t>05631Q4</t>
  </si>
  <si>
    <t>DUSTIN C WEST</t>
  </si>
  <si>
    <t>VANS RV-7</t>
  </si>
  <si>
    <t>056322T</t>
  </si>
  <si>
    <t>BARKLEY DALE E</t>
  </si>
  <si>
    <t>05634DW</t>
  </si>
  <si>
    <t>ELBERT RUTAN</t>
  </si>
  <si>
    <t>375 SKIGULL</t>
  </si>
  <si>
    <t>05621Z3</t>
  </si>
  <si>
    <t>BURNS ROBERT J</t>
  </si>
  <si>
    <t>CHALLENGER II LONG W</t>
  </si>
  <si>
    <t>05627GK</t>
  </si>
  <si>
    <t>MCCARTHY SCOTT L</t>
  </si>
  <si>
    <t>MITCHELL WING A-10D</t>
  </si>
  <si>
    <t>05632UN</t>
  </si>
  <si>
    <t>CAFLISCH PETER E</t>
  </si>
  <si>
    <t>05902MY</t>
  </si>
  <si>
    <t>QUAD CITIES AIRCRAFT</t>
  </si>
  <si>
    <t>K&amp;K ENTERPRISES OF VA LLC</t>
  </si>
  <si>
    <t>MS-150</t>
  </si>
  <si>
    <t>05621PZ</t>
  </si>
  <si>
    <t>BISHOP WILLIAM KEVIN</t>
  </si>
  <si>
    <t>BISHOPRANS S-7SJ</t>
  </si>
  <si>
    <t>05631M1</t>
  </si>
  <si>
    <t>COBY JOHNSTON</t>
  </si>
  <si>
    <t>LANCAIR EVOLUTION</t>
  </si>
  <si>
    <t>Turbo-Prop</t>
  </si>
  <si>
    <t>BURKHART GROB LUFT</t>
  </si>
  <si>
    <t>G520 EGRETT</t>
  </si>
  <si>
    <t>RAYTHEON AIRCRAFT COMPANY</t>
  </si>
  <si>
    <t>B36TC</t>
  </si>
  <si>
    <t>05607NC</t>
  </si>
  <si>
    <t>BEIZER DAVID R</t>
  </si>
  <si>
    <t>RV-6A</t>
  </si>
  <si>
    <t>05610UP</t>
  </si>
  <si>
    <t>DELEAULT PETER P</t>
  </si>
  <si>
    <t>EDGE</t>
  </si>
  <si>
    <t>05611EI</t>
  </si>
  <si>
    <t>JAUSSI CURTIS L</t>
  </si>
  <si>
    <t>056139I</t>
  </si>
  <si>
    <t>CARPENTER KENNETH B</t>
  </si>
  <si>
    <t>EUROPA MG</t>
  </si>
  <si>
    <t>05613WL</t>
  </si>
  <si>
    <t>CUTTING BOB</t>
  </si>
  <si>
    <t>VANS RV 6 A</t>
  </si>
  <si>
    <t>056175M</t>
  </si>
  <si>
    <t>BARNES DON</t>
  </si>
  <si>
    <t>LANCAIR LEGACY</t>
  </si>
  <si>
    <t>05618QS</t>
  </si>
  <si>
    <t>PARIGORIS RONALD J</t>
  </si>
  <si>
    <t>XS-FUN</t>
  </si>
  <si>
    <t>05628W4</t>
  </si>
  <si>
    <t>CARRIGG GEOFFREY</t>
  </si>
  <si>
    <t>KITFOX 4-1200</t>
  </si>
  <si>
    <t>056291O</t>
  </si>
  <si>
    <t>BELSAAS R/PETERSEN J</t>
  </si>
  <si>
    <t>RV7A</t>
  </si>
  <si>
    <t>056292B</t>
  </si>
  <si>
    <t>GRASSL JOSEPH R</t>
  </si>
  <si>
    <t>JUST ARCRFT ESCAPADE</t>
  </si>
  <si>
    <t>05629S7</t>
  </si>
  <si>
    <t>WHITTINGTON RICHARD L</t>
  </si>
  <si>
    <t>ZENITH CH601HDS</t>
  </si>
  <si>
    <t>05631I6</t>
  </si>
  <si>
    <t>HENRY BARTLE</t>
  </si>
  <si>
    <t>CATALINA 1</t>
  </si>
  <si>
    <t>05631T0</t>
  </si>
  <si>
    <t>ANDERSON GORDON PAUL</t>
  </si>
  <si>
    <t>SPORTSMAN GS-2</t>
  </si>
  <si>
    <t>056329H</t>
  </si>
  <si>
    <t>MATTHEWS DENNIS S</t>
  </si>
  <si>
    <t>ZENITH 750</t>
  </si>
  <si>
    <t>056413X</t>
  </si>
  <si>
    <t>ARTHUR B CANNING</t>
  </si>
  <si>
    <t>MERLIN LITE</t>
  </si>
  <si>
    <t>05641JB</t>
  </si>
  <si>
    <t>CHRISTOPHER P BLOCH</t>
  </si>
  <si>
    <t>CCK-2000</t>
  </si>
  <si>
    <t>05641XZ</t>
  </si>
  <si>
    <t>ARMSTRONG PAUL W</t>
  </si>
  <si>
    <t>XENOS-B</t>
  </si>
  <si>
    <t>05647B9</t>
  </si>
  <si>
    <t>DART</t>
  </si>
  <si>
    <t>AERO-5</t>
  </si>
  <si>
    <t>05676R9</t>
  </si>
  <si>
    <t>BOARDMAN DON A III</t>
  </si>
  <si>
    <t>GYROFLUG</t>
  </si>
  <si>
    <t>SC 01B</t>
  </si>
  <si>
    <t>BRDITSCHKA</t>
  </si>
  <si>
    <t>HB23/2400</t>
  </si>
  <si>
    <t>05636U1</t>
  </si>
  <si>
    <t>BABCOCK AIRPLANE CO</t>
  </si>
  <si>
    <t>ALL-AMERICAN CADET L</t>
  </si>
  <si>
    <t>05630YK</t>
  </si>
  <si>
    <t>E-GENIUS</t>
  </si>
  <si>
    <t>05632NK</t>
  </si>
  <si>
    <t>SUITER RAYMOND</t>
  </si>
  <si>
    <t>EASY-RIDER</t>
  </si>
  <si>
    <t>05635NL</t>
  </si>
  <si>
    <t>KITTY HAWK</t>
  </si>
  <si>
    <t>ENRICO</t>
  </si>
  <si>
    <t>05635NM</t>
  </si>
  <si>
    <t>AREA-I INC</t>
  </si>
  <si>
    <t>SBXC</t>
  </si>
  <si>
    <t>06101VO</t>
  </si>
  <si>
    <t>APPLIED AERONAUTICS</t>
  </si>
  <si>
    <t>ALBATROSS</t>
  </si>
  <si>
    <t>06101Y6</t>
  </si>
  <si>
    <t>UNIV OF KANSAS AEROSPACE ENGRG</t>
  </si>
  <si>
    <t>FLYFLY HOBBY DG-808S</t>
  </si>
  <si>
    <t>05628S6</t>
  </si>
  <si>
    <t>ELECTRA FLYER X</t>
  </si>
  <si>
    <t>Unknown</t>
  </si>
  <si>
    <t>NORTHROP</t>
  </si>
  <si>
    <t>M2-F3</t>
  </si>
  <si>
    <t>HL-10</t>
  </si>
  <si>
    <t>05611SN</t>
  </si>
  <si>
    <t>UFM</t>
  </si>
  <si>
    <t>13 LAMBADA</t>
  </si>
  <si>
    <t>05622YG</t>
  </si>
  <si>
    <t>WILL JEFFREY</t>
  </si>
  <si>
    <t>FOKKER DVIII</t>
  </si>
  <si>
    <t>056264E</t>
  </si>
  <si>
    <t>HASTINGS FRANCIS G</t>
  </si>
  <si>
    <t>DRAGGIN-FLY</t>
  </si>
  <si>
    <t>05631Q3</t>
  </si>
  <si>
    <t>CHRISTOPHER J RUSCH</t>
  </si>
  <si>
    <t>PIETENPOL AIR CAMPER</t>
  </si>
  <si>
    <t>05633P9</t>
  </si>
  <si>
    <t>HOLBROOK JAMES D</t>
  </si>
  <si>
    <t>HOLBROOK KELLY D</t>
  </si>
  <si>
    <t>05904PA</t>
  </si>
  <si>
    <t>CFM AIRCRAFT LIMITED</t>
  </si>
  <si>
    <t>STREAK SHADOW</t>
  </si>
  <si>
    <t>056319Y</t>
  </si>
  <si>
    <t>RAMSEY W H</t>
  </si>
  <si>
    <t>RAMSEY A</t>
  </si>
  <si>
    <t>05631LO</t>
  </si>
  <si>
    <t>JOHN R DAEGER</t>
  </si>
  <si>
    <t>STRATON D7</t>
  </si>
  <si>
    <t>05634FZ</t>
  </si>
  <si>
    <t>OLSON SCOTT T</t>
  </si>
  <si>
    <t>ICARUS 5</t>
  </si>
  <si>
    <t>05901XQ</t>
  </si>
  <si>
    <t>SHIPWAY RAYMOND W</t>
  </si>
  <si>
    <t>QUICKSILVER MLX SPOR</t>
  </si>
  <si>
    <t>05903SJ</t>
  </si>
  <si>
    <t>MITCHELL WING</t>
  </si>
  <si>
    <t>A-10G501</t>
  </si>
  <si>
    <t>05904QC</t>
  </si>
  <si>
    <t>SHAFFER WILLIAM C</t>
  </si>
  <si>
    <t>QUICKSILVER MX II SP</t>
  </si>
  <si>
    <t>06101IJ</t>
  </si>
  <si>
    <t>AEROWORKS YAK-54 40%</t>
  </si>
  <si>
    <t>06101X5</t>
  </si>
  <si>
    <t>GREATPLANES/CARL GOLDBERG</t>
  </si>
  <si>
    <t>EAGLE 2</t>
  </si>
  <si>
    <t>EXCALIBUR AIRCRAFT</t>
  </si>
  <si>
    <t>LSA</t>
  </si>
  <si>
    <t>05603CC</t>
  </si>
  <si>
    <t>MINIJET</t>
  </si>
  <si>
    <t>MJ-1</t>
  </si>
  <si>
    <t>CHAMPAGNE WM MICHAEL</t>
  </si>
  <si>
    <t>MITCHELLWING T10</t>
  </si>
  <si>
    <t>COMBINATION EAGLEROC</t>
  </si>
  <si>
    <t>05603F8</t>
  </si>
  <si>
    <t>CUSHING</t>
  </si>
  <si>
    <t>C2</t>
  </si>
  <si>
    <t>05603UB</t>
  </si>
  <si>
    <t>KOLB</t>
  </si>
  <si>
    <t>FIREFLY</t>
  </si>
  <si>
    <t>056049F</t>
  </si>
  <si>
    <t>COAN STEPHEN S</t>
  </si>
  <si>
    <t>05604ES</t>
  </si>
  <si>
    <t>HACKETT RUSSELL</t>
  </si>
  <si>
    <t>WINDEX 1200 C</t>
  </si>
  <si>
    <t>056071C</t>
  </si>
  <si>
    <t>AKLUFI JOSEPH S</t>
  </si>
  <si>
    <t>TUKAN TRIKE</t>
  </si>
  <si>
    <t>05607NB</t>
  </si>
  <si>
    <t>EXPRESS AIRCRAFT COMPANY LLC</t>
  </si>
  <si>
    <t>MILLENNIUM</t>
  </si>
  <si>
    <t>05607UQ</t>
  </si>
  <si>
    <t>BURNS JOHN M III</t>
  </si>
  <si>
    <t>QCKSLVR MX 2 SPRINT</t>
  </si>
  <si>
    <t>05610DZ</t>
  </si>
  <si>
    <t>J&amp;AS AERO DESIGN</t>
  </si>
  <si>
    <t>FREGATA J-6</t>
  </si>
  <si>
    <t>05611W1</t>
  </si>
  <si>
    <t>CARON P/UNITED SYNTHESIS CORP</t>
  </si>
  <si>
    <t>MCR-01 SPORTSTER</t>
  </si>
  <si>
    <t>05612CH</t>
  </si>
  <si>
    <t>KAISER JAMES F JR</t>
  </si>
  <si>
    <t>05612FX</t>
  </si>
  <si>
    <t>BERNINI J C/STERNER K W</t>
  </si>
  <si>
    <t>05612G8</t>
  </si>
  <si>
    <t>BALLANTYNE JOHN LEE</t>
  </si>
  <si>
    <t>GTE</t>
  </si>
  <si>
    <t>05612L8</t>
  </si>
  <si>
    <t>MAHER WILLIAM E</t>
  </si>
  <si>
    <t>EUROPA XS MTR GLIDER</t>
  </si>
  <si>
    <t>05614XP</t>
  </si>
  <si>
    <t>AERIAL ARTS</t>
  </si>
  <si>
    <t>130SX/HALF PINT</t>
  </si>
  <si>
    <t>05614ZY</t>
  </si>
  <si>
    <t>LIKNAITZKY MATTHEW</t>
  </si>
  <si>
    <t>AEROTRIKE COBRA</t>
  </si>
  <si>
    <t>056152A</t>
  </si>
  <si>
    <t>CHAMPION KENNETH R</t>
  </si>
  <si>
    <t>PIUMA EVOLUZIONE</t>
  </si>
  <si>
    <t>05615PO</t>
  </si>
  <si>
    <t>UNDERHILL COLLIN M</t>
  </si>
  <si>
    <t>C-1</t>
  </si>
  <si>
    <t>05616CI</t>
  </si>
  <si>
    <t>MCKENZIE ROB</t>
  </si>
  <si>
    <t>TRIKE</t>
  </si>
  <si>
    <t>05617BC</t>
  </si>
  <si>
    <t>SCRIVNER CHARLES L</t>
  </si>
  <si>
    <t>QUICKSILVER MX</t>
  </si>
  <si>
    <t>05617G5</t>
  </si>
  <si>
    <t>DREBICK MONTGOMERY A</t>
  </si>
  <si>
    <t>AC-SUPER-103</t>
  </si>
  <si>
    <t>RYSON AVIATION CORP.</t>
  </si>
  <si>
    <t>05623C8</t>
  </si>
  <si>
    <t>MARTIN RONALD N</t>
  </si>
  <si>
    <t>05625LK</t>
  </si>
  <si>
    <t>YOUNG HARRY R</t>
  </si>
  <si>
    <t>MITCHELL WING U-2</t>
  </si>
  <si>
    <t>NATIONAL AIRWAYS SYSTEM</t>
  </si>
  <si>
    <t>AIR PRINCE</t>
  </si>
  <si>
    <t>056299M</t>
  </si>
  <si>
    <t>BABY A</t>
  </si>
  <si>
    <t>05629WE</t>
  </si>
  <si>
    <t>KIRKPATRICK MARK S</t>
  </si>
  <si>
    <t>BUZZARD 1 MOTORGLIDE</t>
  </si>
  <si>
    <t>05630H2</t>
  </si>
  <si>
    <t>BRYAN MARK W</t>
  </si>
  <si>
    <t>FIRESTAR II</t>
  </si>
  <si>
    <t>05632KA</t>
  </si>
  <si>
    <t>KENNETH W PABO</t>
  </si>
  <si>
    <t>MITCHELL WING U2</t>
  </si>
  <si>
    <t>056345T</t>
  </si>
  <si>
    <t>DURR C L</t>
  </si>
  <si>
    <t>DURR NORTHROP</t>
  </si>
  <si>
    <t>05634YI</t>
  </si>
  <si>
    <t>CHARLES RALPH</t>
  </si>
  <si>
    <t>CHARLES E1</t>
  </si>
  <si>
    <t>05634YJ</t>
  </si>
  <si>
    <t>MCCLARY EARL</t>
  </si>
  <si>
    <t>MCCLARY POWER GLIDER</t>
  </si>
  <si>
    <t>05636AC</t>
  </si>
  <si>
    <t>INVINCIBLE METAL FURNITURE CO</t>
  </si>
  <si>
    <t>D-D</t>
  </si>
  <si>
    <t>05636B1</t>
  </si>
  <si>
    <t>MIZE CECIL I</t>
  </si>
  <si>
    <t>05636G2</t>
  </si>
  <si>
    <t>BENNETT</t>
  </si>
  <si>
    <t>PHEONIX 8</t>
  </si>
  <si>
    <t>05636N3</t>
  </si>
  <si>
    <t>BILLY TIPTON RANGER AIRCRAFT</t>
  </si>
  <si>
    <t>RANGER SR3-1</t>
  </si>
  <si>
    <t>05636WW</t>
  </si>
  <si>
    <t>HAGEMAN EDWIN</t>
  </si>
  <si>
    <t>POWERED GLIDER</t>
  </si>
  <si>
    <t>05636YK</t>
  </si>
  <si>
    <t>REID DONALD V</t>
  </si>
  <si>
    <t>FLG SUBMARINE 18/19</t>
  </si>
  <si>
    <t>05637LO</t>
  </si>
  <si>
    <t>05637MW</t>
  </si>
  <si>
    <t>JONES CASEY</t>
  </si>
  <si>
    <t>CASEY JONES FLYING</t>
  </si>
  <si>
    <t>056399S</t>
  </si>
  <si>
    <t>F KOEPNICK JR/J LEISNER/E SAYR</t>
  </si>
  <si>
    <t>FINGER</t>
  </si>
  <si>
    <t>HALSMER</t>
  </si>
  <si>
    <t>VJ-23 SWING WING</t>
  </si>
  <si>
    <t>HABLUTZEL</t>
  </si>
  <si>
    <t>MOODY</t>
  </si>
  <si>
    <t>PARKER</t>
  </si>
  <si>
    <t>ICARUS</t>
  </si>
  <si>
    <t>AIKEN</t>
  </si>
  <si>
    <t>05647A1</t>
  </si>
  <si>
    <t>BRAZIER</t>
  </si>
  <si>
    <t>UFM EASY RISER</t>
  </si>
  <si>
    <t>05647A2</t>
  </si>
  <si>
    <t>LYONS</t>
  </si>
  <si>
    <t>05647A5</t>
  </si>
  <si>
    <t>05647A6</t>
  </si>
  <si>
    <t>PURPLE</t>
  </si>
  <si>
    <t>05647A9</t>
  </si>
  <si>
    <t>TURNER</t>
  </si>
  <si>
    <t>05647B1</t>
  </si>
  <si>
    <t>GILBERT</t>
  </si>
  <si>
    <t>05647B2</t>
  </si>
  <si>
    <t>KLEIN</t>
  </si>
  <si>
    <t>05647B3</t>
  </si>
  <si>
    <t>PHIPPS</t>
  </si>
  <si>
    <t>05647B4</t>
  </si>
  <si>
    <t>HINOTE</t>
  </si>
  <si>
    <t>05647B6</t>
  </si>
  <si>
    <t>BENEDICT</t>
  </si>
  <si>
    <t>05647BV</t>
  </si>
  <si>
    <t>PROPPE TASSILO</t>
  </si>
  <si>
    <t>05647C1</t>
  </si>
  <si>
    <t>TRAIL</t>
  </si>
  <si>
    <t>05647C2</t>
  </si>
  <si>
    <t>GIBLER</t>
  </si>
  <si>
    <t>05647C3</t>
  </si>
  <si>
    <t>SNYDER</t>
  </si>
  <si>
    <t>05647C4</t>
  </si>
  <si>
    <t>GONZALES</t>
  </si>
  <si>
    <t>05647C5</t>
  </si>
  <si>
    <t>WADSWORTH</t>
  </si>
  <si>
    <t>05647C6</t>
  </si>
  <si>
    <t>LUCAS</t>
  </si>
  <si>
    <t>05647C9</t>
  </si>
  <si>
    <t>UFM EASYRISER</t>
  </si>
  <si>
    <t>05647CA</t>
  </si>
  <si>
    <t>G&amp;G POWER GLIDERS</t>
  </si>
  <si>
    <t>MITCHELL WING B-10</t>
  </si>
  <si>
    <t>05647CE</t>
  </si>
  <si>
    <t>STRIPLIN KENNETH R</t>
  </si>
  <si>
    <t>FOOT LAUNCH AIRCYCLE</t>
  </si>
  <si>
    <t>05647D5</t>
  </si>
  <si>
    <t>BIGELOW</t>
  </si>
  <si>
    <t>05647D6</t>
  </si>
  <si>
    <t>LARSON</t>
  </si>
  <si>
    <t>05647D7</t>
  </si>
  <si>
    <t>CATON-PROUHET</t>
  </si>
  <si>
    <t>05647D8</t>
  </si>
  <si>
    <t>ABBOTT</t>
  </si>
  <si>
    <t>ICARUS IIB</t>
  </si>
  <si>
    <t>JACOBSEN</t>
  </si>
  <si>
    <t>CALEGARI-PAGE</t>
  </si>
  <si>
    <t>CONVERSE</t>
  </si>
  <si>
    <t>COREY</t>
  </si>
  <si>
    <t>LINTON</t>
  </si>
  <si>
    <t>05647EE</t>
  </si>
  <si>
    <t>HARAST JOHN C</t>
  </si>
  <si>
    <t>05647EH</t>
  </si>
  <si>
    <t>PERRY DAVID C</t>
  </si>
  <si>
    <t>EASYRISER 4000</t>
  </si>
  <si>
    <t>05647EJ</t>
  </si>
  <si>
    <t>PIERCE ROGER LEE</t>
  </si>
  <si>
    <t>05647EX</t>
  </si>
  <si>
    <t>PTERODACTYL LIMITED &amp; SARMONT</t>
  </si>
  <si>
    <t>FLEDGLING TA</t>
  </si>
  <si>
    <t>05647F1</t>
  </si>
  <si>
    <t>GRZEJKA</t>
  </si>
  <si>
    <t>05647F2</t>
  </si>
  <si>
    <t>KAMERMAN</t>
  </si>
  <si>
    <t>05647F3</t>
  </si>
  <si>
    <t>WINSOR</t>
  </si>
  <si>
    <t>MERLIN</t>
  </si>
  <si>
    <t>05647F4</t>
  </si>
  <si>
    <t>MCCANN</t>
  </si>
  <si>
    <t>05647F5</t>
  </si>
  <si>
    <t>YOUNG</t>
  </si>
  <si>
    <t>05647F8</t>
  </si>
  <si>
    <t>JACOBER</t>
  </si>
  <si>
    <t>EASYRISER II</t>
  </si>
  <si>
    <t>05647F9</t>
  </si>
  <si>
    <t>05647FF</t>
  </si>
  <si>
    <t>EWING ROBERT A</t>
  </si>
  <si>
    <t>MITCHEL WING B-10</t>
  </si>
  <si>
    <t>05647G1</t>
  </si>
  <si>
    <t>BRYANT</t>
  </si>
  <si>
    <t>05647G2</t>
  </si>
  <si>
    <t>QUICKSILVER C</t>
  </si>
  <si>
    <t>05647G4</t>
  </si>
  <si>
    <t>JAMES</t>
  </si>
  <si>
    <t>05647G5</t>
  </si>
  <si>
    <t>OMAN</t>
  </si>
  <si>
    <t>05647G8</t>
  </si>
  <si>
    <t>POLAND</t>
  </si>
  <si>
    <t>05647G9</t>
  </si>
  <si>
    <t>HUDETZ</t>
  </si>
  <si>
    <t>UFM-EASY RISER</t>
  </si>
  <si>
    <t>05647GM</t>
  </si>
  <si>
    <t>WHEELER JAMES F</t>
  </si>
  <si>
    <t>MITCHELL B-10</t>
  </si>
  <si>
    <t>05647GP</t>
  </si>
  <si>
    <t>CUSTER JOHN O</t>
  </si>
  <si>
    <t>AM EAGLE</t>
  </si>
  <si>
    <t>05647GV</t>
  </si>
  <si>
    <t>BOYD CECIL E</t>
  </si>
  <si>
    <t>UF1</t>
  </si>
  <si>
    <t>05647H2</t>
  </si>
  <si>
    <t>ROBICHAUD</t>
  </si>
  <si>
    <t>EASY RISER-1</t>
  </si>
  <si>
    <t>05647H3</t>
  </si>
  <si>
    <t>LIBERTI</t>
  </si>
  <si>
    <t>U.F.M. EASY RISER</t>
  </si>
  <si>
    <t>05647H4</t>
  </si>
  <si>
    <t>MATHERLY</t>
  </si>
  <si>
    <t>05647H7</t>
  </si>
  <si>
    <t>ANGST</t>
  </si>
  <si>
    <t>05647HM</t>
  </si>
  <si>
    <t>WESELMANN RANDY</t>
  </si>
  <si>
    <t>05647HY</t>
  </si>
  <si>
    <t>CHAMPION KEN</t>
  </si>
  <si>
    <t>FREEDOM FALCON FF1</t>
  </si>
  <si>
    <t>05647J1</t>
  </si>
  <si>
    <t>GUYS RISER</t>
  </si>
  <si>
    <t>05647J2</t>
  </si>
  <si>
    <t>RANNALLI</t>
  </si>
  <si>
    <t>05647J3</t>
  </si>
  <si>
    <t>CONAT</t>
  </si>
  <si>
    <t>U.F.M. EASYRISER</t>
  </si>
  <si>
    <t>05647J4</t>
  </si>
  <si>
    <t>PARENTI</t>
  </si>
  <si>
    <t>05647J5</t>
  </si>
  <si>
    <t>SUDWISCHER</t>
  </si>
  <si>
    <t>ICARUS-2</t>
  </si>
  <si>
    <t>05647J6</t>
  </si>
  <si>
    <t>KURPGEWEIT</t>
  </si>
  <si>
    <t>05647J7</t>
  </si>
  <si>
    <t>05647J8</t>
  </si>
  <si>
    <t>RAMER</t>
  </si>
  <si>
    <t>05647J9</t>
  </si>
  <si>
    <t>CHALMERS</t>
  </si>
  <si>
    <t>05647JE</t>
  </si>
  <si>
    <t>HUGHES ERNEST T</t>
  </si>
  <si>
    <t>HUMMER-B</t>
  </si>
  <si>
    <t>05647JM</t>
  </si>
  <si>
    <t>ROWLEY-RAISNER</t>
  </si>
  <si>
    <t>05647K2</t>
  </si>
  <si>
    <t>UTZ</t>
  </si>
  <si>
    <t>05647K3</t>
  </si>
  <si>
    <t>DILLARD</t>
  </si>
  <si>
    <t>05647K4</t>
  </si>
  <si>
    <t>STEWART</t>
  </si>
  <si>
    <t>05647K5</t>
  </si>
  <si>
    <t>MACE</t>
  </si>
  <si>
    <t>05647K7</t>
  </si>
  <si>
    <t>DIMASCIO</t>
  </si>
  <si>
    <t>ICARUS V</t>
  </si>
  <si>
    <t>05647L1</t>
  </si>
  <si>
    <t>BAKER</t>
  </si>
  <si>
    <t>05647L2</t>
  </si>
  <si>
    <t>ZIMMERMAN</t>
  </si>
  <si>
    <t>05647L4</t>
  </si>
  <si>
    <t>IANNINI</t>
  </si>
  <si>
    <t>05647L5</t>
  </si>
  <si>
    <t>PEMBERTON</t>
  </si>
  <si>
    <t>05647L7</t>
  </si>
  <si>
    <t>05647L8</t>
  </si>
  <si>
    <t>CHRISTIANA</t>
  </si>
  <si>
    <t>05647L9</t>
  </si>
  <si>
    <t>05647M1</t>
  </si>
  <si>
    <t>QUIST</t>
  </si>
  <si>
    <t>05647M2</t>
  </si>
  <si>
    <t>QUICKSILVER</t>
  </si>
  <si>
    <t>05647M4</t>
  </si>
  <si>
    <t>05647M5</t>
  </si>
  <si>
    <t>SIEWERT</t>
  </si>
  <si>
    <t>05647M6</t>
  </si>
  <si>
    <t>LAMMERT</t>
  </si>
  <si>
    <t>05647M7</t>
  </si>
  <si>
    <t>LOVELESS-MARSH</t>
  </si>
  <si>
    <t>05647M8</t>
  </si>
  <si>
    <t>CRISWELL</t>
  </si>
  <si>
    <t>05647N3</t>
  </si>
  <si>
    <t>DEMENT-WAGNER</t>
  </si>
  <si>
    <t>05647N4</t>
  </si>
  <si>
    <t>EVANS</t>
  </si>
  <si>
    <t>05647N6</t>
  </si>
  <si>
    <t>WESTPHAL-VANNESS</t>
  </si>
  <si>
    <t>05647N8</t>
  </si>
  <si>
    <t>SCHOEDER</t>
  </si>
  <si>
    <t>05647N9</t>
  </si>
  <si>
    <t>OYLER</t>
  </si>
  <si>
    <t>05647P1</t>
  </si>
  <si>
    <t>LANEY</t>
  </si>
  <si>
    <t>EASYRISER WDL</t>
  </si>
  <si>
    <t>05647P2</t>
  </si>
  <si>
    <t>LENDER</t>
  </si>
  <si>
    <t>05647P3</t>
  </si>
  <si>
    <t>PERTUIT</t>
  </si>
  <si>
    <t>05647P4</t>
  </si>
  <si>
    <t>FRANCESCHINI</t>
  </si>
  <si>
    <t>05647P5</t>
  </si>
  <si>
    <t>ADAMO</t>
  </si>
  <si>
    <t>05647P6</t>
  </si>
  <si>
    <t>05647P7</t>
  </si>
  <si>
    <t>VENHAM</t>
  </si>
  <si>
    <t>05647P9</t>
  </si>
  <si>
    <t>ROBB</t>
  </si>
  <si>
    <t>05647Q1</t>
  </si>
  <si>
    <t>EMERSON</t>
  </si>
  <si>
    <t>05647Q3</t>
  </si>
  <si>
    <t>05647Q4</t>
  </si>
  <si>
    <t>SIMPSON</t>
  </si>
  <si>
    <t>05647Q6</t>
  </si>
  <si>
    <t>PARISH</t>
  </si>
  <si>
    <t>05647Q7</t>
  </si>
  <si>
    <t>05647Q8</t>
  </si>
  <si>
    <t>NIELSEN</t>
  </si>
  <si>
    <t>05647R1</t>
  </si>
  <si>
    <t>HUDDLESTON</t>
  </si>
  <si>
    <t>05647R3</t>
  </si>
  <si>
    <t>MACVAUGH</t>
  </si>
  <si>
    <t>05647R4</t>
  </si>
  <si>
    <t>PALMER</t>
  </si>
  <si>
    <t>QUICK SILVER</t>
  </si>
  <si>
    <t>05647R5</t>
  </si>
  <si>
    <t>MYER-MERRICK</t>
  </si>
  <si>
    <t>05647R7</t>
  </si>
  <si>
    <t>TUCKER</t>
  </si>
  <si>
    <t>05647R8</t>
  </si>
  <si>
    <t>MCCARVILLE</t>
  </si>
  <si>
    <t>05647R9</t>
  </si>
  <si>
    <t>MOOMAW</t>
  </si>
  <si>
    <t>05647S1</t>
  </si>
  <si>
    <t>CLOW</t>
  </si>
  <si>
    <t>05647S2</t>
  </si>
  <si>
    <t>MAGLEBY</t>
  </si>
  <si>
    <t>05647S3</t>
  </si>
  <si>
    <t>SHEELEY</t>
  </si>
  <si>
    <t>05647S4</t>
  </si>
  <si>
    <t>SLUSARCZK</t>
  </si>
  <si>
    <t>05647S5</t>
  </si>
  <si>
    <t>05647S6</t>
  </si>
  <si>
    <t>SHIPLEY</t>
  </si>
  <si>
    <t>05647S8</t>
  </si>
  <si>
    <t>JONES</t>
  </si>
  <si>
    <t>05647S9</t>
  </si>
  <si>
    <t>NEWTON</t>
  </si>
  <si>
    <t>05647T1</t>
  </si>
  <si>
    <t>RAGSDALE</t>
  </si>
  <si>
    <t>UFM-EASYRISER</t>
  </si>
  <si>
    <t>05647T2</t>
  </si>
  <si>
    <t>SHERRILL</t>
  </si>
  <si>
    <t>05647T4</t>
  </si>
  <si>
    <t>GROSSBERG</t>
  </si>
  <si>
    <t>05647T5</t>
  </si>
  <si>
    <t>HESS</t>
  </si>
  <si>
    <t>05647T6</t>
  </si>
  <si>
    <t>DAWSON</t>
  </si>
  <si>
    <t>05647T7</t>
  </si>
  <si>
    <t>WOLF</t>
  </si>
  <si>
    <t>05647T9</t>
  </si>
  <si>
    <t>BUNTIN</t>
  </si>
  <si>
    <t>05647U1</t>
  </si>
  <si>
    <t>WRUBLE</t>
  </si>
  <si>
    <t>05647U2</t>
  </si>
  <si>
    <t>OZGA</t>
  </si>
  <si>
    <t>05647U3</t>
  </si>
  <si>
    <t>TINTERA</t>
  </si>
  <si>
    <t>05647U4</t>
  </si>
  <si>
    <t>ZELLER</t>
  </si>
  <si>
    <t>05647U5</t>
  </si>
  <si>
    <t>05647U8</t>
  </si>
  <si>
    <t>FERGUSON</t>
  </si>
  <si>
    <t>05647U9</t>
  </si>
  <si>
    <t>FURROW</t>
  </si>
  <si>
    <t>05647V1</t>
  </si>
  <si>
    <t>BRYDGES</t>
  </si>
  <si>
    <t>05647V6</t>
  </si>
  <si>
    <t>BREWER</t>
  </si>
  <si>
    <t>EASY RISER II</t>
  </si>
  <si>
    <t>05647W1</t>
  </si>
  <si>
    <t>KERESTESI</t>
  </si>
  <si>
    <t>MG-1</t>
  </si>
  <si>
    <t>05647Y2</t>
  </si>
  <si>
    <t>05647Y6</t>
  </si>
  <si>
    <t>PATMONT</t>
  </si>
  <si>
    <t>05647Z3</t>
  </si>
  <si>
    <t>DSK AIRCRAFT CORP.</t>
  </si>
  <si>
    <t>SUNFUN VJ-24G</t>
  </si>
  <si>
    <t>05647Z9</t>
  </si>
  <si>
    <t>DSK AIRCRAFT CORP</t>
  </si>
  <si>
    <t>FLATLANDER DS-5P</t>
  </si>
  <si>
    <t>CORBIN BERNARD C</t>
  </si>
  <si>
    <t>CORBIN MOTOR GLIDER</t>
  </si>
  <si>
    <t>LOGAN BEARL A</t>
  </si>
  <si>
    <t>HEIGHTON HAROLD H</t>
  </si>
  <si>
    <t>STROJNIK S-2</t>
  </si>
  <si>
    <t>VOLKMAN JAMES P</t>
  </si>
  <si>
    <t>LIGHTWING</t>
  </si>
  <si>
    <t>GUSTAFSON DAVID S</t>
  </si>
  <si>
    <t>DGM-1</t>
  </si>
  <si>
    <t>SWANK ROBERT K</t>
  </si>
  <si>
    <t>CHALMERS / GROVE</t>
  </si>
  <si>
    <t>CG-1 SUNDANCER</t>
  </si>
  <si>
    <t>13005B2</t>
  </si>
  <si>
    <t>BLACK</t>
  </si>
  <si>
    <t>BENSEN B8-M</t>
  </si>
  <si>
    <t>13005DK</t>
  </si>
  <si>
    <t>DUKE</t>
  </si>
  <si>
    <t>BENSON B-8M</t>
  </si>
  <si>
    <t>13005JS</t>
  </si>
  <si>
    <t>STREITZ</t>
  </si>
  <si>
    <t>13005VH</t>
  </si>
  <si>
    <t>VAN HOTEN</t>
  </si>
  <si>
    <t>13006SP</t>
  </si>
  <si>
    <t>SPENCE</t>
  </si>
  <si>
    <t>TATARIAN</t>
  </si>
  <si>
    <t>130218M</t>
  </si>
  <si>
    <t>MARTZALL D D / JERNIGAN BUTCH</t>
  </si>
  <si>
    <t>1(POWER GLIDER)</t>
  </si>
  <si>
    <t>CHANCE VOUGHT</t>
  </si>
  <si>
    <t>SB2U-1</t>
  </si>
  <si>
    <t>Launch Type</t>
  </si>
  <si>
    <t>Blue Line</t>
  </si>
  <si>
    <t>Max w/extented</t>
  </si>
  <si>
    <t>Max extension</t>
  </si>
  <si>
    <t>Min extension</t>
  </si>
  <si>
    <t>Min Ext Alt</t>
  </si>
  <si>
    <t>Alt loss</t>
  </si>
  <si>
    <t>Method</t>
  </si>
  <si>
    <t>cooldown</t>
  </si>
  <si>
    <t>LD extended</t>
  </si>
  <si>
    <t>Start time</t>
  </si>
  <si>
    <t>Descent rate</t>
  </si>
  <si>
    <t>Self-Launch</t>
  </si>
  <si>
    <t>Sawthooth</t>
  </si>
  <si>
    <t>30 sec</t>
  </si>
  <si>
    <t>15:1</t>
  </si>
  <si>
    <t>164-820</t>
  </si>
  <si>
    <t>60-120</t>
  </si>
  <si>
    <t>1 min</t>
  </si>
  <si>
    <t>13:1</t>
  </si>
  <si>
    <t>45 sec</t>
  </si>
  <si>
    <t>2 min</t>
  </si>
  <si>
    <t>Turbo</t>
  </si>
  <si>
    <t>Cruise</t>
  </si>
  <si>
    <t>n/a</t>
  </si>
  <si>
    <t>150-800</t>
  </si>
  <si>
    <t>auto</t>
  </si>
  <si>
    <t>18:1</t>
  </si>
  <si>
    <t>40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</si>
</sst>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4.25"/>
    <col customWidth="1" min="3" max="3" width="35.63"/>
    <col customWidth="1" min="4" max="4" width="30.75"/>
    <col customWidth="1" min="5" max="5" width="4.38"/>
    <col customWidth="1" min="6" max="6" width="11.13"/>
    <col customWidth="1" min="7" max="11" width="11.5"/>
    <col customWidth="1" min="12" max="12" width="12.25"/>
    <col customWidth="1" min="13" max="22" width="11.5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>
        <v>173.0</v>
      </c>
      <c r="B2" s="2">
        <v>8051606.0</v>
      </c>
      <c r="C2" s="1" t="s">
        <v>6</v>
      </c>
      <c r="D2" s="1" t="s">
        <v>7</v>
      </c>
      <c r="E2" s="1">
        <v>1.0</v>
      </c>
      <c r="F2" s="1">
        <v>0.0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</row>
    <row r="3" ht="12.75" customHeight="1">
      <c r="A3" s="1">
        <v>131.0</v>
      </c>
      <c r="B3" s="2">
        <v>8050124.0</v>
      </c>
      <c r="C3" s="1" t="s">
        <v>6</v>
      </c>
      <c r="D3" s="1" t="s">
        <v>13</v>
      </c>
      <c r="E3" s="1">
        <v>1.0</v>
      </c>
      <c r="F3" s="1">
        <v>0.0</v>
      </c>
      <c r="I3" s="1" t="s">
        <v>14</v>
      </c>
      <c r="J3" s="1" t="s">
        <v>15</v>
      </c>
      <c r="K3" s="3">
        <f>COUNTIF(E1:E3386, "1")</f>
        <v>2272</v>
      </c>
      <c r="L3" s="3">
        <f>SUMIF(E1:E4386, "1", A1:A4386)</f>
        <v>4672</v>
      </c>
      <c r="M3" s="3">
        <f>COUNTIFS(E1:E3386,"1",A1:A3386,"&gt;1")</f>
        <v>382</v>
      </c>
      <c r="N3" s="3">
        <f>COUNTIFS(E1:E3386,"1",A1:A3386,"=1")</f>
        <v>514</v>
      </c>
      <c r="O3" s="3">
        <f>COUNTIFS(E1:E3386,"1",A1:A3386,"=0")</f>
        <v>1376</v>
      </c>
    </row>
    <row r="4" ht="12.75" customHeight="1">
      <c r="A4" s="1">
        <v>90.0</v>
      </c>
      <c r="B4" s="2">
        <v>8050118.0</v>
      </c>
      <c r="C4" s="1" t="s">
        <v>6</v>
      </c>
      <c r="D4" s="1" t="s">
        <v>16</v>
      </c>
      <c r="E4" s="1">
        <v>1.0</v>
      </c>
      <c r="F4" s="1">
        <v>0.0</v>
      </c>
      <c r="I4" s="3">
        <v>0.0</v>
      </c>
      <c r="J4" s="1" t="s">
        <v>17</v>
      </c>
      <c r="K4" s="3">
        <f>COUNTIF(F1:F3386, "0")</f>
        <v>1842</v>
      </c>
      <c r="L4" s="3">
        <f>SUMIF(F1:F3386, "0", A1:A3386)</f>
        <v>3853</v>
      </c>
      <c r="M4" s="3">
        <f>COUNTIFS(F1:F3386,"0",A1:A3386,"&gt;1")</f>
        <v>292</v>
      </c>
      <c r="N4" s="3">
        <f>COUNTIFS(F1:F3386,"0",A1:A3386,"=1")</f>
        <v>383</v>
      </c>
      <c r="O4" s="3">
        <f>COUNTIFS(F1:F3386,"0",A1:A3386,"=0")</f>
        <v>1167</v>
      </c>
    </row>
    <row r="5" ht="12.75" customHeight="1">
      <c r="A5" s="1">
        <v>83.0</v>
      </c>
      <c r="B5" s="2">
        <v>1360308.0</v>
      </c>
      <c r="C5" s="1" t="s">
        <v>18</v>
      </c>
      <c r="D5" s="1" t="s">
        <v>19</v>
      </c>
      <c r="E5" s="1">
        <v>1.0</v>
      </c>
      <c r="F5" s="1">
        <v>0.0</v>
      </c>
      <c r="I5" s="3"/>
      <c r="J5" s="1" t="s">
        <v>20</v>
      </c>
      <c r="K5" s="3">
        <f t="shared" ref="K5:M5" si="1">SUM(K6:K12)</f>
        <v>430</v>
      </c>
      <c r="L5" s="3">
        <f t="shared" si="1"/>
        <v>819</v>
      </c>
      <c r="M5" s="3">
        <f t="shared" si="1"/>
        <v>90</v>
      </c>
      <c r="N5" s="3"/>
      <c r="O5" s="3"/>
    </row>
    <row r="6" ht="12.75" customHeight="1">
      <c r="A6" s="1">
        <v>70.0</v>
      </c>
      <c r="B6" s="2">
        <v>3801501.0</v>
      </c>
      <c r="C6" s="1" t="s">
        <v>21</v>
      </c>
      <c r="D6" s="1" t="s">
        <v>22</v>
      </c>
      <c r="E6" s="1">
        <v>1.0</v>
      </c>
      <c r="F6" s="1">
        <v>0.0</v>
      </c>
      <c r="I6" s="3">
        <v>1.0</v>
      </c>
      <c r="J6" s="1" t="s">
        <v>23</v>
      </c>
      <c r="K6" s="3">
        <f>COUNTIF(F1:F3386, "1")</f>
        <v>291</v>
      </c>
      <c r="L6" s="3">
        <f>SUMIF(F1:F3386, "1", A1:A3386)</f>
        <v>341</v>
      </c>
      <c r="M6" s="3">
        <f>COUNTIFS(F2:F3387,"1",A2:A3387,"&gt;1")</f>
        <v>41</v>
      </c>
      <c r="N6" s="3">
        <f>COUNTIFS(F1:F3386,"1",A1:A3386,"=1")</f>
        <v>69</v>
      </c>
      <c r="O6" s="3">
        <f>COUNTIFS(F1:F3386,"1",A1:A3386,"=0")</f>
        <v>181</v>
      </c>
    </row>
    <row r="7" ht="12.75" customHeight="1">
      <c r="A7" s="1">
        <v>63.0</v>
      </c>
      <c r="B7" s="2" t="s">
        <v>24</v>
      </c>
      <c r="C7" s="1" t="s">
        <v>25</v>
      </c>
      <c r="D7" s="1" t="s">
        <v>26</v>
      </c>
      <c r="E7" s="1">
        <v>1.0</v>
      </c>
      <c r="F7" s="1">
        <v>0.0</v>
      </c>
      <c r="I7" s="3">
        <v>2.0</v>
      </c>
      <c r="J7" s="1" t="s">
        <v>27</v>
      </c>
      <c r="K7" s="3">
        <f>COUNTIF(F1:F3386, "2")</f>
        <v>2</v>
      </c>
      <c r="L7" s="3">
        <f>SUMIF(F1:F3386, "2", A1:A3386)</f>
        <v>1</v>
      </c>
      <c r="M7" s="3">
        <f>COUNTIFS(F1:F3386,"2",A1:A3386,"&gt;1")</f>
        <v>0</v>
      </c>
      <c r="N7" s="3">
        <f>COUNTIFS(F1:F3386,"2",A1:A3386,"=1")</f>
        <v>1</v>
      </c>
      <c r="O7" s="3">
        <f>COUNTIFS(F1:F3386,"2",A1:A3386,"=0")</f>
        <v>1</v>
      </c>
    </row>
    <row r="8" ht="12.75" customHeight="1">
      <c r="A8" s="1">
        <v>62.0</v>
      </c>
      <c r="B8" s="2">
        <v>8050116.0</v>
      </c>
      <c r="C8" s="1" t="s">
        <v>6</v>
      </c>
      <c r="D8" s="1" t="s">
        <v>28</v>
      </c>
      <c r="E8" s="1">
        <v>1.0</v>
      </c>
      <c r="F8" s="1">
        <v>0.0</v>
      </c>
      <c r="I8" s="3">
        <v>4.0</v>
      </c>
      <c r="J8" s="1" t="s">
        <v>29</v>
      </c>
      <c r="K8" s="3">
        <f>COUNTIF(F1:F3386, "4")</f>
        <v>8</v>
      </c>
      <c r="L8" s="3">
        <f>SUMIF(F1:F3386, "4", A1:A3386)</f>
        <v>14</v>
      </c>
      <c r="M8" s="3">
        <f>COUNTIFS(F1:F3386,"4",A1:A3386,"&gt;1")</f>
        <v>2</v>
      </c>
      <c r="N8" s="3">
        <f>COUNTIFS(F1:F3386,"4",A1:A3386,"=1")</f>
        <v>5</v>
      </c>
      <c r="O8" s="3">
        <f>COUNTIFS(F1:F3386,"4",A1:A3386,"=0")</f>
        <v>1</v>
      </c>
    </row>
    <row r="9" ht="12.75" customHeight="1">
      <c r="A9" s="1">
        <v>56.0</v>
      </c>
      <c r="B9" s="2">
        <v>3801506.0</v>
      </c>
      <c r="C9" s="1" t="s">
        <v>21</v>
      </c>
      <c r="D9" s="1" t="s">
        <v>30</v>
      </c>
      <c r="E9" s="1">
        <v>1.0</v>
      </c>
      <c r="F9" s="1">
        <v>0.0</v>
      </c>
      <c r="I9" s="3">
        <v>7.0</v>
      </c>
      <c r="J9" s="1" t="s">
        <v>31</v>
      </c>
      <c r="K9" s="3">
        <f>COUNTIF(F1:F3386, "7")</f>
        <v>48</v>
      </c>
      <c r="L9" s="3">
        <f>SUMIF(F1:F3386, "7", A1:A3386)</f>
        <v>153</v>
      </c>
      <c r="M9" s="3">
        <f>COUNTIFS(F1:F3386,"7",A1:A3386,"&gt;1")</f>
        <v>18</v>
      </c>
      <c r="N9" s="3">
        <f>COUNTIFS(F1:F3386,"7",A1:A3386,"=1")</f>
        <v>22</v>
      </c>
      <c r="O9" s="3">
        <f>COUNTIFS(F1:F3386,"7",A1:A3386,"=0")</f>
        <v>8</v>
      </c>
    </row>
    <row r="10" ht="12.75" customHeight="1">
      <c r="A10" s="1">
        <v>55.0</v>
      </c>
      <c r="B10" s="2">
        <v>9810150.0</v>
      </c>
      <c r="C10" s="1" t="s">
        <v>32</v>
      </c>
      <c r="D10" s="1" t="s">
        <v>33</v>
      </c>
      <c r="E10" s="1">
        <v>1.0</v>
      </c>
      <c r="F10" s="1">
        <v>0.0</v>
      </c>
      <c r="I10" s="3">
        <v>8.0</v>
      </c>
      <c r="J10" s="1" t="s">
        <v>34</v>
      </c>
      <c r="K10" s="3">
        <f>COUNTIF(F1:F3386, "8")</f>
        <v>49</v>
      </c>
      <c r="L10" s="3">
        <f>SUMIF(F1:F3386, "8", A1:A3386)</f>
        <v>192</v>
      </c>
      <c r="M10" s="3">
        <f>COUNTIFS(F1:F3386,"8",A1:A3386,"&gt;1")</f>
        <v>17</v>
      </c>
      <c r="N10" s="3">
        <f>COUNTIFS(F1:F3386,"8",A1:A3386,"=1")</f>
        <v>21</v>
      </c>
      <c r="O10" s="3">
        <f>COUNTIFS(F1:F3386,"8",A1:A3386,"=0")</f>
        <v>11</v>
      </c>
    </row>
    <row r="11" ht="12.75" customHeight="1">
      <c r="A11" s="1">
        <v>54.0</v>
      </c>
      <c r="B11" s="2">
        <v>8050120.0</v>
      </c>
      <c r="C11" s="1" t="s">
        <v>6</v>
      </c>
      <c r="D11" s="1" t="s">
        <v>35</v>
      </c>
      <c r="E11" s="1">
        <v>1.0</v>
      </c>
      <c r="F11" s="1">
        <v>0.0</v>
      </c>
      <c r="I11" s="3">
        <v>10.0</v>
      </c>
      <c r="J11" s="1" t="s">
        <v>36</v>
      </c>
      <c r="K11" s="3">
        <f>COUNTIF(F1:F3386, "10")</f>
        <v>26</v>
      </c>
      <c r="L11" s="3">
        <f>SUMIF(F1:F3386, "10", A1:A3386)</f>
        <v>60</v>
      </c>
      <c r="M11" s="3">
        <f>COUNTIFS(F1:F3386,"10",A1:A3386,"&gt;1")</f>
        <v>9</v>
      </c>
      <c r="N11" s="3">
        <f>COUNTIFS(F1:F3386,"10",A1:A3386,"=1")</f>
        <v>11</v>
      </c>
      <c r="O11" s="3">
        <f>COUNTIFS(F1:F3386,"10",A1:A3386,"=0")</f>
        <v>6</v>
      </c>
    </row>
    <row r="12" ht="12.75" customHeight="1">
      <c r="A12" s="1">
        <v>54.0</v>
      </c>
      <c r="B12" s="2">
        <v>3800341.0</v>
      </c>
      <c r="C12" s="1" t="s">
        <v>37</v>
      </c>
      <c r="D12" s="1" t="s">
        <v>38</v>
      </c>
      <c r="E12" s="1">
        <v>1.0</v>
      </c>
      <c r="F12" s="1">
        <v>0.0</v>
      </c>
      <c r="I12" s="3">
        <v>11.0</v>
      </c>
      <c r="J12" s="1" t="s">
        <v>39</v>
      </c>
      <c r="K12" s="3">
        <f>COUNTIF(F1:F3386, "11")</f>
        <v>6</v>
      </c>
      <c r="L12" s="3">
        <f>SUMIF(F1:F3386, "11", A1:A3386)</f>
        <v>58</v>
      </c>
      <c r="M12" s="3">
        <f>COUNTIFS(F1:F3386,"11",A1:A3386,"&gt;1")</f>
        <v>3</v>
      </c>
      <c r="N12" s="3">
        <f>COUNTIFS(F1:F3386,"11",A1:A3386,"=1")</f>
        <v>2</v>
      </c>
      <c r="O12" s="3">
        <f>COUNTIFS(F1:F3386,"11",A1:A3386,"=0")</f>
        <v>1</v>
      </c>
    </row>
    <row r="13" ht="12.75" customHeight="1">
      <c r="A13" s="1">
        <v>49.0</v>
      </c>
      <c r="B13" s="2">
        <v>8050122.0</v>
      </c>
      <c r="C13" s="1" t="s">
        <v>6</v>
      </c>
      <c r="D13" s="1" t="s">
        <v>40</v>
      </c>
      <c r="E13" s="1">
        <v>1.0</v>
      </c>
      <c r="F13" s="1">
        <v>0.0</v>
      </c>
    </row>
    <row r="14" ht="12.75" customHeight="1">
      <c r="A14" s="1">
        <v>46.0</v>
      </c>
      <c r="B14" s="2">
        <v>8050206.0</v>
      </c>
      <c r="C14" s="1" t="s">
        <v>6</v>
      </c>
      <c r="D14" s="1" t="s">
        <v>41</v>
      </c>
      <c r="E14" s="1">
        <v>1.0</v>
      </c>
      <c r="F14" s="1">
        <v>0.0</v>
      </c>
    </row>
    <row r="15" ht="12.75" customHeight="1">
      <c r="A15" s="1">
        <v>45.0</v>
      </c>
      <c r="B15" s="2">
        <v>8050146.0</v>
      </c>
      <c r="C15" s="1" t="s">
        <v>6</v>
      </c>
      <c r="D15" s="1" t="s">
        <v>42</v>
      </c>
      <c r="E15" s="1">
        <v>1.0</v>
      </c>
      <c r="F15" s="1">
        <v>0.0</v>
      </c>
    </row>
    <row r="16" ht="12.75" customHeight="1">
      <c r="A16" s="1">
        <v>43.0</v>
      </c>
      <c r="B16" s="2" t="s">
        <v>43</v>
      </c>
      <c r="C16" s="1" t="s">
        <v>21</v>
      </c>
      <c r="D16" s="1" t="s">
        <v>44</v>
      </c>
      <c r="E16" s="1">
        <v>1.0</v>
      </c>
      <c r="F16" s="1">
        <v>0.0</v>
      </c>
    </row>
    <row r="17" ht="12.75" customHeight="1">
      <c r="A17" s="1">
        <v>41.0</v>
      </c>
      <c r="B17" s="2">
        <v>1360309.0</v>
      </c>
      <c r="C17" s="1" t="s">
        <v>18</v>
      </c>
      <c r="D17" s="1" t="s">
        <v>45</v>
      </c>
      <c r="E17" s="1">
        <v>1.0</v>
      </c>
      <c r="F17" s="1">
        <v>0.0</v>
      </c>
    </row>
    <row r="18" ht="12.75" customHeight="1">
      <c r="A18" s="1">
        <v>39.0</v>
      </c>
      <c r="B18" s="2">
        <v>8051604.0</v>
      </c>
      <c r="C18" s="1" t="s">
        <v>6</v>
      </c>
      <c r="D18" s="1" t="s">
        <v>46</v>
      </c>
      <c r="E18" s="1">
        <v>1.0</v>
      </c>
      <c r="F18" s="1">
        <v>0.0</v>
      </c>
    </row>
    <row r="19" ht="12.75" customHeight="1">
      <c r="A19" s="1">
        <v>39.0</v>
      </c>
      <c r="B19" s="2">
        <v>3801549.0</v>
      </c>
      <c r="C19" s="1" t="s">
        <v>47</v>
      </c>
      <c r="D19" s="1" t="s">
        <v>48</v>
      </c>
      <c r="E19" s="1">
        <v>1.0</v>
      </c>
      <c r="F19" s="1">
        <v>11.0</v>
      </c>
    </row>
    <row r="20" ht="12.75" customHeight="1">
      <c r="A20" s="1">
        <v>37.0</v>
      </c>
      <c r="B20" s="2">
        <v>1660104.0</v>
      </c>
      <c r="C20" s="1" t="s">
        <v>49</v>
      </c>
      <c r="D20" s="1" t="s">
        <v>50</v>
      </c>
      <c r="E20" s="1">
        <v>1.0</v>
      </c>
      <c r="F20" s="1">
        <v>0.0</v>
      </c>
    </row>
    <row r="21" ht="12.75" customHeight="1">
      <c r="A21" s="1">
        <v>37.0</v>
      </c>
      <c r="B21" s="2">
        <v>1660202.0</v>
      </c>
      <c r="C21" s="1" t="s">
        <v>49</v>
      </c>
      <c r="D21" s="1" t="s">
        <v>51</v>
      </c>
      <c r="E21" s="1">
        <v>1.0</v>
      </c>
      <c r="F21" s="1">
        <v>0.0</v>
      </c>
      <c r="N21" s="4"/>
    </row>
    <row r="22" ht="12.75" customHeight="1">
      <c r="A22" s="1">
        <v>36.0</v>
      </c>
      <c r="B22" s="2">
        <v>1360306.0</v>
      </c>
      <c r="C22" s="1" t="s">
        <v>18</v>
      </c>
      <c r="D22" s="1" t="s">
        <v>52</v>
      </c>
      <c r="E22" s="1">
        <v>1.0</v>
      </c>
      <c r="F22" s="1">
        <v>0.0</v>
      </c>
      <c r="N22" s="4"/>
      <c r="O22" s="4"/>
      <c r="P22" s="4"/>
      <c r="Q22" s="4"/>
      <c r="R22" s="4"/>
      <c r="S22" s="4"/>
      <c r="T22" s="4"/>
      <c r="U22" s="4"/>
    </row>
    <row r="23" ht="12.75" customHeight="1">
      <c r="A23" s="1">
        <v>36.0</v>
      </c>
      <c r="B23" s="2" t="s">
        <v>53</v>
      </c>
      <c r="C23" s="1" t="s">
        <v>25</v>
      </c>
      <c r="D23" s="1" t="s">
        <v>54</v>
      </c>
      <c r="E23" s="1">
        <v>1.0</v>
      </c>
      <c r="F23" s="1">
        <v>0.0</v>
      </c>
      <c r="K23" s="5"/>
      <c r="M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1">
        <v>35.0</v>
      </c>
      <c r="B24" s="2">
        <v>3801250.0</v>
      </c>
      <c r="C24" s="1" t="s">
        <v>55</v>
      </c>
      <c r="D24" s="1" t="s">
        <v>56</v>
      </c>
      <c r="E24" s="1">
        <v>1.0</v>
      </c>
      <c r="F24" s="1">
        <v>0.0</v>
      </c>
      <c r="K24" s="4"/>
      <c r="L24" s="5"/>
    </row>
    <row r="25" ht="12.75" customHeight="1">
      <c r="A25" s="1">
        <v>34.0</v>
      </c>
      <c r="B25" s="2">
        <v>3801514.0</v>
      </c>
      <c r="C25" s="1" t="s">
        <v>21</v>
      </c>
      <c r="D25" s="1" t="s">
        <v>57</v>
      </c>
      <c r="E25" s="1">
        <v>1.0</v>
      </c>
      <c r="F25" s="1">
        <v>0.0</v>
      </c>
      <c r="K25" s="4"/>
      <c r="L25" s="5"/>
    </row>
    <row r="26" ht="12.75" customHeight="1">
      <c r="A26" s="1">
        <v>33.0</v>
      </c>
      <c r="B26" s="2">
        <v>3800344.0</v>
      </c>
      <c r="C26" s="1" t="s">
        <v>37</v>
      </c>
      <c r="D26" s="1" t="s">
        <v>58</v>
      </c>
      <c r="E26" s="1">
        <v>1.0</v>
      </c>
      <c r="F26" s="1">
        <v>0.0</v>
      </c>
    </row>
    <row r="27" ht="12.75" customHeight="1">
      <c r="A27" s="1">
        <v>33.0</v>
      </c>
      <c r="B27" s="2">
        <v>1130872.0</v>
      </c>
      <c r="C27" s="1" t="s">
        <v>59</v>
      </c>
      <c r="D27" s="1" t="s">
        <v>60</v>
      </c>
      <c r="E27" s="1">
        <v>1.0</v>
      </c>
      <c r="F27" s="1">
        <v>8.0</v>
      </c>
    </row>
    <row r="28" ht="14.25" customHeight="1">
      <c r="A28" s="1">
        <v>31.0</v>
      </c>
      <c r="B28" s="2">
        <v>8050612.0</v>
      </c>
      <c r="C28" s="1" t="s">
        <v>6</v>
      </c>
      <c r="D28" s="1" t="s">
        <v>61</v>
      </c>
      <c r="E28" s="1">
        <v>1.0</v>
      </c>
      <c r="F28" s="1">
        <v>0.0</v>
      </c>
    </row>
    <row r="29" ht="12.75" customHeight="1">
      <c r="A29" s="1">
        <v>29.0</v>
      </c>
      <c r="B29" s="2">
        <v>3802570.0</v>
      </c>
      <c r="C29" s="1" t="s">
        <v>62</v>
      </c>
      <c r="D29" s="1" t="s">
        <v>63</v>
      </c>
      <c r="E29" s="1">
        <v>1.0</v>
      </c>
      <c r="F29" s="1">
        <v>0.0</v>
      </c>
      <c r="J29" s="5"/>
    </row>
    <row r="30" ht="12.75" customHeight="1">
      <c r="A30" s="1">
        <v>29.0</v>
      </c>
      <c r="B30" s="2" t="s">
        <v>64</v>
      </c>
      <c r="C30" s="1" t="s">
        <v>25</v>
      </c>
      <c r="D30" s="1" t="s">
        <v>65</v>
      </c>
      <c r="E30" s="1">
        <v>1.0</v>
      </c>
      <c r="F30" s="1">
        <v>0.0</v>
      </c>
    </row>
    <row r="31" ht="12.75" customHeight="1">
      <c r="A31" s="1">
        <v>29.0</v>
      </c>
      <c r="B31" s="2">
        <v>1660203.0</v>
      </c>
      <c r="C31" s="1" t="s">
        <v>66</v>
      </c>
      <c r="D31" s="1" t="s">
        <v>67</v>
      </c>
      <c r="E31" s="1">
        <v>1.0</v>
      </c>
      <c r="F31" s="1">
        <v>0.0</v>
      </c>
    </row>
    <row r="32" ht="12.75" customHeight="1">
      <c r="A32" s="1">
        <v>29.0</v>
      </c>
      <c r="B32" s="2">
        <v>3800337.0</v>
      </c>
      <c r="C32" s="1" t="s">
        <v>37</v>
      </c>
      <c r="D32" s="1" t="s">
        <v>68</v>
      </c>
      <c r="E32" s="1">
        <v>1.0</v>
      </c>
      <c r="F32" s="1">
        <v>0.0</v>
      </c>
    </row>
    <row r="33" ht="12.75" customHeight="1">
      <c r="A33" s="1">
        <v>29.0</v>
      </c>
      <c r="B33" s="2">
        <v>3801537.0</v>
      </c>
      <c r="C33" s="1" t="s">
        <v>21</v>
      </c>
      <c r="D33" s="1" t="s">
        <v>69</v>
      </c>
      <c r="E33" s="1">
        <v>1.0</v>
      </c>
      <c r="F33" s="1">
        <v>0.0</v>
      </c>
    </row>
    <row r="34" ht="12.75" customHeight="1">
      <c r="A34" s="1">
        <v>28.0</v>
      </c>
      <c r="B34" s="2">
        <v>3801538.0</v>
      </c>
      <c r="C34" s="1" t="s">
        <v>47</v>
      </c>
      <c r="D34" s="1" t="s">
        <v>70</v>
      </c>
      <c r="E34" s="1">
        <v>1.0</v>
      </c>
      <c r="F34" s="1">
        <v>0.0</v>
      </c>
    </row>
    <row r="35" ht="12.75" customHeight="1">
      <c r="A35" s="1">
        <v>28.0</v>
      </c>
      <c r="B35" s="2">
        <v>3802051.0</v>
      </c>
      <c r="C35" s="1" t="s">
        <v>25</v>
      </c>
      <c r="D35" s="1" t="s">
        <v>71</v>
      </c>
      <c r="E35" s="1">
        <v>1.0</v>
      </c>
      <c r="F35" s="1">
        <v>0.0</v>
      </c>
    </row>
    <row r="36" ht="12.75" customHeight="1">
      <c r="A36" s="1">
        <v>27.0</v>
      </c>
      <c r="B36" s="2">
        <v>8050148.0</v>
      </c>
      <c r="C36" s="1" t="s">
        <v>6</v>
      </c>
      <c r="D36" s="1" t="s">
        <v>72</v>
      </c>
      <c r="E36" s="1">
        <v>1.0</v>
      </c>
      <c r="F36" s="1">
        <v>0.0</v>
      </c>
    </row>
    <row r="37" ht="12.75" customHeight="1">
      <c r="A37" s="1">
        <v>27.0</v>
      </c>
      <c r="B37" s="2">
        <v>8050153.0</v>
      </c>
      <c r="C37" s="1" t="s">
        <v>6</v>
      </c>
      <c r="D37" s="1" t="s">
        <v>73</v>
      </c>
      <c r="E37" s="1">
        <v>1.0</v>
      </c>
      <c r="F37" s="1">
        <v>0.0</v>
      </c>
    </row>
    <row r="38" ht="12.75" customHeight="1">
      <c r="A38" s="1">
        <v>26.0</v>
      </c>
      <c r="B38" s="2">
        <v>3801539.0</v>
      </c>
      <c r="C38" s="1" t="s">
        <v>47</v>
      </c>
      <c r="D38" s="1" t="s">
        <v>74</v>
      </c>
      <c r="E38" s="1">
        <v>1.0</v>
      </c>
      <c r="F38" s="1">
        <v>0.0</v>
      </c>
    </row>
    <row r="39" ht="12.75" customHeight="1">
      <c r="A39" s="1">
        <v>26.0</v>
      </c>
      <c r="B39" s="2">
        <v>3801508.0</v>
      </c>
      <c r="C39" s="1" t="s">
        <v>21</v>
      </c>
      <c r="D39" s="1" t="s">
        <v>75</v>
      </c>
      <c r="E39" s="1">
        <v>1.0</v>
      </c>
      <c r="F39" s="1">
        <v>0.0</v>
      </c>
    </row>
    <row r="40" ht="12.75" customHeight="1">
      <c r="A40" s="1">
        <v>26.0</v>
      </c>
      <c r="B40" s="2">
        <v>3801901.0</v>
      </c>
      <c r="C40" s="1" t="s">
        <v>76</v>
      </c>
      <c r="D40" s="1" t="s">
        <v>77</v>
      </c>
      <c r="E40" s="1">
        <v>1.0</v>
      </c>
      <c r="F40" s="1">
        <v>0.0</v>
      </c>
    </row>
    <row r="41" ht="12.75" customHeight="1">
      <c r="A41" s="1">
        <v>26.0</v>
      </c>
      <c r="B41" s="2">
        <v>1660206.0</v>
      </c>
      <c r="C41" s="1" t="s">
        <v>66</v>
      </c>
      <c r="D41" s="1" t="s">
        <v>78</v>
      </c>
      <c r="E41" s="1">
        <v>1.0</v>
      </c>
      <c r="F41" s="1">
        <v>0.0</v>
      </c>
    </row>
    <row r="42" ht="12.75" customHeight="1">
      <c r="A42" s="1">
        <v>26.0</v>
      </c>
      <c r="B42" s="2">
        <v>3800350.0</v>
      </c>
      <c r="C42" s="1" t="s">
        <v>37</v>
      </c>
      <c r="D42" s="1" t="s">
        <v>79</v>
      </c>
      <c r="E42" s="1">
        <v>1.0</v>
      </c>
      <c r="F42" s="1">
        <v>0.0</v>
      </c>
    </row>
    <row r="43" ht="12.75" customHeight="1">
      <c r="A43" s="1">
        <v>26.0</v>
      </c>
      <c r="B43" s="2">
        <v>5760206.0</v>
      </c>
      <c r="C43" s="1" t="s">
        <v>80</v>
      </c>
      <c r="D43" s="1" t="s">
        <v>81</v>
      </c>
      <c r="E43" s="1">
        <v>1.0</v>
      </c>
      <c r="F43" s="1">
        <v>0.0</v>
      </c>
    </row>
    <row r="44" ht="12.75" customHeight="1">
      <c r="A44" s="1">
        <v>26.0</v>
      </c>
      <c r="B44" s="2">
        <v>8050151.0</v>
      </c>
      <c r="C44" s="1" t="s">
        <v>6</v>
      </c>
      <c r="D44" s="1" t="s">
        <v>82</v>
      </c>
      <c r="E44" s="1">
        <v>1.0</v>
      </c>
      <c r="F44" s="1">
        <v>0.0</v>
      </c>
    </row>
    <row r="45" ht="12.75" customHeight="1">
      <c r="A45" s="1">
        <v>26.0</v>
      </c>
      <c r="B45" s="2" t="s">
        <v>83</v>
      </c>
      <c r="C45" s="1" t="s">
        <v>84</v>
      </c>
      <c r="D45" s="1" t="s">
        <v>85</v>
      </c>
      <c r="E45" s="1">
        <v>1.0</v>
      </c>
      <c r="F45" s="1">
        <v>7.0</v>
      </c>
    </row>
    <row r="46" ht="12.75" customHeight="1">
      <c r="A46" s="1">
        <v>26.0</v>
      </c>
      <c r="B46" s="2" t="s">
        <v>86</v>
      </c>
      <c r="C46" s="1" t="s">
        <v>87</v>
      </c>
      <c r="D46" s="1" t="s">
        <v>88</v>
      </c>
      <c r="E46" s="1">
        <v>1.0</v>
      </c>
      <c r="F46" s="1">
        <v>8.0</v>
      </c>
    </row>
    <row r="47" ht="12.75" customHeight="1">
      <c r="A47" s="1">
        <v>25.0</v>
      </c>
      <c r="B47" s="2">
        <v>3801214.0</v>
      </c>
      <c r="C47" s="1" t="s">
        <v>89</v>
      </c>
      <c r="D47" s="1" t="s">
        <v>90</v>
      </c>
      <c r="E47" s="1">
        <v>1.0</v>
      </c>
      <c r="F47" s="1">
        <v>0.0</v>
      </c>
    </row>
    <row r="48" ht="12.75" customHeight="1">
      <c r="A48" s="1">
        <v>25.0</v>
      </c>
      <c r="B48" s="2">
        <v>160001.0</v>
      </c>
      <c r="C48" s="1" t="s">
        <v>91</v>
      </c>
      <c r="D48" s="1" t="s">
        <v>92</v>
      </c>
      <c r="E48" s="1">
        <v>1.0</v>
      </c>
      <c r="F48" s="1">
        <v>8.0</v>
      </c>
    </row>
    <row r="49" ht="12.75" customHeight="1">
      <c r="A49" s="1">
        <v>24.0</v>
      </c>
      <c r="B49" s="2" t="s">
        <v>93</v>
      </c>
      <c r="C49" s="1" t="s">
        <v>94</v>
      </c>
      <c r="D49" s="1" t="s">
        <v>95</v>
      </c>
      <c r="E49" s="1">
        <v>1.0</v>
      </c>
      <c r="F49" s="1">
        <v>0.0</v>
      </c>
    </row>
    <row r="50" ht="12.75" customHeight="1">
      <c r="A50" s="1">
        <v>24.0</v>
      </c>
      <c r="B50" s="2">
        <v>3801904.0</v>
      </c>
      <c r="C50" s="1" t="s">
        <v>25</v>
      </c>
      <c r="D50" s="1" t="s">
        <v>96</v>
      </c>
      <c r="E50" s="1">
        <v>1.0</v>
      </c>
      <c r="F50" s="1">
        <v>0.0</v>
      </c>
    </row>
    <row r="51" ht="12.75" customHeight="1">
      <c r="A51" s="1">
        <v>24.0</v>
      </c>
      <c r="B51" s="2">
        <v>1660205.0</v>
      </c>
      <c r="C51" s="1" t="s">
        <v>66</v>
      </c>
      <c r="D51" s="1" t="s">
        <v>97</v>
      </c>
      <c r="E51" s="1">
        <v>1.0</v>
      </c>
      <c r="F51" s="1">
        <v>1.0</v>
      </c>
    </row>
    <row r="52" ht="12.75" customHeight="1">
      <c r="A52" s="1">
        <v>23.0</v>
      </c>
      <c r="B52" s="2">
        <v>3801213.0</v>
      </c>
      <c r="C52" s="1" t="s">
        <v>98</v>
      </c>
      <c r="D52" s="1" t="s">
        <v>99</v>
      </c>
      <c r="E52" s="1">
        <v>1.0</v>
      </c>
      <c r="F52" s="1">
        <v>0.0</v>
      </c>
    </row>
    <row r="53" ht="12.75" customHeight="1">
      <c r="A53" s="1">
        <v>23.0</v>
      </c>
      <c r="B53" s="2">
        <v>3805015.0</v>
      </c>
      <c r="C53" s="1" t="s">
        <v>62</v>
      </c>
      <c r="D53" s="1" t="s">
        <v>100</v>
      </c>
      <c r="E53" s="1">
        <v>1.0</v>
      </c>
      <c r="F53" s="1">
        <v>1.0</v>
      </c>
    </row>
    <row r="54" ht="12.75" customHeight="1">
      <c r="A54" s="1">
        <v>23.0</v>
      </c>
      <c r="B54" s="2">
        <v>3802510.0</v>
      </c>
      <c r="C54" s="1" t="s">
        <v>101</v>
      </c>
      <c r="D54" s="1" t="s">
        <v>102</v>
      </c>
      <c r="E54" s="1">
        <v>1.0</v>
      </c>
      <c r="F54" s="1">
        <v>7.0</v>
      </c>
    </row>
    <row r="55" ht="12.75" customHeight="1">
      <c r="A55" s="1">
        <v>22.0</v>
      </c>
      <c r="B55" s="2" t="s">
        <v>103</v>
      </c>
      <c r="C55" s="1" t="s">
        <v>21</v>
      </c>
      <c r="D55" s="1" t="s">
        <v>104</v>
      </c>
      <c r="E55" s="1">
        <v>1.0</v>
      </c>
      <c r="F55" s="1">
        <v>0.0</v>
      </c>
    </row>
    <row r="56" ht="12.75" customHeight="1">
      <c r="A56" s="1">
        <v>22.0</v>
      </c>
      <c r="B56" s="2">
        <v>3801267.0</v>
      </c>
      <c r="C56" s="1" t="s">
        <v>55</v>
      </c>
      <c r="D56" s="1" t="s">
        <v>105</v>
      </c>
      <c r="E56" s="1">
        <v>1.0</v>
      </c>
      <c r="F56" s="1">
        <v>0.0</v>
      </c>
    </row>
    <row r="57" ht="12.75" customHeight="1">
      <c r="A57" s="1">
        <v>22.0</v>
      </c>
      <c r="B57" s="2">
        <v>3802053.0</v>
      </c>
      <c r="C57" s="1" t="s">
        <v>25</v>
      </c>
      <c r="D57" s="1" t="s">
        <v>106</v>
      </c>
      <c r="E57" s="1">
        <v>1.0</v>
      </c>
      <c r="F57" s="1">
        <v>0.0</v>
      </c>
    </row>
    <row r="58" ht="12.75" customHeight="1">
      <c r="A58" s="1">
        <v>22.0</v>
      </c>
      <c r="B58" s="2">
        <v>600079.0</v>
      </c>
      <c r="C58" s="1" t="s">
        <v>107</v>
      </c>
      <c r="D58" s="1" t="s">
        <v>108</v>
      </c>
      <c r="E58" s="1">
        <v>1.0</v>
      </c>
      <c r="F58" s="1">
        <v>8.0</v>
      </c>
    </row>
    <row r="59" ht="12.75" customHeight="1">
      <c r="A59" s="1">
        <v>21.0</v>
      </c>
      <c r="B59" s="2">
        <v>4490102.0</v>
      </c>
      <c r="C59" s="1" t="s">
        <v>109</v>
      </c>
      <c r="D59" s="1" t="s">
        <v>110</v>
      </c>
      <c r="E59" s="1">
        <v>1.0</v>
      </c>
      <c r="F59" s="1">
        <v>0.0</v>
      </c>
    </row>
    <row r="60" ht="12.75" customHeight="1">
      <c r="A60" s="1">
        <v>20.0</v>
      </c>
      <c r="B60" s="2">
        <v>3801502.0</v>
      </c>
      <c r="C60" s="1" t="s">
        <v>21</v>
      </c>
      <c r="D60" s="1" t="s">
        <v>111</v>
      </c>
      <c r="E60" s="1">
        <v>1.0</v>
      </c>
      <c r="F60" s="1">
        <v>0.0</v>
      </c>
    </row>
    <row r="61" ht="12.75" customHeight="1">
      <c r="A61" s="1">
        <v>20.0</v>
      </c>
      <c r="B61" s="2">
        <v>7090104.0</v>
      </c>
      <c r="C61" s="1" t="s">
        <v>112</v>
      </c>
      <c r="D61" s="1" t="s">
        <v>113</v>
      </c>
      <c r="E61" s="1">
        <v>1.0</v>
      </c>
      <c r="F61" s="1">
        <v>0.0</v>
      </c>
    </row>
    <row r="62" ht="12.75" customHeight="1">
      <c r="A62" s="1">
        <v>20.0</v>
      </c>
      <c r="B62" s="2">
        <v>3801251.0</v>
      </c>
      <c r="C62" s="1" t="s">
        <v>55</v>
      </c>
      <c r="D62" s="1" t="s">
        <v>114</v>
      </c>
      <c r="E62" s="1">
        <v>1.0</v>
      </c>
      <c r="F62" s="1">
        <v>0.0</v>
      </c>
    </row>
    <row r="63" ht="12.75" customHeight="1">
      <c r="A63" s="1">
        <v>20.0</v>
      </c>
      <c r="B63" s="2">
        <v>9370100.0</v>
      </c>
      <c r="C63" s="1" t="s">
        <v>115</v>
      </c>
      <c r="D63" s="1" t="s">
        <v>116</v>
      </c>
      <c r="E63" s="1">
        <v>1.0</v>
      </c>
      <c r="F63" s="1">
        <v>1.0</v>
      </c>
    </row>
    <row r="64" ht="12.75" customHeight="1">
      <c r="A64" s="1">
        <v>19.0</v>
      </c>
      <c r="B64" s="2">
        <v>1990102.0</v>
      </c>
      <c r="C64" s="1" t="s">
        <v>117</v>
      </c>
      <c r="D64" s="1" t="s">
        <v>118</v>
      </c>
      <c r="E64" s="1">
        <v>1.0</v>
      </c>
      <c r="F64" s="1">
        <v>0.0</v>
      </c>
    </row>
    <row r="65" ht="12.75" customHeight="1">
      <c r="A65" s="1">
        <v>19.0</v>
      </c>
      <c r="B65" s="2">
        <v>3801563.0</v>
      </c>
      <c r="C65" s="1" t="s">
        <v>21</v>
      </c>
      <c r="D65" s="1" t="s">
        <v>119</v>
      </c>
      <c r="E65" s="1">
        <v>1.0</v>
      </c>
      <c r="F65" s="1">
        <v>0.0</v>
      </c>
    </row>
    <row r="66" ht="12.75" customHeight="1">
      <c r="A66" s="1">
        <v>19.0</v>
      </c>
      <c r="B66" s="2">
        <v>3801545.0</v>
      </c>
      <c r="C66" s="1" t="s">
        <v>21</v>
      </c>
      <c r="D66" s="1" t="s">
        <v>120</v>
      </c>
      <c r="E66" s="1">
        <v>1.0</v>
      </c>
      <c r="F66" s="1">
        <v>0.0</v>
      </c>
    </row>
    <row r="67" ht="12.75" customHeight="1">
      <c r="A67" s="1">
        <v>18.0</v>
      </c>
      <c r="B67" s="2">
        <v>3802509.0</v>
      </c>
      <c r="C67" s="1" t="s">
        <v>121</v>
      </c>
      <c r="D67" s="1" t="s">
        <v>122</v>
      </c>
      <c r="E67" s="1">
        <v>1.0</v>
      </c>
      <c r="F67" s="1">
        <v>0.0</v>
      </c>
    </row>
    <row r="68" ht="12.75" customHeight="1">
      <c r="A68" s="1">
        <v>18.0</v>
      </c>
      <c r="B68" s="2">
        <v>5760204.0</v>
      </c>
      <c r="C68" s="1" t="s">
        <v>80</v>
      </c>
      <c r="D68" s="1" t="s">
        <v>123</v>
      </c>
      <c r="E68" s="1">
        <v>1.0</v>
      </c>
      <c r="F68" s="1">
        <v>0.0</v>
      </c>
    </row>
    <row r="69" ht="12.75" customHeight="1">
      <c r="A69" s="1">
        <v>17.0</v>
      </c>
      <c r="B69" s="2">
        <v>3801505.0</v>
      </c>
      <c r="C69" s="1" t="s">
        <v>21</v>
      </c>
      <c r="D69" s="1" t="s">
        <v>124</v>
      </c>
      <c r="E69" s="1">
        <v>1.0</v>
      </c>
      <c r="F69" s="1">
        <v>0.0</v>
      </c>
    </row>
    <row r="70" ht="12.75" customHeight="1">
      <c r="A70" s="1">
        <v>17.0</v>
      </c>
      <c r="B70" s="2" t="s">
        <v>125</v>
      </c>
      <c r="C70" s="1" t="s">
        <v>126</v>
      </c>
      <c r="D70" s="1" t="s">
        <v>127</v>
      </c>
      <c r="E70" s="1">
        <v>1.0</v>
      </c>
      <c r="F70" s="1">
        <v>0.0</v>
      </c>
    </row>
    <row r="71" ht="12.75" customHeight="1">
      <c r="A71" s="1">
        <v>17.0</v>
      </c>
      <c r="B71" s="2">
        <v>3801260.0</v>
      </c>
      <c r="C71" s="1" t="s">
        <v>55</v>
      </c>
      <c r="D71" s="1" t="s">
        <v>128</v>
      </c>
      <c r="E71" s="1">
        <v>1.0</v>
      </c>
      <c r="F71" s="1">
        <v>0.0</v>
      </c>
    </row>
    <row r="72" ht="12.75" customHeight="1">
      <c r="A72" s="1">
        <v>17.0</v>
      </c>
      <c r="B72" s="2">
        <v>160000.0</v>
      </c>
      <c r="C72" s="1" t="s">
        <v>91</v>
      </c>
      <c r="D72" s="1" t="s">
        <v>129</v>
      </c>
      <c r="E72" s="1">
        <v>1.0</v>
      </c>
      <c r="F72" s="1">
        <v>1.0</v>
      </c>
    </row>
    <row r="73" ht="12.75" customHeight="1">
      <c r="A73" s="1">
        <v>16.0</v>
      </c>
      <c r="B73" s="2" t="s">
        <v>130</v>
      </c>
      <c r="C73" s="1" t="s">
        <v>126</v>
      </c>
      <c r="D73" s="1" t="s">
        <v>131</v>
      </c>
      <c r="E73" s="1">
        <v>1.0</v>
      </c>
      <c r="F73" s="1">
        <v>0.0</v>
      </c>
    </row>
    <row r="74" ht="12.75" customHeight="1">
      <c r="A74" s="1">
        <v>16.0</v>
      </c>
      <c r="B74" s="2" t="s">
        <v>132</v>
      </c>
      <c r="C74" s="1" t="s">
        <v>133</v>
      </c>
      <c r="D74" s="1" t="s">
        <v>134</v>
      </c>
      <c r="E74" s="1">
        <v>1.0</v>
      </c>
      <c r="F74" s="1">
        <v>0.0</v>
      </c>
    </row>
    <row r="75" ht="12.75" customHeight="1">
      <c r="A75" s="1">
        <v>16.0</v>
      </c>
      <c r="B75" s="2">
        <v>8050608.0</v>
      </c>
      <c r="C75" s="1" t="s">
        <v>6</v>
      </c>
      <c r="D75" s="1" t="s">
        <v>135</v>
      </c>
      <c r="E75" s="1">
        <v>1.0</v>
      </c>
      <c r="F75" s="1">
        <v>0.0</v>
      </c>
    </row>
    <row r="76" ht="12.75" customHeight="1">
      <c r="A76" s="1">
        <v>16.0</v>
      </c>
      <c r="B76" s="2">
        <v>8050502.0</v>
      </c>
      <c r="C76" s="1" t="s">
        <v>6</v>
      </c>
      <c r="D76" s="1" t="s">
        <v>136</v>
      </c>
      <c r="E76" s="1">
        <v>1.0</v>
      </c>
      <c r="F76" s="1">
        <v>0.0</v>
      </c>
    </row>
    <row r="77" ht="12.75" customHeight="1">
      <c r="A77" s="1">
        <v>16.0</v>
      </c>
      <c r="B77" s="2">
        <v>3802054.0</v>
      </c>
      <c r="C77" s="1" t="s">
        <v>25</v>
      </c>
      <c r="D77" s="1" t="s">
        <v>137</v>
      </c>
      <c r="E77" s="1">
        <v>1.0</v>
      </c>
      <c r="F77" s="1">
        <v>0.0</v>
      </c>
    </row>
    <row r="78" ht="12.75" customHeight="1">
      <c r="A78" s="1">
        <v>16.0</v>
      </c>
      <c r="B78" s="2">
        <v>1660204.0</v>
      </c>
      <c r="C78" s="1" t="s">
        <v>49</v>
      </c>
      <c r="D78" s="1" t="s">
        <v>138</v>
      </c>
      <c r="E78" s="1">
        <v>1.0</v>
      </c>
      <c r="F78" s="1">
        <v>1.0</v>
      </c>
    </row>
    <row r="79" ht="12.75" customHeight="1">
      <c r="A79" s="1">
        <v>15.0</v>
      </c>
      <c r="B79" s="2">
        <v>3801550.0</v>
      </c>
      <c r="C79" s="1" t="s">
        <v>21</v>
      </c>
      <c r="D79" s="1" t="s">
        <v>139</v>
      </c>
      <c r="E79" s="1">
        <v>1.0</v>
      </c>
      <c r="F79" s="1">
        <v>0.0</v>
      </c>
    </row>
    <row r="80" ht="12.75" customHeight="1">
      <c r="A80" s="1">
        <v>15.0</v>
      </c>
      <c r="B80" s="2" t="s">
        <v>140</v>
      </c>
      <c r="C80" s="1" t="s">
        <v>25</v>
      </c>
      <c r="D80" s="1" t="s">
        <v>141</v>
      </c>
      <c r="E80" s="1">
        <v>1.0</v>
      </c>
      <c r="F80" s="1">
        <v>0.0</v>
      </c>
    </row>
    <row r="81" ht="12.75" customHeight="1">
      <c r="A81" s="1">
        <v>15.0</v>
      </c>
      <c r="B81" s="2" t="s">
        <v>142</v>
      </c>
      <c r="C81" s="1" t="s">
        <v>143</v>
      </c>
      <c r="D81" s="1" t="s">
        <v>144</v>
      </c>
      <c r="E81" s="1">
        <v>1.0</v>
      </c>
      <c r="F81" s="1">
        <v>0.0</v>
      </c>
    </row>
    <row r="82" ht="12.75" customHeight="1">
      <c r="A82" s="1">
        <v>15.0</v>
      </c>
      <c r="B82" s="2">
        <v>3801551.0</v>
      </c>
      <c r="C82" s="1" t="s">
        <v>145</v>
      </c>
      <c r="D82" s="1" t="s">
        <v>146</v>
      </c>
      <c r="E82" s="1">
        <v>1.0</v>
      </c>
      <c r="F82" s="1">
        <v>0.0</v>
      </c>
    </row>
    <row r="83" ht="12.75" customHeight="1">
      <c r="A83" s="1">
        <v>15.0</v>
      </c>
      <c r="B83" s="2">
        <v>3801211.0</v>
      </c>
      <c r="C83" s="1" t="s">
        <v>89</v>
      </c>
      <c r="D83" s="1" t="s">
        <v>147</v>
      </c>
      <c r="E83" s="1">
        <v>1.0</v>
      </c>
      <c r="F83" s="1">
        <v>0.0</v>
      </c>
    </row>
    <row r="84" ht="12.75" customHeight="1">
      <c r="A84" s="1">
        <v>15.0</v>
      </c>
      <c r="B84" s="2">
        <v>8050114.0</v>
      </c>
      <c r="C84" s="1" t="s">
        <v>6</v>
      </c>
      <c r="D84" s="1" t="s">
        <v>148</v>
      </c>
      <c r="E84" s="1">
        <v>1.0</v>
      </c>
      <c r="F84" s="1">
        <v>0.0</v>
      </c>
    </row>
    <row r="85" ht="12.75" customHeight="1">
      <c r="A85" s="1">
        <v>15.0</v>
      </c>
      <c r="B85" s="2" t="s">
        <v>149</v>
      </c>
      <c r="C85" s="1" t="s">
        <v>150</v>
      </c>
      <c r="D85" s="1" t="s">
        <v>151</v>
      </c>
      <c r="E85" s="1">
        <v>1.0</v>
      </c>
      <c r="F85" s="1">
        <v>0.0</v>
      </c>
    </row>
    <row r="86" ht="12.75" customHeight="1">
      <c r="A86" s="1">
        <v>15.0</v>
      </c>
      <c r="B86" s="2">
        <v>3801963.0</v>
      </c>
      <c r="C86" s="1" t="s">
        <v>152</v>
      </c>
      <c r="D86" s="1" t="s">
        <v>153</v>
      </c>
      <c r="E86" s="1">
        <v>1.0</v>
      </c>
      <c r="F86" s="1">
        <v>1.0</v>
      </c>
    </row>
    <row r="87" ht="12.75" customHeight="1">
      <c r="A87" s="1">
        <v>15.0</v>
      </c>
      <c r="B87" s="2" t="s">
        <v>154</v>
      </c>
      <c r="C87" s="1" t="s">
        <v>155</v>
      </c>
      <c r="D87" s="1" t="s">
        <v>156</v>
      </c>
      <c r="E87" s="1">
        <v>1.0</v>
      </c>
      <c r="F87" s="1">
        <v>7.0</v>
      </c>
    </row>
    <row r="88" ht="12.75" customHeight="1">
      <c r="A88" s="1">
        <v>15.0</v>
      </c>
      <c r="B88" s="2" t="s">
        <v>157</v>
      </c>
      <c r="C88" s="1" t="s">
        <v>158</v>
      </c>
      <c r="D88" s="1" t="s">
        <v>159</v>
      </c>
      <c r="E88" s="1">
        <v>1.0</v>
      </c>
      <c r="F88" s="1">
        <v>10.0</v>
      </c>
    </row>
    <row r="89" ht="12.75" customHeight="1">
      <c r="A89" s="1">
        <v>14.0</v>
      </c>
      <c r="B89" s="2" t="s">
        <v>160</v>
      </c>
      <c r="C89" s="1" t="s">
        <v>21</v>
      </c>
      <c r="D89" s="1" t="s">
        <v>161</v>
      </c>
      <c r="E89" s="1">
        <v>1.0</v>
      </c>
      <c r="F89" s="1">
        <v>0.0</v>
      </c>
    </row>
    <row r="90" ht="12.75" customHeight="1">
      <c r="A90" s="1">
        <v>14.0</v>
      </c>
      <c r="B90" s="2">
        <v>3805010.0</v>
      </c>
      <c r="C90" s="1" t="s">
        <v>162</v>
      </c>
      <c r="D90" s="1" t="s">
        <v>163</v>
      </c>
      <c r="E90" s="1">
        <v>1.0</v>
      </c>
      <c r="F90" s="1">
        <v>0.0</v>
      </c>
    </row>
    <row r="91" ht="12.75" customHeight="1">
      <c r="A91" s="1">
        <v>14.0</v>
      </c>
      <c r="B91" s="2">
        <v>3800343.0</v>
      </c>
      <c r="C91" s="1" t="s">
        <v>37</v>
      </c>
      <c r="D91" s="1" t="s">
        <v>164</v>
      </c>
      <c r="E91" s="1">
        <v>1.0</v>
      </c>
      <c r="F91" s="1">
        <v>0.0</v>
      </c>
    </row>
    <row r="92" ht="12.75" customHeight="1">
      <c r="A92" s="1">
        <v>14.0</v>
      </c>
      <c r="B92" s="2">
        <v>3801552.0</v>
      </c>
      <c r="C92" s="1" t="s">
        <v>47</v>
      </c>
      <c r="D92" s="1" t="s">
        <v>165</v>
      </c>
      <c r="E92" s="1">
        <v>1.0</v>
      </c>
      <c r="F92" s="1">
        <v>11.0</v>
      </c>
    </row>
    <row r="93" ht="12.75" customHeight="1">
      <c r="A93" s="1">
        <v>13.0</v>
      </c>
      <c r="B93" s="2">
        <v>3801500.0</v>
      </c>
      <c r="C93" s="1" t="s">
        <v>21</v>
      </c>
      <c r="D93" s="1" t="s">
        <v>166</v>
      </c>
      <c r="E93" s="1">
        <v>1.0</v>
      </c>
      <c r="F93" s="1">
        <v>0.0</v>
      </c>
    </row>
    <row r="94" ht="12.75" customHeight="1">
      <c r="A94" s="1">
        <v>13.0</v>
      </c>
      <c r="B94" s="2">
        <v>5090204.0</v>
      </c>
      <c r="C94" s="1" t="s">
        <v>167</v>
      </c>
      <c r="D94" s="1" t="s">
        <v>168</v>
      </c>
      <c r="E94" s="1">
        <v>1.0</v>
      </c>
      <c r="F94" s="1">
        <v>0.0</v>
      </c>
    </row>
    <row r="95" ht="12.75" customHeight="1">
      <c r="A95" s="1">
        <v>13.0</v>
      </c>
      <c r="B95" s="2">
        <v>3802061.0</v>
      </c>
      <c r="C95" s="1" t="s">
        <v>25</v>
      </c>
      <c r="D95" s="1" t="s">
        <v>169</v>
      </c>
      <c r="E95" s="1">
        <v>1.0</v>
      </c>
      <c r="F95" s="1">
        <v>0.0</v>
      </c>
    </row>
    <row r="96" ht="12.75" customHeight="1">
      <c r="A96" s="1">
        <v>13.0</v>
      </c>
      <c r="B96" s="2" t="s">
        <v>170</v>
      </c>
      <c r="C96" s="1" t="s">
        <v>171</v>
      </c>
      <c r="D96" s="1" t="s">
        <v>172</v>
      </c>
      <c r="E96" s="1">
        <v>1.0</v>
      </c>
      <c r="F96" s="1">
        <v>8.0</v>
      </c>
    </row>
    <row r="97" ht="12.75" customHeight="1">
      <c r="A97" s="1">
        <v>12.0</v>
      </c>
      <c r="B97" s="2">
        <v>1990101.0</v>
      </c>
      <c r="C97" s="1" t="s">
        <v>117</v>
      </c>
      <c r="D97" s="6">
        <v>101.0</v>
      </c>
      <c r="E97" s="1">
        <v>1.0</v>
      </c>
      <c r="F97" s="1">
        <v>0.0</v>
      </c>
    </row>
    <row r="98" ht="12.75" customHeight="1">
      <c r="A98" s="1">
        <v>12.0</v>
      </c>
      <c r="B98" s="2">
        <v>8821641.0</v>
      </c>
      <c r="C98" s="1" t="s">
        <v>173</v>
      </c>
      <c r="D98" s="1" t="s">
        <v>174</v>
      </c>
      <c r="E98" s="1">
        <v>1.0</v>
      </c>
      <c r="F98" s="1">
        <v>0.0</v>
      </c>
    </row>
    <row r="99" ht="12.75" customHeight="1">
      <c r="A99" s="1">
        <v>12.0</v>
      </c>
      <c r="B99" s="2">
        <v>3801520.0</v>
      </c>
      <c r="C99" s="1" t="s">
        <v>21</v>
      </c>
      <c r="D99" s="1" t="s">
        <v>175</v>
      </c>
      <c r="E99" s="1">
        <v>1.0</v>
      </c>
      <c r="F99" s="1">
        <v>0.0</v>
      </c>
    </row>
    <row r="100" ht="12.75" customHeight="1">
      <c r="A100" s="1">
        <v>12.0</v>
      </c>
      <c r="B100" s="2">
        <v>1130839.0</v>
      </c>
      <c r="C100" s="1" t="s">
        <v>176</v>
      </c>
      <c r="D100" s="1" t="s">
        <v>177</v>
      </c>
      <c r="E100" s="1">
        <v>1.0</v>
      </c>
      <c r="F100" s="1">
        <v>0.0</v>
      </c>
    </row>
    <row r="101" ht="12.75" customHeight="1">
      <c r="A101" s="1">
        <v>12.0</v>
      </c>
      <c r="B101" s="2">
        <v>8821644.0</v>
      </c>
      <c r="C101" s="1" t="s">
        <v>178</v>
      </c>
      <c r="D101" s="1" t="s">
        <v>179</v>
      </c>
      <c r="E101" s="1">
        <v>1.0</v>
      </c>
      <c r="F101" s="1">
        <v>0.0</v>
      </c>
    </row>
    <row r="102" ht="12.75" customHeight="1">
      <c r="A102" s="1">
        <v>12.0</v>
      </c>
      <c r="B102" s="2">
        <v>8451012.0</v>
      </c>
      <c r="C102" s="1" t="s">
        <v>180</v>
      </c>
      <c r="D102" s="1" t="s">
        <v>181</v>
      </c>
      <c r="E102" s="1">
        <v>1.0</v>
      </c>
      <c r="F102" s="1">
        <v>1.0</v>
      </c>
    </row>
    <row r="103" ht="12.75" customHeight="1">
      <c r="A103" s="1">
        <v>12.0</v>
      </c>
      <c r="B103" s="2">
        <v>5760207.0</v>
      </c>
      <c r="C103" s="1" t="s">
        <v>80</v>
      </c>
      <c r="D103" s="1" t="s">
        <v>182</v>
      </c>
      <c r="E103" s="1">
        <v>1.0</v>
      </c>
      <c r="F103" s="1">
        <v>1.0</v>
      </c>
    </row>
    <row r="104" ht="12.75" customHeight="1">
      <c r="A104" s="1">
        <v>12.0</v>
      </c>
      <c r="B104" s="2">
        <v>3801541.0</v>
      </c>
      <c r="C104" s="1" t="s">
        <v>47</v>
      </c>
      <c r="D104" s="1" t="s">
        <v>183</v>
      </c>
      <c r="E104" s="1">
        <v>1.0</v>
      </c>
      <c r="F104" s="1">
        <v>7.0</v>
      </c>
    </row>
    <row r="105" ht="12.75" customHeight="1">
      <c r="A105" s="1">
        <v>11.0</v>
      </c>
      <c r="B105" s="2" t="s">
        <v>184</v>
      </c>
      <c r="C105" s="1" t="s">
        <v>25</v>
      </c>
      <c r="D105" s="1" t="s">
        <v>185</v>
      </c>
      <c r="E105" s="1">
        <v>1.0</v>
      </c>
      <c r="F105" s="1">
        <v>0.0</v>
      </c>
    </row>
    <row r="106" ht="12.75" customHeight="1">
      <c r="A106" s="1">
        <v>11.0</v>
      </c>
      <c r="B106" s="2">
        <v>8821646.0</v>
      </c>
      <c r="C106" s="1" t="s">
        <v>178</v>
      </c>
      <c r="D106" s="1" t="s">
        <v>186</v>
      </c>
      <c r="E106" s="1">
        <v>1.0</v>
      </c>
      <c r="F106" s="1">
        <v>0.0</v>
      </c>
    </row>
    <row r="107" ht="12.75" customHeight="1">
      <c r="A107" s="1">
        <v>11.0</v>
      </c>
      <c r="B107" s="2">
        <v>3802001.0</v>
      </c>
      <c r="C107" s="1" t="s">
        <v>25</v>
      </c>
      <c r="D107" s="1" t="s">
        <v>187</v>
      </c>
      <c r="E107" s="1">
        <v>1.0</v>
      </c>
      <c r="F107" s="1">
        <v>1.0</v>
      </c>
    </row>
    <row r="108" ht="12.75" customHeight="1">
      <c r="A108" s="1">
        <v>11.0</v>
      </c>
      <c r="B108" s="2" t="s">
        <v>188</v>
      </c>
      <c r="C108" s="1" t="s">
        <v>189</v>
      </c>
      <c r="D108" s="1" t="s">
        <v>190</v>
      </c>
      <c r="E108" s="1">
        <v>1.0</v>
      </c>
      <c r="F108" s="1">
        <v>8.0</v>
      </c>
    </row>
    <row r="109" ht="12.75" customHeight="1">
      <c r="A109" s="1">
        <v>10.0</v>
      </c>
      <c r="B109" s="2">
        <v>3550808.0</v>
      </c>
      <c r="C109" s="1" t="s">
        <v>191</v>
      </c>
      <c r="D109" s="1" t="s">
        <v>192</v>
      </c>
      <c r="E109" s="1">
        <v>1.0</v>
      </c>
      <c r="F109" s="1">
        <v>0.0</v>
      </c>
    </row>
    <row r="110" ht="12.75" customHeight="1">
      <c r="A110" s="1">
        <v>10.0</v>
      </c>
      <c r="B110" s="2">
        <v>1660106.0</v>
      </c>
      <c r="C110" s="1" t="s">
        <v>49</v>
      </c>
      <c r="D110" s="1" t="s">
        <v>193</v>
      </c>
      <c r="E110" s="1">
        <v>1.0</v>
      </c>
      <c r="F110" s="1">
        <v>0.0</v>
      </c>
    </row>
    <row r="111" ht="12.75" customHeight="1">
      <c r="A111" s="1">
        <v>10.0</v>
      </c>
      <c r="B111" s="2" t="s">
        <v>194</v>
      </c>
      <c r="C111" s="1" t="s">
        <v>143</v>
      </c>
      <c r="D111" s="1" t="s">
        <v>195</v>
      </c>
      <c r="E111" s="1">
        <v>1.0</v>
      </c>
      <c r="F111" s="1">
        <v>0.0</v>
      </c>
    </row>
    <row r="112" ht="12.75" customHeight="1">
      <c r="A112" s="1">
        <v>10.0</v>
      </c>
      <c r="B112" s="2">
        <v>5760104.0</v>
      </c>
      <c r="C112" s="1" t="s">
        <v>196</v>
      </c>
      <c r="D112" s="1" t="s">
        <v>197</v>
      </c>
      <c r="E112" s="1">
        <v>1.0</v>
      </c>
      <c r="F112" s="1">
        <v>0.0</v>
      </c>
    </row>
    <row r="113" ht="12.75" customHeight="1">
      <c r="A113" s="1">
        <v>10.0</v>
      </c>
      <c r="B113" s="2">
        <v>8050112.0</v>
      </c>
      <c r="C113" s="1" t="s">
        <v>6</v>
      </c>
      <c r="D113" s="1" t="s">
        <v>198</v>
      </c>
      <c r="E113" s="1">
        <v>1.0</v>
      </c>
      <c r="F113" s="1">
        <v>0.0</v>
      </c>
    </row>
    <row r="114" ht="12.75" customHeight="1">
      <c r="A114" s="1">
        <v>10.0</v>
      </c>
      <c r="B114" s="2">
        <v>8050602.0</v>
      </c>
      <c r="C114" s="1" t="s">
        <v>6</v>
      </c>
      <c r="D114" s="1" t="s">
        <v>199</v>
      </c>
      <c r="E114" s="1">
        <v>1.0</v>
      </c>
      <c r="F114" s="1">
        <v>0.0</v>
      </c>
    </row>
    <row r="115" ht="12.75" customHeight="1">
      <c r="A115" s="1">
        <v>10.0</v>
      </c>
      <c r="B115" s="2">
        <v>8050610.0</v>
      </c>
      <c r="C115" s="1" t="s">
        <v>6</v>
      </c>
      <c r="D115" s="1" t="s">
        <v>200</v>
      </c>
      <c r="E115" s="1">
        <v>1.0</v>
      </c>
      <c r="F115" s="1">
        <v>0.0</v>
      </c>
    </row>
    <row r="116" ht="12.75" customHeight="1">
      <c r="A116" s="1">
        <v>10.0</v>
      </c>
      <c r="B116" s="2">
        <v>8050902.0</v>
      </c>
      <c r="C116" s="1" t="s">
        <v>6</v>
      </c>
      <c r="D116" s="1" t="s">
        <v>201</v>
      </c>
      <c r="E116" s="1">
        <v>1.0</v>
      </c>
      <c r="F116" s="1">
        <v>0.0</v>
      </c>
    </row>
    <row r="117" ht="12.75" customHeight="1">
      <c r="A117" s="1">
        <v>10.0</v>
      </c>
      <c r="B117" s="2" t="s">
        <v>202</v>
      </c>
      <c r="C117" s="1" t="s">
        <v>203</v>
      </c>
      <c r="D117" s="1" t="s">
        <v>204</v>
      </c>
      <c r="E117" s="1">
        <v>1.0</v>
      </c>
      <c r="F117" s="1">
        <v>1.0</v>
      </c>
    </row>
    <row r="118" ht="12.75" customHeight="1">
      <c r="A118" s="1">
        <v>9.0</v>
      </c>
      <c r="B118" s="2">
        <v>3801517.0</v>
      </c>
      <c r="C118" s="1" t="s">
        <v>21</v>
      </c>
      <c r="D118" s="1" t="s">
        <v>205</v>
      </c>
      <c r="E118" s="1">
        <v>1.0</v>
      </c>
      <c r="F118" s="1">
        <v>0.0</v>
      </c>
    </row>
    <row r="119" ht="12.75" customHeight="1">
      <c r="A119" s="1">
        <v>9.0</v>
      </c>
      <c r="B119" s="2">
        <v>7090105.0</v>
      </c>
      <c r="C119" s="1" t="s">
        <v>112</v>
      </c>
      <c r="D119" s="1" t="s">
        <v>206</v>
      </c>
      <c r="E119" s="1">
        <v>1.0</v>
      </c>
      <c r="F119" s="1">
        <v>0.0</v>
      </c>
    </row>
    <row r="120" ht="12.75" customHeight="1">
      <c r="A120" s="1">
        <v>9.0</v>
      </c>
      <c r="B120" s="2">
        <v>3802504.0</v>
      </c>
      <c r="C120" s="1" t="s">
        <v>207</v>
      </c>
      <c r="D120" s="1" t="s">
        <v>208</v>
      </c>
      <c r="E120" s="1">
        <v>1.0</v>
      </c>
      <c r="F120" s="1">
        <v>0.0</v>
      </c>
    </row>
    <row r="121" ht="12.75" customHeight="1">
      <c r="A121" s="1">
        <v>9.0</v>
      </c>
      <c r="B121" s="2" t="s">
        <v>209</v>
      </c>
      <c r="C121" s="1" t="s">
        <v>133</v>
      </c>
      <c r="D121" s="1" t="s">
        <v>210</v>
      </c>
      <c r="E121" s="1">
        <v>1.0</v>
      </c>
      <c r="F121" s="1">
        <v>0.0</v>
      </c>
    </row>
    <row r="122" ht="12.75" customHeight="1">
      <c r="A122" s="1">
        <v>9.0</v>
      </c>
      <c r="B122" s="2">
        <v>3800339.0</v>
      </c>
      <c r="C122" s="1" t="s">
        <v>37</v>
      </c>
      <c r="D122" s="1" t="s">
        <v>211</v>
      </c>
      <c r="E122" s="1">
        <v>1.0</v>
      </c>
      <c r="F122" s="1">
        <v>0.0</v>
      </c>
    </row>
    <row r="123" ht="12.75" customHeight="1">
      <c r="A123" s="1">
        <v>9.0</v>
      </c>
      <c r="B123" s="2">
        <v>1130847.0</v>
      </c>
      <c r="C123" s="1" t="s">
        <v>212</v>
      </c>
      <c r="D123" s="1" t="s">
        <v>213</v>
      </c>
      <c r="E123" s="1">
        <v>1.0</v>
      </c>
      <c r="F123" s="1">
        <v>0.0</v>
      </c>
    </row>
    <row r="124" ht="12.75" customHeight="1">
      <c r="A124" s="1">
        <v>9.0</v>
      </c>
      <c r="B124" s="2">
        <v>8050102.0</v>
      </c>
      <c r="C124" s="1" t="s">
        <v>6</v>
      </c>
      <c r="D124" s="1" t="s">
        <v>214</v>
      </c>
      <c r="E124" s="1">
        <v>1.0</v>
      </c>
      <c r="F124" s="1">
        <v>0.0</v>
      </c>
    </row>
    <row r="125" ht="12.75" customHeight="1">
      <c r="A125" s="1">
        <v>9.0</v>
      </c>
      <c r="B125" s="2">
        <v>8050202.0</v>
      </c>
      <c r="C125" s="1" t="s">
        <v>6</v>
      </c>
      <c r="D125" s="1" t="s">
        <v>215</v>
      </c>
      <c r="E125" s="1">
        <v>1.0</v>
      </c>
      <c r="F125" s="1">
        <v>0.0</v>
      </c>
    </row>
    <row r="126" ht="12.75" customHeight="1">
      <c r="A126" s="1">
        <v>9.0</v>
      </c>
      <c r="B126" s="2">
        <v>8821649.0</v>
      </c>
      <c r="C126" s="1" t="s">
        <v>178</v>
      </c>
      <c r="D126" s="1" t="s">
        <v>216</v>
      </c>
      <c r="E126" s="1">
        <v>1.0</v>
      </c>
      <c r="F126" s="1">
        <v>0.0</v>
      </c>
    </row>
    <row r="127" ht="12.75" customHeight="1">
      <c r="A127" s="1">
        <v>9.0</v>
      </c>
      <c r="B127" s="2">
        <v>3802065.0</v>
      </c>
      <c r="C127" s="1" t="s">
        <v>25</v>
      </c>
      <c r="D127" s="1" t="s">
        <v>217</v>
      </c>
      <c r="E127" s="1">
        <v>1.0</v>
      </c>
      <c r="F127" s="1">
        <v>0.0</v>
      </c>
    </row>
    <row r="128" ht="12.75" customHeight="1">
      <c r="A128" s="1">
        <v>9.0</v>
      </c>
      <c r="B128" s="2">
        <v>4670101.0</v>
      </c>
      <c r="C128" s="1" t="s">
        <v>218</v>
      </c>
      <c r="D128" s="1" t="s">
        <v>219</v>
      </c>
      <c r="E128" s="1">
        <v>1.0</v>
      </c>
      <c r="F128" s="1">
        <v>1.0</v>
      </c>
    </row>
    <row r="129" ht="12.75" customHeight="1">
      <c r="A129" s="1">
        <v>9.0</v>
      </c>
      <c r="B129" s="2">
        <v>3801959.0</v>
      </c>
      <c r="C129" s="1" t="s">
        <v>220</v>
      </c>
      <c r="D129" s="1" t="s">
        <v>221</v>
      </c>
      <c r="E129" s="1">
        <v>1.0</v>
      </c>
      <c r="F129" s="1">
        <v>10.0</v>
      </c>
    </row>
    <row r="130" ht="12.75" customHeight="1">
      <c r="A130" s="1">
        <v>8.0</v>
      </c>
      <c r="B130" s="2">
        <v>7090103.0</v>
      </c>
      <c r="C130" s="1" t="s">
        <v>112</v>
      </c>
      <c r="D130" s="1" t="s">
        <v>222</v>
      </c>
      <c r="E130" s="1">
        <v>1.0</v>
      </c>
      <c r="F130" s="1">
        <v>0.0</v>
      </c>
    </row>
    <row r="131" ht="12.75" customHeight="1">
      <c r="A131" s="1">
        <v>8.0</v>
      </c>
      <c r="B131" s="2">
        <v>3801902.0</v>
      </c>
      <c r="C131" s="1" t="s">
        <v>25</v>
      </c>
      <c r="D131" s="1" t="s">
        <v>223</v>
      </c>
      <c r="E131" s="1">
        <v>1.0</v>
      </c>
      <c r="F131" s="1">
        <v>0.0</v>
      </c>
    </row>
    <row r="132" ht="12.75" customHeight="1">
      <c r="A132" s="1">
        <v>8.0</v>
      </c>
      <c r="B132" s="2">
        <v>3801262.0</v>
      </c>
      <c r="C132" s="1" t="s">
        <v>55</v>
      </c>
      <c r="D132" s="1" t="s">
        <v>224</v>
      </c>
      <c r="E132" s="1">
        <v>1.0</v>
      </c>
      <c r="F132" s="1">
        <v>0.0</v>
      </c>
    </row>
    <row r="133" ht="12.75" customHeight="1">
      <c r="A133" s="1">
        <v>8.0</v>
      </c>
      <c r="B133" s="2" t="s">
        <v>225</v>
      </c>
      <c r="C133" s="1" t="s">
        <v>25</v>
      </c>
      <c r="D133" s="1" t="s">
        <v>226</v>
      </c>
      <c r="E133" s="1">
        <v>1.0</v>
      </c>
      <c r="F133" s="1">
        <v>0.0</v>
      </c>
    </row>
    <row r="134" ht="12.75" customHeight="1">
      <c r="A134" s="1">
        <v>8.0</v>
      </c>
      <c r="B134" s="2">
        <v>1130871.0</v>
      </c>
      <c r="C134" s="1" t="s">
        <v>227</v>
      </c>
      <c r="D134" s="1" t="s">
        <v>228</v>
      </c>
      <c r="E134" s="1">
        <v>1.0</v>
      </c>
      <c r="F134" s="1">
        <v>0.0</v>
      </c>
    </row>
    <row r="135" ht="12.75" customHeight="1">
      <c r="A135" s="1">
        <v>8.0</v>
      </c>
      <c r="B135" s="2">
        <v>3802561.0</v>
      </c>
      <c r="C135" s="1" t="s">
        <v>229</v>
      </c>
      <c r="D135" s="1" t="s">
        <v>230</v>
      </c>
      <c r="E135" s="1">
        <v>1.0</v>
      </c>
      <c r="F135" s="1">
        <v>1.0</v>
      </c>
    </row>
    <row r="136" ht="12.75" customHeight="1">
      <c r="A136" s="1">
        <v>8.0</v>
      </c>
      <c r="B136" s="2">
        <v>8451016.0</v>
      </c>
      <c r="C136" s="1" t="s">
        <v>231</v>
      </c>
      <c r="D136" s="1" t="s">
        <v>232</v>
      </c>
      <c r="E136" s="1">
        <v>1.0</v>
      </c>
      <c r="F136" s="1">
        <v>1.0</v>
      </c>
    </row>
    <row r="137" ht="12.75" customHeight="1">
      <c r="A137" s="1">
        <v>7.0</v>
      </c>
      <c r="B137" s="2">
        <v>3801512.0</v>
      </c>
      <c r="C137" s="1" t="s">
        <v>21</v>
      </c>
      <c r="D137" s="1" t="s">
        <v>233</v>
      </c>
      <c r="E137" s="1">
        <v>1.0</v>
      </c>
      <c r="F137" s="1">
        <v>0.0</v>
      </c>
    </row>
    <row r="138" ht="12.75" customHeight="1">
      <c r="A138" s="1">
        <v>7.0</v>
      </c>
      <c r="B138" s="2">
        <v>1240104.0</v>
      </c>
      <c r="C138" s="1" t="s">
        <v>234</v>
      </c>
      <c r="D138" s="1" t="s">
        <v>235</v>
      </c>
      <c r="E138" s="1">
        <v>1.0</v>
      </c>
      <c r="F138" s="1">
        <v>0.0</v>
      </c>
    </row>
    <row r="139" ht="12.75" customHeight="1">
      <c r="A139" s="1">
        <v>7.0</v>
      </c>
      <c r="B139" s="2">
        <v>3802506.0</v>
      </c>
      <c r="C139" s="1" t="s">
        <v>207</v>
      </c>
      <c r="D139" s="1" t="s">
        <v>236</v>
      </c>
      <c r="E139" s="1">
        <v>1.0</v>
      </c>
      <c r="F139" s="1">
        <v>0.0</v>
      </c>
    </row>
    <row r="140" ht="12.75" customHeight="1">
      <c r="A140" s="1">
        <v>7.0</v>
      </c>
      <c r="B140" s="2">
        <v>1660207.0</v>
      </c>
      <c r="C140" s="1" t="s">
        <v>66</v>
      </c>
      <c r="D140" s="1" t="s">
        <v>237</v>
      </c>
      <c r="E140" s="1">
        <v>1.0</v>
      </c>
      <c r="F140" s="1">
        <v>0.0</v>
      </c>
    </row>
    <row r="141" ht="12.75" customHeight="1">
      <c r="A141" s="1">
        <v>7.0</v>
      </c>
      <c r="B141" s="2" t="s">
        <v>238</v>
      </c>
      <c r="C141" s="1" t="s">
        <v>143</v>
      </c>
      <c r="D141" s="1" t="s">
        <v>239</v>
      </c>
      <c r="E141" s="1">
        <v>1.0</v>
      </c>
      <c r="F141" s="1">
        <v>0.0</v>
      </c>
    </row>
    <row r="142" ht="12.75" customHeight="1">
      <c r="A142" s="1">
        <v>7.0</v>
      </c>
      <c r="B142" s="2">
        <v>3801925.0</v>
      </c>
      <c r="C142" s="1" t="s">
        <v>25</v>
      </c>
      <c r="D142" s="1" t="s">
        <v>240</v>
      </c>
      <c r="E142" s="1">
        <v>1.0</v>
      </c>
      <c r="F142" s="1">
        <v>0.0</v>
      </c>
    </row>
    <row r="143" ht="12.75" customHeight="1">
      <c r="A143" s="1">
        <v>7.0</v>
      </c>
      <c r="B143" s="2">
        <v>1360312.0</v>
      </c>
      <c r="C143" s="1" t="s">
        <v>18</v>
      </c>
      <c r="D143" s="1" t="s">
        <v>241</v>
      </c>
      <c r="E143" s="1">
        <v>1.0</v>
      </c>
      <c r="F143" s="1">
        <v>0.0</v>
      </c>
    </row>
    <row r="144" ht="12.75" customHeight="1">
      <c r="A144" s="1">
        <v>7.0</v>
      </c>
      <c r="B144" s="2">
        <v>3801265.0</v>
      </c>
      <c r="C144" s="1" t="s">
        <v>242</v>
      </c>
      <c r="D144" s="1" t="s">
        <v>243</v>
      </c>
      <c r="E144" s="1">
        <v>1.0</v>
      </c>
      <c r="F144" s="1">
        <v>0.0</v>
      </c>
    </row>
    <row r="145" ht="12.75" customHeight="1">
      <c r="A145" s="1">
        <v>7.0</v>
      </c>
      <c r="B145" s="2">
        <v>5760103.0</v>
      </c>
      <c r="C145" s="1" t="s">
        <v>196</v>
      </c>
      <c r="D145" s="1" t="s">
        <v>244</v>
      </c>
      <c r="E145" s="1">
        <v>1.0</v>
      </c>
      <c r="F145" s="1">
        <v>0.0</v>
      </c>
    </row>
    <row r="146" ht="12.75" customHeight="1">
      <c r="A146" s="1">
        <v>7.0</v>
      </c>
      <c r="B146" s="2">
        <v>780132.0</v>
      </c>
      <c r="C146" s="1" t="s">
        <v>245</v>
      </c>
      <c r="D146" s="1" t="s">
        <v>246</v>
      </c>
      <c r="E146" s="1">
        <v>1.0</v>
      </c>
      <c r="F146" s="1">
        <v>0.0</v>
      </c>
    </row>
    <row r="147" ht="12.75" customHeight="1">
      <c r="A147" s="1">
        <v>7.0</v>
      </c>
      <c r="B147" s="2">
        <v>3802060.0</v>
      </c>
      <c r="C147" s="1" t="s">
        <v>25</v>
      </c>
      <c r="D147" s="1" t="s">
        <v>247</v>
      </c>
      <c r="E147" s="1">
        <v>1.0</v>
      </c>
      <c r="F147" s="1">
        <v>0.0</v>
      </c>
    </row>
    <row r="148" ht="12.75" customHeight="1">
      <c r="A148" s="1">
        <v>7.0</v>
      </c>
      <c r="B148" s="2">
        <v>3802055.0</v>
      </c>
      <c r="C148" s="1" t="s">
        <v>25</v>
      </c>
      <c r="D148" s="1" t="s">
        <v>248</v>
      </c>
      <c r="E148" s="1">
        <v>1.0</v>
      </c>
      <c r="F148" s="1">
        <v>0.0</v>
      </c>
    </row>
    <row r="149" ht="12.75" customHeight="1">
      <c r="A149" s="1">
        <v>7.0</v>
      </c>
      <c r="B149" s="2">
        <v>8822002.0</v>
      </c>
      <c r="C149" s="1" t="s">
        <v>178</v>
      </c>
      <c r="D149" s="1" t="s">
        <v>249</v>
      </c>
      <c r="E149" s="1">
        <v>1.0</v>
      </c>
      <c r="F149" s="1">
        <v>1.0</v>
      </c>
    </row>
    <row r="150" ht="12.75" customHeight="1">
      <c r="A150" s="1">
        <v>7.0</v>
      </c>
      <c r="B150" s="2" t="s">
        <v>250</v>
      </c>
      <c r="C150" s="1" t="s">
        <v>143</v>
      </c>
      <c r="D150" s="1" t="s">
        <v>144</v>
      </c>
      <c r="E150" s="1">
        <v>1.0</v>
      </c>
      <c r="F150" s="1">
        <v>4.0</v>
      </c>
    </row>
    <row r="151" ht="12.75" customHeight="1">
      <c r="A151" s="1">
        <v>7.0</v>
      </c>
      <c r="B151" s="2">
        <v>3801962.0</v>
      </c>
      <c r="C151" s="1" t="s">
        <v>220</v>
      </c>
      <c r="D151" s="1" t="s">
        <v>251</v>
      </c>
      <c r="E151" s="1">
        <v>1.0</v>
      </c>
      <c r="F151" s="1">
        <v>7.0</v>
      </c>
    </row>
    <row r="152" ht="12.75" customHeight="1">
      <c r="A152" s="1">
        <v>7.0</v>
      </c>
      <c r="B152" s="2" t="s">
        <v>252</v>
      </c>
      <c r="C152" s="1" t="s">
        <v>87</v>
      </c>
      <c r="D152" s="1" t="s">
        <v>253</v>
      </c>
      <c r="E152" s="1">
        <v>1.0</v>
      </c>
      <c r="F152" s="1">
        <v>8.0</v>
      </c>
    </row>
    <row r="153" ht="12.75" customHeight="1">
      <c r="A153" s="1">
        <v>7.0</v>
      </c>
      <c r="B153" s="2" t="s">
        <v>254</v>
      </c>
      <c r="C153" s="1" t="s">
        <v>255</v>
      </c>
      <c r="D153" s="1" t="s">
        <v>256</v>
      </c>
      <c r="E153" s="1">
        <v>1.0</v>
      </c>
      <c r="F153" s="1">
        <v>10.0</v>
      </c>
    </row>
    <row r="154" ht="12.75" customHeight="1">
      <c r="A154" s="1">
        <v>6.0</v>
      </c>
      <c r="B154" s="2">
        <v>3800360.0</v>
      </c>
      <c r="C154" s="1" t="s">
        <v>37</v>
      </c>
      <c r="D154" s="1" t="s">
        <v>257</v>
      </c>
      <c r="E154" s="1">
        <v>1.0</v>
      </c>
      <c r="F154" s="1">
        <v>0.0</v>
      </c>
    </row>
    <row r="155" ht="12.75" customHeight="1">
      <c r="A155" s="1">
        <v>6.0</v>
      </c>
      <c r="B155" s="2">
        <v>3801548.0</v>
      </c>
      <c r="C155" s="1" t="s">
        <v>47</v>
      </c>
      <c r="D155" s="1" t="s">
        <v>258</v>
      </c>
      <c r="E155" s="1">
        <v>1.0</v>
      </c>
      <c r="F155" s="1">
        <v>0.0</v>
      </c>
    </row>
    <row r="156" ht="12.75" customHeight="1">
      <c r="A156" s="1">
        <v>6.0</v>
      </c>
      <c r="B156" s="2">
        <v>1660212.0</v>
      </c>
      <c r="C156" s="1" t="s">
        <v>49</v>
      </c>
      <c r="D156" s="1" t="s">
        <v>259</v>
      </c>
      <c r="E156" s="1">
        <v>1.0</v>
      </c>
      <c r="F156" s="1">
        <v>0.0</v>
      </c>
    </row>
    <row r="157" ht="12.75" customHeight="1">
      <c r="A157" s="1">
        <v>6.0</v>
      </c>
      <c r="B157" s="2" t="s">
        <v>260</v>
      </c>
      <c r="C157" s="1" t="s">
        <v>261</v>
      </c>
      <c r="D157" s="1" t="s">
        <v>262</v>
      </c>
      <c r="E157" s="1">
        <v>1.0</v>
      </c>
      <c r="F157" s="1">
        <v>0.0</v>
      </c>
    </row>
    <row r="158" ht="12.75" customHeight="1">
      <c r="A158" s="1">
        <v>6.0</v>
      </c>
      <c r="B158" s="2">
        <v>1660107.0</v>
      </c>
      <c r="C158" s="1" t="s">
        <v>49</v>
      </c>
      <c r="D158" s="1" t="s">
        <v>263</v>
      </c>
      <c r="E158" s="1">
        <v>1.0</v>
      </c>
      <c r="F158" s="1">
        <v>0.0</v>
      </c>
    </row>
    <row r="159" ht="12.75" customHeight="1">
      <c r="A159" s="1">
        <v>6.0</v>
      </c>
      <c r="B159" s="2">
        <v>8821640.0</v>
      </c>
      <c r="C159" s="1" t="s">
        <v>173</v>
      </c>
      <c r="D159" s="1" t="s">
        <v>264</v>
      </c>
      <c r="E159" s="1">
        <v>1.0</v>
      </c>
      <c r="F159" s="1">
        <v>0.0</v>
      </c>
    </row>
    <row r="160" ht="12.75" customHeight="1">
      <c r="A160" s="1">
        <v>6.0</v>
      </c>
      <c r="B160" s="2" t="s">
        <v>265</v>
      </c>
      <c r="C160" s="1" t="s">
        <v>266</v>
      </c>
      <c r="D160" s="1" t="s">
        <v>267</v>
      </c>
      <c r="E160" s="1">
        <v>1.0</v>
      </c>
      <c r="F160" s="1">
        <v>0.0</v>
      </c>
    </row>
    <row r="161" ht="12.75" customHeight="1">
      <c r="A161" s="1">
        <v>6.0</v>
      </c>
      <c r="B161" s="2">
        <v>3801950.0</v>
      </c>
      <c r="C161" s="1" t="s">
        <v>25</v>
      </c>
      <c r="D161" s="1" t="s">
        <v>268</v>
      </c>
      <c r="E161" s="1">
        <v>1.0</v>
      </c>
      <c r="F161" s="1">
        <v>0.0</v>
      </c>
    </row>
    <row r="162" ht="12.75" customHeight="1">
      <c r="A162" s="1">
        <v>6.0</v>
      </c>
      <c r="B162" s="2">
        <v>1403008.0</v>
      </c>
      <c r="C162" s="1" t="s">
        <v>269</v>
      </c>
      <c r="D162" s="1" t="s">
        <v>270</v>
      </c>
      <c r="E162" s="1">
        <v>1.0</v>
      </c>
      <c r="F162" s="1">
        <v>0.0</v>
      </c>
    </row>
    <row r="163" ht="12.75" customHeight="1">
      <c r="A163" s="1">
        <v>6.0</v>
      </c>
      <c r="B163" s="2">
        <v>5760102.0</v>
      </c>
      <c r="C163" s="1" t="s">
        <v>196</v>
      </c>
      <c r="D163" s="1" t="s">
        <v>271</v>
      </c>
      <c r="E163" s="1">
        <v>1.0</v>
      </c>
      <c r="F163" s="1">
        <v>0.0</v>
      </c>
    </row>
    <row r="164" ht="12.75" customHeight="1">
      <c r="A164" s="1">
        <v>6.0</v>
      </c>
      <c r="B164" s="2">
        <v>9820213.0</v>
      </c>
      <c r="C164" s="1" t="s">
        <v>272</v>
      </c>
      <c r="D164" s="1" t="s">
        <v>273</v>
      </c>
      <c r="E164" s="1">
        <v>1.0</v>
      </c>
      <c r="F164" s="1">
        <v>0.0</v>
      </c>
    </row>
    <row r="165" ht="12.75" customHeight="1">
      <c r="A165" s="1">
        <v>6.0</v>
      </c>
      <c r="B165" s="2">
        <v>8050147.0</v>
      </c>
      <c r="C165" s="1" t="s">
        <v>6</v>
      </c>
      <c r="D165" s="1" t="s">
        <v>274</v>
      </c>
      <c r="E165" s="1">
        <v>1.0</v>
      </c>
      <c r="F165" s="1">
        <v>0.0</v>
      </c>
    </row>
    <row r="166" ht="12.75" customHeight="1">
      <c r="A166" s="1">
        <v>6.0</v>
      </c>
      <c r="B166" s="2">
        <v>3801920.0</v>
      </c>
      <c r="C166" s="1" t="s">
        <v>25</v>
      </c>
      <c r="D166" s="1" t="s">
        <v>275</v>
      </c>
      <c r="E166" s="1">
        <v>1.0</v>
      </c>
      <c r="F166" s="1">
        <v>0.0</v>
      </c>
    </row>
    <row r="167" ht="12.75" customHeight="1">
      <c r="A167" s="1">
        <v>6.0</v>
      </c>
      <c r="B167" s="2">
        <v>1660302.0</v>
      </c>
      <c r="C167" s="1" t="s">
        <v>49</v>
      </c>
      <c r="D167" s="1" t="s">
        <v>276</v>
      </c>
      <c r="E167" s="1">
        <v>1.0</v>
      </c>
      <c r="F167" s="1">
        <v>0.0</v>
      </c>
    </row>
    <row r="168" ht="12.75" customHeight="1">
      <c r="A168" s="1">
        <v>6.0</v>
      </c>
      <c r="B168" s="2">
        <v>8821643.0</v>
      </c>
      <c r="C168" s="1" t="s">
        <v>178</v>
      </c>
      <c r="D168" s="1" t="s">
        <v>277</v>
      </c>
      <c r="E168" s="1">
        <v>1.0</v>
      </c>
      <c r="F168" s="1">
        <v>0.0</v>
      </c>
    </row>
    <row r="169" ht="12.75" customHeight="1">
      <c r="A169" s="1">
        <v>6.0</v>
      </c>
      <c r="B169" s="2">
        <v>8321510.0</v>
      </c>
      <c r="C169" s="1" t="s">
        <v>278</v>
      </c>
      <c r="D169" s="1" t="s">
        <v>279</v>
      </c>
      <c r="E169" s="1">
        <v>1.0</v>
      </c>
      <c r="F169" s="1">
        <v>0.0</v>
      </c>
    </row>
    <row r="170" ht="12.75" customHeight="1">
      <c r="A170" s="1">
        <v>6.0</v>
      </c>
      <c r="B170" s="2">
        <v>3801905.0</v>
      </c>
      <c r="C170" s="1" t="s">
        <v>220</v>
      </c>
      <c r="D170" s="1" t="s">
        <v>280</v>
      </c>
      <c r="E170" s="1">
        <v>1.0</v>
      </c>
      <c r="F170" s="1">
        <v>7.0</v>
      </c>
    </row>
    <row r="171" ht="12.75" customHeight="1">
      <c r="A171" s="1">
        <v>6.0</v>
      </c>
      <c r="B171" s="2">
        <v>3800267.0</v>
      </c>
      <c r="C171" s="1" t="s">
        <v>25</v>
      </c>
      <c r="D171" s="1" t="s">
        <v>281</v>
      </c>
      <c r="E171" s="1">
        <v>1.0</v>
      </c>
      <c r="F171" s="1">
        <v>7.0</v>
      </c>
    </row>
    <row r="172" ht="12.75" customHeight="1">
      <c r="A172" s="1">
        <v>6.0</v>
      </c>
      <c r="B172" s="2" t="s">
        <v>282</v>
      </c>
      <c r="C172" s="1" t="s">
        <v>107</v>
      </c>
      <c r="D172" s="1" t="s">
        <v>283</v>
      </c>
      <c r="E172" s="1">
        <v>1.0</v>
      </c>
      <c r="F172" s="1">
        <v>8.0</v>
      </c>
    </row>
    <row r="173" ht="12.75" customHeight="1">
      <c r="A173" s="1">
        <v>6.0</v>
      </c>
      <c r="B173" s="2" t="s">
        <v>284</v>
      </c>
      <c r="C173" s="1" t="s">
        <v>285</v>
      </c>
      <c r="D173" s="1" t="s">
        <v>286</v>
      </c>
      <c r="E173" s="1">
        <v>1.0</v>
      </c>
      <c r="F173" s="1">
        <v>8.0</v>
      </c>
    </row>
    <row r="174" ht="12.75" customHeight="1">
      <c r="A174" s="1">
        <v>6.0</v>
      </c>
      <c r="B174" s="2" t="s">
        <v>287</v>
      </c>
      <c r="C174" s="1" t="s">
        <v>288</v>
      </c>
      <c r="D174" s="1" t="s">
        <v>289</v>
      </c>
      <c r="E174" s="1">
        <v>1.0</v>
      </c>
      <c r="F174" s="1">
        <v>8.0</v>
      </c>
    </row>
    <row r="175" ht="12.75" customHeight="1">
      <c r="A175" s="1">
        <v>5.0</v>
      </c>
      <c r="B175" s="2">
        <v>3800348.0</v>
      </c>
      <c r="C175" s="1" t="s">
        <v>37</v>
      </c>
      <c r="D175" s="6">
        <v>604.0</v>
      </c>
      <c r="E175" s="1">
        <v>1.0</v>
      </c>
      <c r="F175" s="1">
        <v>0.0</v>
      </c>
    </row>
    <row r="176" ht="12.75" customHeight="1">
      <c r="A176" s="1">
        <v>5.0</v>
      </c>
      <c r="B176" s="2" t="s">
        <v>290</v>
      </c>
      <c r="C176" s="1" t="s">
        <v>155</v>
      </c>
      <c r="D176" s="1" t="s">
        <v>291</v>
      </c>
      <c r="E176" s="1">
        <v>1.0</v>
      </c>
      <c r="F176" s="1">
        <v>0.0</v>
      </c>
    </row>
    <row r="177" ht="12.75" customHeight="1">
      <c r="A177" s="1">
        <v>5.0</v>
      </c>
      <c r="B177" s="2" t="s">
        <v>292</v>
      </c>
      <c r="C177" s="1" t="s">
        <v>21</v>
      </c>
      <c r="D177" s="1" t="s">
        <v>293</v>
      </c>
      <c r="E177" s="1">
        <v>1.0</v>
      </c>
      <c r="F177" s="1">
        <v>0.0</v>
      </c>
    </row>
    <row r="178" ht="12.75" customHeight="1">
      <c r="A178" s="1">
        <v>5.0</v>
      </c>
      <c r="B178" s="2">
        <v>3801543.0</v>
      </c>
      <c r="C178" s="1" t="s">
        <v>47</v>
      </c>
      <c r="D178" s="1" t="s">
        <v>294</v>
      </c>
      <c r="E178" s="1">
        <v>1.0</v>
      </c>
      <c r="F178" s="1">
        <v>0.0</v>
      </c>
    </row>
    <row r="179" ht="12.75" customHeight="1">
      <c r="A179" s="1">
        <v>5.0</v>
      </c>
      <c r="B179" s="2" t="s">
        <v>295</v>
      </c>
      <c r="C179" s="1" t="s">
        <v>21</v>
      </c>
      <c r="D179" s="1" t="s">
        <v>296</v>
      </c>
      <c r="E179" s="1">
        <v>1.0</v>
      </c>
      <c r="F179" s="1">
        <v>0.0</v>
      </c>
    </row>
    <row r="180" ht="12.75" customHeight="1">
      <c r="A180" s="1">
        <v>5.0</v>
      </c>
      <c r="B180" s="2">
        <v>3801507.0</v>
      </c>
      <c r="C180" s="1" t="s">
        <v>21</v>
      </c>
      <c r="D180" s="1" t="s">
        <v>297</v>
      </c>
      <c r="E180" s="1">
        <v>1.0</v>
      </c>
      <c r="F180" s="1">
        <v>0.0</v>
      </c>
    </row>
    <row r="181" ht="12.75" customHeight="1">
      <c r="A181" s="1">
        <v>5.0</v>
      </c>
      <c r="B181" s="2">
        <v>3801503.0</v>
      </c>
      <c r="C181" s="1" t="s">
        <v>21</v>
      </c>
      <c r="D181" s="1" t="s">
        <v>298</v>
      </c>
      <c r="E181" s="1">
        <v>1.0</v>
      </c>
      <c r="F181" s="1">
        <v>0.0</v>
      </c>
    </row>
    <row r="182" ht="12.75" customHeight="1">
      <c r="A182" s="1">
        <v>5.0</v>
      </c>
      <c r="B182" s="2" t="s">
        <v>299</v>
      </c>
      <c r="C182" s="1" t="s">
        <v>21</v>
      </c>
      <c r="D182" s="1" t="s">
        <v>300</v>
      </c>
      <c r="E182" s="1">
        <v>1.0</v>
      </c>
      <c r="F182" s="1">
        <v>0.0</v>
      </c>
    </row>
    <row r="183" ht="12.75" customHeight="1">
      <c r="A183" s="1">
        <v>5.0</v>
      </c>
      <c r="B183" s="2" t="s">
        <v>301</v>
      </c>
      <c r="C183" s="1" t="s">
        <v>302</v>
      </c>
      <c r="D183" s="1" t="s">
        <v>303</v>
      </c>
      <c r="E183" s="1">
        <v>1.0</v>
      </c>
      <c r="F183" s="1">
        <v>0.0</v>
      </c>
    </row>
    <row r="184" ht="12.75" customHeight="1">
      <c r="A184" s="1">
        <v>5.0</v>
      </c>
      <c r="B184" s="2">
        <v>8320602.0</v>
      </c>
      <c r="C184" s="1" t="s">
        <v>278</v>
      </c>
      <c r="D184" s="1" t="s">
        <v>304</v>
      </c>
      <c r="E184" s="1">
        <v>1.0</v>
      </c>
      <c r="F184" s="1">
        <v>0.0</v>
      </c>
    </row>
    <row r="185" ht="12.75" customHeight="1">
      <c r="A185" s="1">
        <v>5.0</v>
      </c>
      <c r="B185" s="2">
        <v>3802660.0</v>
      </c>
      <c r="C185" s="1" t="s">
        <v>305</v>
      </c>
      <c r="D185" s="1" t="s">
        <v>163</v>
      </c>
      <c r="E185" s="1">
        <v>1.0</v>
      </c>
      <c r="F185" s="1">
        <v>0.0</v>
      </c>
    </row>
    <row r="186" ht="12.75" customHeight="1">
      <c r="A186" s="1">
        <v>5.0</v>
      </c>
      <c r="B186" s="2" t="s">
        <v>306</v>
      </c>
      <c r="C186" s="1" t="s">
        <v>229</v>
      </c>
      <c r="D186" s="1" t="s">
        <v>307</v>
      </c>
      <c r="E186" s="1">
        <v>1.0</v>
      </c>
      <c r="F186" s="1">
        <v>0.0</v>
      </c>
    </row>
    <row r="187" ht="12.75" customHeight="1">
      <c r="A187" s="1">
        <v>5.0</v>
      </c>
      <c r="B187" s="2">
        <v>8500101.0</v>
      </c>
      <c r="C187" s="1" t="s">
        <v>308</v>
      </c>
      <c r="D187" s="1" t="s">
        <v>309</v>
      </c>
      <c r="E187" s="1">
        <v>1.0</v>
      </c>
      <c r="F187" s="1">
        <v>0.0</v>
      </c>
    </row>
    <row r="188" ht="12.75" customHeight="1">
      <c r="A188" s="1">
        <v>5.0</v>
      </c>
      <c r="B188" s="2">
        <v>4490106.0</v>
      </c>
      <c r="C188" s="1" t="s">
        <v>310</v>
      </c>
      <c r="D188" s="1" t="s">
        <v>311</v>
      </c>
      <c r="E188" s="1">
        <v>1.0</v>
      </c>
      <c r="F188" s="1">
        <v>0.0</v>
      </c>
    </row>
    <row r="189" ht="12.75" customHeight="1">
      <c r="A189" s="1">
        <v>5.0</v>
      </c>
      <c r="B189" s="2">
        <v>3801365.0</v>
      </c>
      <c r="C189" s="1" t="s">
        <v>312</v>
      </c>
      <c r="D189" s="1" t="s">
        <v>313</v>
      </c>
      <c r="E189" s="1">
        <v>1.0</v>
      </c>
      <c r="F189" s="1">
        <v>0.0</v>
      </c>
    </row>
    <row r="190" ht="12.75" customHeight="1">
      <c r="A190" s="1">
        <v>5.0</v>
      </c>
      <c r="B190" s="2">
        <v>3801361.0</v>
      </c>
      <c r="C190" s="1" t="s">
        <v>312</v>
      </c>
      <c r="D190" s="1" t="s">
        <v>314</v>
      </c>
      <c r="E190" s="1">
        <v>1.0</v>
      </c>
      <c r="F190" s="1">
        <v>0.0</v>
      </c>
    </row>
    <row r="191" ht="12.75" customHeight="1">
      <c r="A191" s="1">
        <v>5.0</v>
      </c>
      <c r="B191" s="2">
        <v>5100202.0</v>
      </c>
      <c r="C191" s="1" t="s">
        <v>315</v>
      </c>
      <c r="D191" s="1" t="s">
        <v>316</v>
      </c>
      <c r="E191" s="1">
        <v>1.0</v>
      </c>
      <c r="F191" s="1">
        <v>0.0</v>
      </c>
    </row>
    <row r="192" ht="12.75" customHeight="1">
      <c r="A192" s="1">
        <v>5.0</v>
      </c>
      <c r="B192" s="2">
        <v>5100102.0</v>
      </c>
      <c r="C192" s="1" t="s">
        <v>317</v>
      </c>
      <c r="D192" s="1" t="s">
        <v>318</v>
      </c>
      <c r="E192" s="1">
        <v>1.0</v>
      </c>
      <c r="F192" s="1">
        <v>0.0</v>
      </c>
    </row>
    <row r="193" ht="12.75" customHeight="1">
      <c r="A193" s="1">
        <v>5.0</v>
      </c>
      <c r="B193" s="2">
        <v>3801208.0</v>
      </c>
      <c r="C193" s="1" t="s">
        <v>55</v>
      </c>
      <c r="D193" s="1" t="s">
        <v>319</v>
      </c>
      <c r="E193" s="1">
        <v>1.0</v>
      </c>
      <c r="F193" s="1">
        <v>0.0</v>
      </c>
    </row>
    <row r="194" ht="12.75" customHeight="1">
      <c r="A194" s="1">
        <v>5.0</v>
      </c>
      <c r="B194" s="2">
        <v>9820211.0</v>
      </c>
      <c r="C194" s="1" t="s">
        <v>32</v>
      </c>
      <c r="D194" s="1" t="s">
        <v>273</v>
      </c>
      <c r="E194" s="1">
        <v>1.0</v>
      </c>
      <c r="F194" s="1">
        <v>0.0</v>
      </c>
    </row>
    <row r="195" ht="12.75" customHeight="1">
      <c r="A195" s="1">
        <v>5.0</v>
      </c>
      <c r="B195" s="2">
        <v>8050104.0</v>
      </c>
      <c r="C195" s="1" t="s">
        <v>6</v>
      </c>
      <c r="D195" s="1" t="s">
        <v>320</v>
      </c>
      <c r="E195" s="1">
        <v>1.0</v>
      </c>
      <c r="F195" s="1">
        <v>0.0</v>
      </c>
    </row>
    <row r="196" ht="12.75" customHeight="1">
      <c r="A196" s="1">
        <v>5.0</v>
      </c>
      <c r="B196" s="2">
        <v>8050108.0</v>
      </c>
      <c r="C196" s="1" t="s">
        <v>6</v>
      </c>
      <c r="D196" s="1" t="s">
        <v>321</v>
      </c>
      <c r="E196" s="1">
        <v>1.0</v>
      </c>
      <c r="F196" s="1">
        <v>0.0</v>
      </c>
    </row>
    <row r="197" ht="12.75" customHeight="1">
      <c r="A197" s="1">
        <v>5.0</v>
      </c>
      <c r="B197" s="2">
        <v>8050110.0</v>
      </c>
      <c r="C197" s="1" t="s">
        <v>6</v>
      </c>
      <c r="D197" s="1" t="s">
        <v>322</v>
      </c>
      <c r="E197" s="1">
        <v>1.0</v>
      </c>
      <c r="F197" s="1">
        <v>0.0</v>
      </c>
    </row>
    <row r="198" ht="12.75" customHeight="1">
      <c r="A198" s="1">
        <v>5.0</v>
      </c>
      <c r="B198" s="2">
        <v>8050614.0</v>
      </c>
      <c r="C198" s="1" t="s">
        <v>6</v>
      </c>
      <c r="D198" s="1" t="s">
        <v>323</v>
      </c>
      <c r="E198" s="1">
        <v>1.0</v>
      </c>
      <c r="F198" s="1">
        <v>0.0</v>
      </c>
    </row>
    <row r="199" ht="12.75" customHeight="1">
      <c r="A199" s="1">
        <v>5.0</v>
      </c>
      <c r="B199" s="2" t="s">
        <v>324</v>
      </c>
      <c r="C199" s="1" t="s">
        <v>325</v>
      </c>
      <c r="D199" s="1" t="s">
        <v>326</v>
      </c>
      <c r="E199" s="1">
        <v>1.0</v>
      </c>
      <c r="F199" s="1">
        <v>0.0</v>
      </c>
    </row>
    <row r="200" ht="12.75" customHeight="1">
      <c r="A200" s="1">
        <v>5.0</v>
      </c>
      <c r="B200" s="2">
        <v>3801945.0</v>
      </c>
      <c r="C200" s="1" t="s">
        <v>25</v>
      </c>
      <c r="D200" s="1" t="s">
        <v>327</v>
      </c>
      <c r="E200" s="1">
        <v>1.0</v>
      </c>
      <c r="F200" s="1">
        <v>0.0</v>
      </c>
    </row>
    <row r="201" ht="12.75" customHeight="1">
      <c r="A201" s="1">
        <v>5.0</v>
      </c>
      <c r="B201" s="2">
        <v>3802050.0</v>
      </c>
      <c r="C201" s="1" t="s">
        <v>266</v>
      </c>
      <c r="D201" s="1" t="s">
        <v>328</v>
      </c>
      <c r="E201" s="1">
        <v>1.0</v>
      </c>
      <c r="F201" s="1">
        <v>0.0</v>
      </c>
    </row>
    <row r="202" ht="12.75" customHeight="1">
      <c r="A202" s="1">
        <v>5.0</v>
      </c>
      <c r="B202" s="2" t="s">
        <v>329</v>
      </c>
      <c r="C202" s="1" t="s">
        <v>21</v>
      </c>
      <c r="D202" s="1" t="s">
        <v>330</v>
      </c>
      <c r="E202" s="1">
        <v>1.0</v>
      </c>
      <c r="F202" s="1">
        <v>1.0</v>
      </c>
    </row>
    <row r="203" ht="12.75" customHeight="1">
      <c r="A203" s="1">
        <v>5.0</v>
      </c>
      <c r="B203" s="2">
        <v>3802552.0</v>
      </c>
      <c r="C203" s="1" t="s">
        <v>101</v>
      </c>
      <c r="D203" s="1" t="s">
        <v>331</v>
      </c>
      <c r="E203" s="1">
        <v>1.0</v>
      </c>
      <c r="F203" s="1">
        <v>1.0</v>
      </c>
    </row>
    <row r="204" ht="12.75" customHeight="1">
      <c r="A204" s="1">
        <v>5.0</v>
      </c>
      <c r="B204" s="2" t="s">
        <v>332</v>
      </c>
      <c r="C204" s="1" t="s">
        <v>333</v>
      </c>
      <c r="D204" s="1" t="s">
        <v>334</v>
      </c>
      <c r="E204" s="1">
        <v>1.0</v>
      </c>
      <c r="F204" s="1">
        <v>1.0</v>
      </c>
    </row>
    <row r="205" ht="12.75" customHeight="1">
      <c r="A205" s="1">
        <v>5.0</v>
      </c>
      <c r="B205" s="2">
        <v>1130868.0</v>
      </c>
      <c r="C205" s="1" t="s">
        <v>59</v>
      </c>
      <c r="D205" s="1" t="s">
        <v>335</v>
      </c>
      <c r="E205" s="1">
        <v>1.0</v>
      </c>
      <c r="F205" s="1">
        <v>1.0</v>
      </c>
    </row>
    <row r="206" ht="12.75" customHeight="1">
      <c r="A206" s="1">
        <v>5.0</v>
      </c>
      <c r="B206" s="2" t="s">
        <v>336</v>
      </c>
      <c r="C206" s="1" t="s">
        <v>158</v>
      </c>
      <c r="D206" s="1" t="s">
        <v>337</v>
      </c>
      <c r="E206" s="1">
        <v>1.0</v>
      </c>
      <c r="F206" s="1">
        <v>1.0</v>
      </c>
    </row>
    <row r="207" ht="12.75" customHeight="1">
      <c r="A207" s="1">
        <v>5.0</v>
      </c>
      <c r="B207" s="2">
        <v>3801560.0</v>
      </c>
      <c r="C207" s="1" t="s">
        <v>47</v>
      </c>
      <c r="D207" s="1" t="s">
        <v>338</v>
      </c>
      <c r="E207" s="1">
        <v>1.0</v>
      </c>
      <c r="F207" s="1">
        <v>7.0</v>
      </c>
    </row>
    <row r="208" ht="12.75" customHeight="1">
      <c r="A208" s="1">
        <v>5.0</v>
      </c>
      <c r="B208" s="2" t="s">
        <v>339</v>
      </c>
      <c r="C208" s="1" t="s">
        <v>340</v>
      </c>
      <c r="D208" s="1" t="s">
        <v>341</v>
      </c>
      <c r="E208" s="1">
        <v>1.0</v>
      </c>
      <c r="F208" s="1">
        <v>7.0</v>
      </c>
    </row>
    <row r="209" ht="12.75" customHeight="1">
      <c r="A209" s="1">
        <v>5.0</v>
      </c>
      <c r="B209" s="2" t="s">
        <v>342</v>
      </c>
      <c r="C209" s="1" t="s">
        <v>285</v>
      </c>
      <c r="D209" s="1" t="s">
        <v>343</v>
      </c>
      <c r="E209" s="1">
        <v>1.0</v>
      </c>
      <c r="F209" s="1">
        <v>10.0</v>
      </c>
    </row>
    <row r="210" ht="12.75" customHeight="1">
      <c r="A210" s="1">
        <v>4.0</v>
      </c>
      <c r="B210" s="2">
        <v>3801315.0</v>
      </c>
      <c r="C210" s="1" t="s">
        <v>312</v>
      </c>
      <c r="D210" s="1" t="s">
        <v>344</v>
      </c>
      <c r="E210" s="1">
        <v>1.0</v>
      </c>
      <c r="F210" s="1">
        <v>0.0</v>
      </c>
    </row>
    <row r="211" ht="12.75" customHeight="1">
      <c r="A211" s="1">
        <v>4.0</v>
      </c>
      <c r="B211" s="2">
        <v>3802555.0</v>
      </c>
      <c r="C211" s="1" t="s">
        <v>101</v>
      </c>
      <c r="D211" s="1" t="s">
        <v>345</v>
      </c>
      <c r="E211" s="1">
        <v>1.0</v>
      </c>
      <c r="F211" s="1">
        <v>0.0</v>
      </c>
    </row>
    <row r="212" ht="12.75" customHeight="1">
      <c r="A212" s="1">
        <v>4.0</v>
      </c>
      <c r="B212" s="2">
        <v>3801908.0</v>
      </c>
      <c r="C212" s="1" t="s">
        <v>346</v>
      </c>
      <c r="D212" s="1" t="s">
        <v>96</v>
      </c>
      <c r="E212" s="1">
        <v>1.0</v>
      </c>
      <c r="F212" s="1">
        <v>0.0</v>
      </c>
    </row>
    <row r="213" ht="12.75" customHeight="1">
      <c r="A213" s="1">
        <v>4.0</v>
      </c>
      <c r="B213" s="2">
        <v>1660211.0</v>
      </c>
      <c r="C213" s="1" t="s">
        <v>66</v>
      </c>
      <c r="D213" s="1" t="s">
        <v>51</v>
      </c>
      <c r="E213" s="1">
        <v>1.0</v>
      </c>
      <c r="F213" s="1">
        <v>0.0</v>
      </c>
    </row>
    <row r="214" ht="12.75" customHeight="1">
      <c r="A214" s="1">
        <v>4.0</v>
      </c>
      <c r="B214" s="2">
        <v>1660109.0</v>
      </c>
      <c r="C214" s="1" t="s">
        <v>66</v>
      </c>
      <c r="D214" s="1" t="s">
        <v>347</v>
      </c>
      <c r="E214" s="1">
        <v>1.0</v>
      </c>
      <c r="F214" s="1">
        <v>0.0</v>
      </c>
    </row>
    <row r="215" ht="12.75" customHeight="1">
      <c r="A215" s="1">
        <v>4.0</v>
      </c>
      <c r="B215" s="2">
        <v>561192.0</v>
      </c>
      <c r="C215" s="1" t="s">
        <v>348</v>
      </c>
      <c r="D215" s="1" t="s">
        <v>349</v>
      </c>
      <c r="E215" s="1">
        <v>1.0</v>
      </c>
      <c r="F215" s="1">
        <v>0.0</v>
      </c>
    </row>
    <row r="216" ht="12.75" customHeight="1">
      <c r="A216" s="1">
        <v>4.0</v>
      </c>
      <c r="B216" s="2">
        <v>3550812.0</v>
      </c>
      <c r="C216" s="1" t="s">
        <v>191</v>
      </c>
      <c r="D216" s="1" t="s">
        <v>350</v>
      </c>
      <c r="E216" s="1">
        <v>1.0</v>
      </c>
      <c r="F216" s="1">
        <v>0.0</v>
      </c>
    </row>
    <row r="217" ht="12.75" customHeight="1">
      <c r="A217" s="1">
        <v>4.0</v>
      </c>
      <c r="B217" s="2" t="s">
        <v>351</v>
      </c>
      <c r="C217" s="1" t="s">
        <v>352</v>
      </c>
      <c r="D217" s="1" t="s">
        <v>353</v>
      </c>
      <c r="E217" s="1">
        <v>1.0</v>
      </c>
      <c r="F217" s="1">
        <v>0.0</v>
      </c>
    </row>
    <row r="218" ht="12.75" customHeight="1">
      <c r="A218" s="1">
        <v>4.0</v>
      </c>
      <c r="B218" s="2">
        <v>1360305.0</v>
      </c>
      <c r="C218" s="1" t="s">
        <v>18</v>
      </c>
      <c r="D218" s="1" t="s">
        <v>354</v>
      </c>
      <c r="E218" s="1">
        <v>1.0</v>
      </c>
      <c r="F218" s="1">
        <v>0.0</v>
      </c>
    </row>
    <row r="219" ht="12.75" customHeight="1">
      <c r="A219" s="1">
        <v>4.0</v>
      </c>
      <c r="B219" s="2">
        <v>3801263.0</v>
      </c>
      <c r="C219" s="1" t="s">
        <v>55</v>
      </c>
      <c r="D219" s="1" t="s">
        <v>355</v>
      </c>
      <c r="E219" s="1">
        <v>1.0</v>
      </c>
      <c r="F219" s="1">
        <v>0.0</v>
      </c>
    </row>
    <row r="220" ht="12.75" customHeight="1">
      <c r="A220" s="1">
        <v>4.0</v>
      </c>
      <c r="B220" s="2">
        <v>9910102.0</v>
      </c>
      <c r="C220" s="1" t="s">
        <v>356</v>
      </c>
      <c r="D220" s="1" t="s">
        <v>357</v>
      </c>
      <c r="E220" s="1">
        <v>1.0</v>
      </c>
      <c r="F220" s="1">
        <v>0.0</v>
      </c>
    </row>
    <row r="221" ht="12.75" customHeight="1">
      <c r="A221" s="1">
        <v>4.0</v>
      </c>
      <c r="B221" s="2" t="s">
        <v>358</v>
      </c>
      <c r="C221" s="1" t="s">
        <v>359</v>
      </c>
      <c r="D221" s="1" t="s">
        <v>357</v>
      </c>
      <c r="E221" s="1">
        <v>1.0</v>
      </c>
      <c r="F221" s="1">
        <v>0.0</v>
      </c>
    </row>
    <row r="222" ht="12.75" customHeight="1">
      <c r="A222" s="1">
        <v>4.0</v>
      </c>
      <c r="B222" s="2" t="s">
        <v>360</v>
      </c>
      <c r="C222" s="1" t="s">
        <v>25</v>
      </c>
      <c r="D222" s="1" t="s">
        <v>361</v>
      </c>
      <c r="E222" s="1">
        <v>1.0</v>
      </c>
      <c r="F222" s="1">
        <v>0.0</v>
      </c>
    </row>
    <row r="223" ht="12.75" customHeight="1">
      <c r="A223" s="1">
        <v>4.0</v>
      </c>
      <c r="B223" s="2">
        <v>3801960.0</v>
      </c>
      <c r="C223" s="1" t="s">
        <v>25</v>
      </c>
      <c r="D223" s="1" t="s">
        <v>362</v>
      </c>
      <c r="E223" s="1">
        <v>1.0</v>
      </c>
      <c r="F223" s="1">
        <v>0.0</v>
      </c>
    </row>
    <row r="224" ht="12.75" customHeight="1">
      <c r="A224" s="1">
        <v>4.0</v>
      </c>
      <c r="B224" s="2">
        <v>1403004.0</v>
      </c>
      <c r="C224" s="1" t="s">
        <v>269</v>
      </c>
      <c r="D224" s="1" t="s">
        <v>363</v>
      </c>
      <c r="E224" s="1">
        <v>1.0</v>
      </c>
      <c r="F224" s="1">
        <v>0.0</v>
      </c>
    </row>
    <row r="225" ht="12.75" customHeight="1">
      <c r="A225" s="1">
        <v>4.0</v>
      </c>
      <c r="B225" s="2">
        <v>7300102.0</v>
      </c>
      <c r="C225" s="1" t="s">
        <v>364</v>
      </c>
      <c r="D225" s="1" t="s">
        <v>365</v>
      </c>
      <c r="E225" s="1">
        <v>1.0</v>
      </c>
      <c r="F225" s="1">
        <v>0.0</v>
      </c>
    </row>
    <row r="226" ht="12.75" customHeight="1">
      <c r="A226" s="1">
        <v>4.0</v>
      </c>
      <c r="B226" s="2">
        <v>1660306.0</v>
      </c>
      <c r="C226" s="1" t="s">
        <v>49</v>
      </c>
      <c r="D226" s="1" t="s">
        <v>366</v>
      </c>
      <c r="E226" s="1">
        <v>1.0</v>
      </c>
      <c r="F226" s="1">
        <v>0.0</v>
      </c>
    </row>
    <row r="227" ht="12.75" customHeight="1">
      <c r="A227" s="1">
        <v>4.0</v>
      </c>
      <c r="B227" s="2">
        <v>8821650.0</v>
      </c>
      <c r="C227" s="1" t="s">
        <v>367</v>
      </c>
      <c r="D227" s="1" t="s">
        <v>368</v>
      </c>
      <c r="E227" s="1">
        <v>1.0</v>
      </c>
      <c r="F227" s="1">
        <v>0.0</v>
      </c>
    </row>
    <row r="228" ht="12.75" customHeight="1">
      <c r="A228" s="1">
        <v>4.0</v>
      </c>
      <c r="B228" s="2">
        <v>8821647.0</v>
      </c>
      <c r="C228" s="1" t="s">
        <v>178</v>
      </c>
      <c r="D228" s="1" t="s">
        <v>369</v>
      </c>
      <c r="E228" s="1">
        <v>1.0</v>
      </c>
      <c r="F228" s="1">
        <v>0.0</v>
      </c>
    </row>
    <row r="229" ht="12.75" customHeight="1">
      <c r="A229" s="1">
        <v>4.0</v>
      </c>
      <c r="B229" s="2">
        <v>1660311.0</v>
      </c>
      <c r="C229" s="1" t="s">
        <v>370</v>
      </c>
      <c r="D229" s="1" t="s">
        <v>371</v>
      </c>
      <c r="E229" s="1">
        <v>1.0</v>
      </c>
      <c r="F229" s="1">
        <v>0.0</v>
      </c>
    </row>
    <row r="230" ht="12.75" customHeight="1">
      <c r="A230" s="1">
        <v>4.0</v>
      </c>
      <c r="B230" s="2">
        <v>8321506.0</v>
      </c>
      <c r="C230" s="1" t="s">
        <v>278</v>
      </c>
      <c r="D230" s="1" t="s">
        <v>372</v>
      </c>
      <c r="E230" s="1">
        <v>1.0</v>
      </c>
      <c r="F230" s="1">
        <v>0.0</v>
      </c>
    </row>
    <row r="231" ht="12.75" customHeight="1">
      <c r="A231" s="1">
        <v>4.0</v>
      </c>
      <c r="B231" s="2">
        <v>3802052.0</v>
      </c>
      <c r="C231" s="1" t="s">
        <v>25</v>
      </c>
      <c r="D231" s="1" t="s">
        <v>373</v>
      </c>
      <c r="E231" s="1">
        <v>1.0</v>
      </c>
      <c r="F231" s="1">
        <v>0.0</v>
      </c>
    </row>
    <row r="232" ht="12.75" customHeight="1">
      <c r="A232" s="1">
        <v>4.0</v>
      </c>
      <c r="B232" s="2">
        <v>130202.0</v>
      </c>
      <c r="C232" s="1" t="s">
        <v>374</v>
      </c>
      <c r="D232" s="1" t="s">
        <v>375</v>
      </c>
      <c r="E232" s="1">
        <v>1.0</v>
      </c>
      <c r="F232" s="1">
        <v>0.0</v>
      </c>
    </row>
    <row r="233" ht="12.75" customHeight="1">
      <c r="A233" s="1">
        <v>4.0</v>
      </c>
      <c r="B233" s="2">
        <v>3801544.0</v>
      </c>
      <c r="C233" s="1" t="s">
        <v>47</v>
      </c>
      <c r="D233" s="1" t="s">
        <v>85</v>
      </c>
      <c r="E233" s="1">
        <v>1.0</v>
      </c>
      <c r="F233" s="1">
        <v>1.0</v>
      </c>
    </row>
    <row r="234" ht="12.75" customHeight="1">
      <c r="A234" s="1">
        <v>4.0</v>
      </c>
      <c r="B234" s="2" t="s">
        <v>376</v>
      </c>
      <c r="C234" s="1" t="s">
        <v>312</v>
      </c>
      <c r="D234" s="1" t="s">
        <v>377</v>
      </c>
      <c r="E234" s="1">
        <v>1.0</v>
      </c>
      <c r="F234" s="1">
        <v>1.0</v>
      </c>
    </row>
    <row r="235" ht="12.75" customHeight="1">
      <c r="A235" s="1">
        <v>4.0</v>
      </c>
      <c r="B235" s="2">
        <v>3800266.0</v>
      </c>
      <c r="C235" s="1" t="s">
        <v>25</v>
      </c>
      <c r="D235" s="1" t="s">
        <v>378</v>
      </c>
      <c r="E235" s="1">
        <v>1.0</v>
      </c>
      <c r="F235" s="1">
        <v>1.0</v>
      </c>
    </row>
    <row r="236" ht="12.75" customHeight="1">
      <c r="A236" s="1">
        <v>4.0</v>
      </c>
      <c r="B236" s="2">
        <v>3802011.0</v>
      </c>
      <c r="C236" s="1" t="s">
        <v>25</v>
      </c>
      <c r="D236" s="1" t="s">
        <v>379</v>
      </c>
      <c r="E236" s="1">
        <v>1.0</v>
      </c>
      <c r="F236" s="1">
        <v>7.0</v>
      </c>
    </row>
    <row r="237" ht="12.75" customHeight="1">
      <c r="A237" s="1">
        <v>4.0</v>
      </c>
      <c r="B237" s="2" t="s">
        <v>380</v>
      </c>
      <c r="C237" s="1" t="s">
        <v>381</v>
      </c>
      <c r="D237" s="1" t="s">
        <v>382</v>
      </c>
      <c r="E237" s="1">
        <v>1.0</v>
      </c>
      <c r="F237" s="1">
        <v>7.0</v>
      </c>
    </row>
    <row r="238" ht="12.75" customHeight="1">
      <c r="A238" s="1">
        <v>4.0</v>
      </c>
      <c r="B238" s="2" t="s">
        <v>383</v>
      </c>
      <c r="C238" s="1" t="s">
        <v>384</v>
      </c>
      <c r="D238" s="1" t="s">
        <v>385</v>
      </c>
      <c r="E238" s="1">
        <v>1.0</v>
      </c>
      <c r="F238" s="1">
        <v>7.0</v>
      </c>
    </row>
    <row r="239" ht="12.75" customHeight="1">
      <c r="A239" s="1">
        <v>4.0</v>
      </c>
      <c r="B239" s="2">
        <v>3802005.0</v>
      </c>
      <c r="C239" s="1" t="s">
        <v>152</v>
      </c>
      <c r="D239" s="1" t="s">
        <v>386</v>
      </c>
      <c r="E239" s="1">
        <v>1.0</v>
      </c>
      <c r="F239" s="1">
        <v>10.0</v>
      </c>
    </row>
    <row r="240" ht="12.75" customHeight="1">
      <c r="A240" s="1">
        <v>3.0</v>
      </c>
      <c r="B240" s="2">
        <v>1990104.0</v>
      </c>
      <c r="C240" s="1" t="s">
        <v>117</v>
      </c>
      <c r="D240" s="1" t="s">
        <v>387</v>
      </c>
      <c r="E240" s="1">
        <v>1.0</v>
      </c>
      <c r="F240" s="1">
        <v>0.0</v>
      </c>
    </row>
    <row r="241" ht="12.75" customHeight="1">
      <c r="A241" s="1">
        <v>3.0</v>
      </c>
      <c r="B241" s="2">
        <v>3801964.0</v>
      </c>
      <c r="C241" s="1" t="s">
        <v>220</v>
      </c>
      <c r="D241" s="1" t="s">
        <v>388</v>
      </c>
      <c r="E241" s="1">
        <v>1.0</v>
      </c>
      <c r="F241" s="1">
        <v>0.0</v>
      </c>
    </row>
    <row r="242" ht="12.75" customHeight="1">
      <c r="A242" s="1">
        <v>3.0</v>
      </c>
      <c r="B242" s="2" t="s">
        <v>389</v>
      </c>
      <c r="C242" s="1" t="s">
        <v>21</v>
      </c>
      <c r="D242" s="1" t="s">
        <v>390</v>
      </c>
      <c r="E242" s="1">
        <v>1.0</v>
      </c>
      <c r="F242" s="1">
        <v>0.0</v>
      </c>
    </row>
    <row r="243" ht="12.75" customHeight="1">
      <c r="A243" s="1">
        <v>3.0</v>
      </c>
      <c r="B243" s="2" t="s">
        <v>391</v>
      </c>
      <c r="C243" s="1" t="s">
        <v>21</v>
      </c>
      <c r="D243" s="1" t="s">
        <v>392</v>
      </c>
      <c r="E243" s="1">
        <v>1.0</v>
      </c>
      <c r="F243" s="1">
        <v>0.0</v>
      </c>
    </row>
    <row r="244" ht="12.75" customHeight="1">
      <c r="A244" s="1">
        <v>3.0</v>
      </c>
      <c r="B244" s="2" t="s">
        <v>393</v>
      </c>
      <c r="C244" s="1" t="s">
        <v>21</v>
      </c>
      <c r="D244" s="1" t="s">
        <v>394</v>
      </c>
      <c r="E244" s="1">
        <v>1.0</v>
      </c>
      <c r="F244" s="1">
        <v>0.0</v>
      </c>
    </row>
    <row r="245" ht="12.75" customHeight="1">
      <c r="A245" s="1">
        <v>3.0</v>
      </c>
      <c r="B245" s="2">
        <v>3801510.0</v>
      </c>
      <c r="C245" s="1" t="s">
        <v>21</v>
      </c>
      <c r="D245" s="1" t="s">
        <v>395</v>
      </c>
      <c r="E245" s="1">
        <v>1.0</v>
      </c>
      <c r="F245" s="1">
        <v>0.0</v>
      </c>
    </row>
    <row r="246" ht="12.75" customHeight="1">
      <c r="A246" s="1">
        <v>3.0</v>
      </c>
      <c r="B246" s="2">
        <v>3801518.0</v>
      </c>
      <c r="C246" s="1" t="s">
        <v>21</v>
      </c>
      <c r="D246" s="1" t="s">
        <v>396</v>
      </c>
      <c r="E246" s="1">
        <v>1.0</v>
      </c>
      <c r="F246" s="1">
        <v>0.0</v>
      </c>
    </row>
    <row r="247" ht="12.75" customHeight="1">
      <c r="A247" s="1">
        <v>3.0</v>
      </c>
      <c r="B247" s="2" t="s">
        <v>397</v>
      </c>
      <c r="C247" s="1" t="s">
        <v>398</v>
      </c>
      <c r="D247" s="1" t="s">
        <v>303</v>
      </c>
      <c r="E247" s="1">
        <v>1.0</v>
      </c>
      <c r="F247" s="1">
        <v>0.0</v>
      </c>
    </row>
    <row r="248" ht="12.75" customHeight="1">
      <c r="A248" s="1">
        <v>3.0</v>
      </c>
      <c r="B248" s="2">
        <v>3800346.0</v>
      </c>
      <c r="C248" s="1" t="s">
        <v>37</v>
      </c>
      <c r="D248" s="1" t="s">
        <v>399</v>
      </c>
      <c r="E248" s="1">
        <v>1.0</v>
      </c>
      <c r="F248" s="1">
        <v>0.0</v>
      </c>
    </row>
    <row r="249" ht="12.75" customHeight="1">
      <c r="A249" s="1">
        <v>3.0</v>
      </c>
      <c r="B249" s="2">
        <v>3802559.0</v>
      </c>
      <c r="C249" s="1" t="s">
        <v>400</v>
      </c>
      <c r="D249" s="1" t="s">
        <v>401</v>
      </c>
      <c r="E249" s="1">
        <v>1.0</v>
      </c>
      <c r="F249" s="1">
        <v>0.0</v>
      </c>
    </row>
    <row r="250" ht="12.75" customHeight="1">
      <c r="A250" s="1">
        <v>3.0</v>
      </c>
      <c r="B250" s="2">
        <v>3550806.0</v>
      </c>
      <c r="C250" s="1" t="s">
        <v>191</v>
      </c>
      <c r="D250" s="1" t="s">
        <v>402</v>
      </c>
      <c r="E250" s="1">
        <v>1.0</v>
      </c>
      <c r="F250" s="1">
        <v>0.0</v>
      </c>
    </row>
    <row r="251" ht="12.75" customHeight="1">
      <c r="A251" s="1">
        <v>3.0</v>
      </c>
      <c r="B251" s="2">
        <v>3802003.0</v>
      </c>
      <c r="C251" s="1" t="s">
        <v>152</v>
      </c>
      <c r="D251" s="1" t="s">
        <v>403</v>
      </c>
      <c r="E251" s="1">
        <v>1.0</v>
      </c>
      <c r="F251" s="1">
        <v>0.0</v>
      </c>
    </row>
    <row r="252" ht="12.75" customHeight="1">
      <c r="A252" s="1">
        <v>3.0</v>
      </c>
      <c r="B252" s="2">
        <v>1660108.0</v>
      </c>
      <c r="C252" s="1" t="s">
        <v>49</v>
      </c>
      <c r="D252" s="1" t="s">
        <v>404</v>
      </c>
      <c r="E252" s="1">
        <v>1.0</v>
      </c>
      <c r="F252" s="1">
        <v>0.0</v>
      </c>
    </row>
    <row r="253" ht="12.75" customHeight="1">
      <c r="A253" s="1">
        <v>3.0</v>
      </c>
      <c r="B253" s="2" t="s">
        <v>405</v>
      </c>
      <c r="C253" s="1" t="s">
        <v>381</v>
      </c>
      <c r="D253" s="1" t="s">
        <v>382</v>
      </c>
      <c r="E253" s="1">
        <v>1.0</v>
      </c>
      <c r="F253" s="1">
        <v>0.0</v>
      </c>
    </row>
    <row r="254" ht="12.75" customHeight="1">
      <c r="A254" s="1">
        <v>3.0</v>
      </c>
      <c r="B254" s="2" t="s">
        <v>406</v>
      </c>
      <c r="C254" s="1" t="s">
        <v>133</v>
      </c>
      <c r="D254" s="1" t="s">
        <v>349</v>
      </c>
      <c r="E254" s="1">
        <v>1.0</v>
      </c>
      <c r="F254" s="1">
        <v>0.0</v>
      </c>
    </row>
    <row r="255" ht="12.75" customHeight="1">
      <c r="A255" s="1">
        <v>3.0</v>
      </c>
      <c r="B255" s="2">
        <v>3801535.0</v>
      </c>
      <c r="C255" s="1" t="s">
        <v>21</v>
      </c>
      <c r="D255" s="1" t="s">
        <v>407</v>
      </c>
      <c r="E255" s="1">
        <v>1.0</v>
      </c>
      <c r="F255" s="1">
        <v>0.0</v>
      </c>
    </row>
    <row r="256" ht="12.75" customHeight="1">
      <c r="A256" s="1">
        <v>3.0</v>
      </c>
      <c r="B256" s="2">
        <v>3801554.0</v>
      </c>
      <c r="C256" s="1" t="s">
        <v>21</v>
      </c>
      <c r="D256" s="1" t="s">
        <v>408</v>
      </c>
      <c r="E256" s="1">
        <v>1.0</v>
      </c>
      <c r="F256" s="1">
        <v>0.0</v>
      </c>
    </row>
    <row r="257" ht="12.75" customHeight="1">
      <c r="A257" s="1">
        <v>3.0</v>
      </c>
      <c r="B257" s="2">
        <v>1360307.0</v>
      </c>
      <c r="C257" s="1" t="s">
        <v>409</v>
      </c>
      <c r="D257" s="1" t="s">
        <v>410</v>
      </c>
      <c r="E257" s="1">
        <v>1.0</v>
      </c>
      <c r="F257" s="1">
        <v>0.0</v>
      </c>
    </row>
    <row r="258" ht="12.75" customHeight="1">
      <c r="A258" s="1">
        <v>3.0</v>
      </c>
      <c r="B258" s="2">
        <v>200506.0</v>
      </c>
      <c r="C258" s="1" t="s">
        <v>411</v>
      </c>
      <c r="D258" s="1" t="s">
        <v>412</v>
      </c>
      <c r="E258" s="1">
        <v>1.0</v>
      </c>
      <c r="F258" s="1">
        <v>0.0</v>
      </c>
    </row>
    <row r="259" ht="12.75" customHeight="1">
      <c r="A259" s="1">
        <v>3.0</v>
      </c>
      <c r="B259" s="2">
        <v>3801965.0</v>
      </c>
      <c r="C259" s="1" t="s">
        <v>25</v>
      </c>
      <c r="D259" s="1" t="s">
        <v>413</v>
      </c>
      <c r="E259" s="1">
        <v>1.0</v>
      </c>
      <c r="F259" s="1">
        <v>0.0</v>
      </c>
    </row>
    <row r="260" ht="12.75" customHeight="1">
      <c r="A260" s="1">
        <v>3.0</v>
      </c>
      <c r="B260" s="2" t="s">
        <v>414</v>
      </c>
      <c r="C260" s="1" t="s">
        <v>346</v>
      </c>
      <c r="D260" s="1" t="s">
        <v>415</v>
      </c>
      <c r="E260" s="1">
        <v>1.0</v>
      </c>
      <c r="F260" s="1">
        <v>0.0</v>
      </c>
    </row>
    <row r="261" ht="12.75" customHeight="1">
      <c r="A261" s="1">
        <v>3.0</v>
      </c>
      <c r="B261" s="2">
        <v>3801923.0</v>
      </c>
      <c r="C261" s="1" t="s">
        <v>416</v>
      </c>
      <c r="D261" s="1" t="s">
        <v>417</v>
      </c>
      <c r="E261" s="1">
        <v>1.0</v>
      </c>
      <c r="F261" s="1">
        <v>0.0</v>
      </c>
    </row>
    <row r="262" ht="12.75" customHeight="1">
      <c r="A262" s="1">
        <v>3.0</v>
      </c>
      <c r="B262" s="2">
        <v>1403014.0</v>
      </c>
      <c r="C262" s="1" t="s">
        <v>269</v>
      </c>
      <c r="D262" s="1" t="s">
        <v>418</v>
      </c>
      <c r="E262" s="1">
        <v>1.0</v>
      </c>
      <c r="F262" s="1">
        <v>0.0</v>
      </c>
    </row>
    <row r="263" ht="12.75" customHeight="1">
      <c r="A263" s="1">
        <v>3.0</v>
      </c>
      <c r="B263" s="2">
        <v>1403016.0</v>
      </c>
      <c r="C263" s="1" t="s">
        <v>269</v>
      </c>
      <c r="D263" s="1" t="s">
        <v>419</v>
      </c>
      <c r="E263" s="1">
        <v>1.0</v>
      </c>
      <c r="F263" s="1">
        <v>0.0</v>
      </c>
    </row>
    <row r="264" ht="12.75" customHeight="1">
      <c r="A264" s="1">
        <v>3.0</v>
      </c>
      <c r="B264" s="2">
        <v>1130861.0</v>
      </c>
      <c r="C264" s="1" t="s">
        <v>420</v>
      </c>
      <c r="D264" s="1" t="s">
        <v>421</v>
      </c>
      <c r="E264" s="1">
        <v>1.0</v>
      </c>
      <c r="F264" s="1">
        <v>0.0</v>
      </c>
    </row>
    <row r="265" ht="12.75" customHeight="1">
      <c r="A265" s="1">
        <v>3.0</v>
      </c>
      <c r="B265" s="2">
        <v>8050515.0</v>
      </c>
      <c r="C265" s="1" t="s">
        <v>6</v>
      </c>
      <c r="D265" s="1" t="s">
        <v>422</v>
      </c>
      <c r="E265" s="1">
        <v>1.0</v>
      </c>
      <c r="F265" s="1">
        <v>0.0</v>
      </c>
    </row>
    <row r="266" ht="12.75" customHeight="1">
      <c r="A266" s="1">
        <v>3.0</v>
      </c>
      <c r="B266" s="2">
        <v>3801933.0</v>
      </c>
      <c r="C266" s="1" t="s">
        <v>25</v>
      </c>
      <c r="D266" s="1" t="s">
        <v>423</v>
      </c>
      <c r="E266" s="1">
        <v>1.0</v>
      </c>
      <c r="F266" s="1">
        <v>0.0</v>
      </c>
    </row>
    <row r="267" ht="12.75" customHeight="1">
      <c r="A267" s="1">
        <v>3.0</v>
      </c>
      <c r="B267" s="2">
        <v>4690620.0</v>
      </c>
      <c r="C267" s="1" t="s">
        <v>424</v>
      </c>
      <c r="D267" s="1" t="s">
        <v>425</v>
      </c>
      <c r="E267" s="1">
        <v>1.0</v>
      </c>
      <c r="F267" s="1">
        <v>0.0</v>
      </c>
    </row>
    <row r="268" ht="12.75" customHeight="1">
      <c r="A268" s="1">
        <v>3.0</v>
      </c>
      <c r="B268" s="2">
        <v>8821636.0</v>
      </c>
      <c r="C268" s="1" t="s">
        <v>173</v>
      </c>
      <c r="D268" s="1" t="s">
        <v>426</v>
      </c>
      <c r="E268" s="1">
        <v>1.0</v>
      </c>
      <c r="F268" s="1">
        <v>0.0</v>
      </c>
    </row>
    <row r="269" ht="12.75" customHeight="1">
      <c r="A269" s="1">
        <v>3.0</v>
      </c>
      <c r="B269" s="2">
        <v>8821648.0</v>
      </c>
      <c r="C269" s="1" t="s">
        <v>427</v>
      </c>
      <c r="D269" s="1" t="s">
        <v>428</v>
      </c>
      <c r="E269" s="1">
        <v>1.0</v>
      </c>
      <c r="F269" s="1">
        <v>0.0</v>
      </c>
    </row>
    <row r="270" ht="12.75" customHeight="1">
      <c r="A270" s="1">
        <v>3.0</v>
      </c>
      <c r="B270" s="2">
        <v>8821655.0</v>
      </c>
      <c r="C270" s="1" t="s">
        <v>178</v>
      </c>
      <c r="D270" s="1" t="s">
        <v>429</v>
      </c>
      <c r="E270" s="1">
        <v>1.0</v>
      </c>
      <c r="F270" s="1">
        <v>0.0</v>
      </c>
    </row>
    <row r="271" ht="12.75" customHeight="1">
      <c r="A271" s="1">
        <v>3.0</v>
      </c>
      <c r="B271" s="2" t="s">
        <v>430</v>
      </c>
      <c r="C271" s="1" t="s">
        <v>431</v>
      </c>
      <c r="D271" s="1" t="s">
        <v>432</v>
      </c>
      <c r="E271" s="1">
        <v>1.0</v>
      </c>
      <c r="F271" s="1">
        <v>0.0</v>
      </c>
    </row>
    <row r="272" ht="12.75" customHeight="1">
      <c r="A272" s="1">
        <v>3.0</v>
      </c>
      <c r="B272" s="2">
        <v>1660201.0</v>
      </c>
      <c r="C272" s="1" t="s">
        <v>49</v>
      </c>
      <c r="D272" s="1" t="s">
        <v>371</v>
      </c>
      <c r="E272" s="1">
        <v>1.0</v>
      </c>
      <c r="F272" s="1">
        <v>0.0</v>
      </c>
    </row>
    <row r="273" ht="12.75" customHeight="1">
      <c r="A273" s="1">
        <v>3.0</v>
      </c>
      <c r="B273" s="2">
        <v>1660309.0</v>
      </c>
      <c r="C273" s="1" t="s">
        <v>433</v>
      </c>
      <c r="D273" s="1" t="s">
        <v>371</v>
      </c>
      <c r="E273" s="1">
        <v>1.0</v>
      </c>
      <c r="F273" s="1">
        <v>0.0</v>
      </c>
    </row>
    <row r="274" ht="12.75" customHeight="1">
      <c r="A274" s="1">
        <v>3.0</v>
      </c>
      <c r="B274" s="2">
        <v>8320402.0</v>
      </c>
      <c r="C274" s="1" t="s">
        <v>278</v>
      </c>
      <c r="D274" s="1" t="s">
        <v>434</v>
      </c>
      <c r="E274" s="1">
        <v>1.0</v>
      </c>
      <c r="F274" s="1">
        <v>0.0</v>
      </c>
    </row>
    <row r="275" ht="12.75" customHeight="1">
      <c r="A275" s="1">
        <v>3.0</v>
      </c>
      <c r="B275" s="2">
        <v>3801955.0</v>
      </c>
      <c r="C275" s="1" t="s">
        <v>220</v>
      </c>
      <c r="D275" s="1" t="s">
        <v>435</v>
      </c>
      <c r="E275" s="1">
        <v>1.0</v>
      </c>
      <c r="F275" s="1">
        <v>0.0</v>
      </c>
    </row>
    <row r="276" ht="12.75" customHeight="1">
      <c r="A276" s="1">
        <v>3.0</v>
      </c>
      <c r="B276" s="2">
        <v>3801515.0</v>
      </c>
      <c r="C276" s="1" t="s">
        <v>21</v>
      </c>
      <c r="D276" s="1" t="s">
        <v>436</v>
      </c>
      <c r="E276" s="1">
        <v>1.0</v>
      </c>
      <c r="F276" s="1">
        <v>1.0</v>
      </c>
    </row>
    <row r="277" ht="12.75" customHeight="1">
      <c r="A277" s="1">
        <v>3.0</v>
      </c>
      <c r="B277" s="2">
        <v>3802550.0</v>
      </c>
      <c r="C277" s="1" t="s">
        <v>101</v>
      </c>
      <c r="D277" s="1" t="s">
        <v>437</v>
      </c>
      <c r="E277" s="1">
        <v>1.0</v>
      </c>
      <c r="F277" s="1">
        <v>1.0</v>
      </c>
    </row>
    <row r="278" ht="12.75" customHeight="1">
      <c r="A278" s="1">
        <v>3.0</v>
      </c>
      <c r="B278" s="2">
        <v>90100.0</v>
      </c>
      <c r="C278" s="1" t="s">
        <v>438</v>
      </c>
      <c r="D278" s="1" t="s">
        <v>439</v>
      </c>
      <c r="E278" s="1">
        <v>1.0</v>
      </c>
      <c r="F278" s="1">
        <v>1.0</v>
      </c>
    </row>
    <row r="279" ht="12.75" customHeight="1">
      <c r="A279" s="1">
        <v>3.0</v>
      </c>
      <c r="B279" s="2">
        <v>8270320.0</v>
      </c>
      <c r="C279" s="1" t="s">
        <v>440</v>
      </c>
      <c r="D279" s="1" t="s">
        <v>441</v>
      </c>
      <c r="E279" s="1">
        <v>1.0</v>
      </c>
      <c r="F279" s="1">
        <v>1.0</v>
      </c>
    </row>
    <row r="280" ht="12.75" customHeight="1">
      <c r="A280" s="1">
        <v>3.0</v>
      </c>
      <c r="B280" s="2" t="s">
        <v>442</v>
      </c>
      <c r="C280" s="1" t="s">
        <v>443</v>
      </c>
      <c r="D280" s="1" t="s">
        <v>444</v>
      </c>
      <c r="E280" s="1">
        <v>1.0</v>
      </c>
      <c r="F280" s="1">
        <v>1.0</v>
      </c>
    </row>
    <row r="281" ht="12.75" customHeight="1">
      <c r="A281" s="1">
        <v>3.0</v>
      </c>
      <c r="B281" s="2">
        <v>3805011.0</v>
      </c>
      <c r="C281" s="1" t="s">
        <v>121</v>
      </c>
      <c r="D281" s="1" t="s">
        <v>445</v>
      </c>
      <c r="E281" s="1">
        <v>1.0</v>
      </c>
      <c r="F281" s="1">
        <v>7.0</v>
      </c>
    </row>
    <row r="282" ht="12.75" customHeight="1">
      <c r="A282" s="1">
        <v>3.0</v>
      </c>
      <c r="B282" s="2" t="s">
        <v>446</v>
      </c>
      <c r="C282" s="1" t="s">
        <v>447</v>
      </c>
      <c r="D282" s="1" t="s">
        <v>341</v>
      </c>
      <c r="E282" s="1">
        <v>1.0</v>
      </c>
      <c r="F282" s="1">
        <v>7.0</v>
      </c>
    </row>
    <row r="283" ht="12.75" customHeight="1">
      <c r="A283" s="1">
        <v>3.0</v>
      </c>
      <c r="B283" s="2">
        <v>2990006.0</v>
      </c>
      <c r="C283" s="1" t="s">
        <v>333</v>
      </c>
      <c r="D283" s="1" t="s">
        <v>204</v>
      </c>
      <c r="E283" s="1">
        <v>1.0</v>
      </c>
      <c r="F283" s="1">
        <v>8.0</v>
      </c>
    </row>
    <row r="284" ht="12.75" customHeight="1">
      <c r="A284" s="1">
        <v>3.0</v>
      </c>
      <c r="B284" s="2" t="s">
        <v>448</v>
      </c>
      <c r="C284" s="1" t="s">
        <v>449</v>
      </c>
      <c r="D284" s="1" t="s">
        <v>283</v>
      </c>
      <c r="E284" s="1">
        <v>1.0</v>
      </c>
      <c r="F284" s="1">
        <v>8.0</v>
      </c>
    </row>
    <row r="285" ht="12.75" customHeight="1">
      <c r="A285" s="1">
        <v>3.0</v>
      </c>
      <c r="B285" s="2" t="s">
        <v>450</v>
      </c>
      <c r="C285" s="1" t="s">
        <v>143</v>
      </c>
      <c r="D285" s="1" t="s">
        <v>195</v>
      </c>
      <c r="E285" s="1">
        <v>1.0</v>
      </c>
      <c r="F285" s="1">
        <v>10.0</v>
      </c>
    </row>
    <row r="286" ht="12.75" customHeight="1">
      <c r="A286" s="1">
        <v>3.0</v>
      </c>
      <c r="B286" s="2">
        <v>3801557.0</v>
      </c>
      <c r="C286" s="1" t="s">
        <v>47</v>
      </c>
      <c r="D286" s="1" t="s">
        <v>451</v>
      </c>
      <c r="E286" s="1">
        <v>1.0</v>
      </c>
      <c r="F286" s="1">
        <v>11.0</v>
      </c>
    </row>
    <row r="287" ht="12.75" customHeight="1">
      <c r="A287" s="1">
        <v>2.0</v>
      </c>
      <c r="B287" s="2">
        <v>3800347.0</v>
      </c>
      <c r="C287" s="1" t="s">
        <v>37</v>
      </c>
      <c r="D287" s="6">
        <v>304.0</v>
      </c>
      <c r="E287" s="1">
        <v>1.0</v>
      </c>
      <c r="F287" s="1">
        <v>0.0</v>
      </c>
    </row>
    <row r="288" ht="12.75" customHeight="1">
      <c r="A288" s="1">
        <v>2.0</v>
      </c>
      <c r="B288" s="2" t="s">
        <v>452</v>
      </c>
      <c r="C288" s="1" t="s">
        <v>133</v>
      </c>
      <c r="D288" s="1" t="s">
        <v>453</v>
      </c>
      <c r="E288" s="1">
        <v>1.0</v>
      </c>
      <c r="F288" s="1">
        <v>0.0</v>
      </c>
    </row>
    <row r="289" ht="12.75" customHeight="1">
      <c r="A289" s="1">
        <v>2.0</v>
      </c>
      <c r="B289" s="2" t="s">
        <v>454</v>
      </c>
      <c r="C289" s="1" t="s">
        <v>455</v>
      </c>
      <c r="D289" s="1" t="s">
        <v>95</v>
      </c>
      <c r="E289" s="1">
        <v>1.0</v>
      </c>
      <c r="F289" s="1">
        <v>0.0</v>
      </c>
    </row>
    <row r="290" ht="12.75" customHeight="1">
      <c r="A290" s="1">
        <v>2.0</v>
      </c>
      <c r="B290" s="2" t="s">
        <v>456</v>
      </c>
      <c r="C290" s="1" t="s">
        <v>457</v>
      </c>
      <c r="D290" s="1" t="s">
        <v>458</v>
      </c>
      <c r="E290" s="1">
        <v>1.0</v>
      </c>
      <c r="F290" s="1">
        <v>0.0</v>
      </c>
    </row>
    <row r="291" ht="12.75" customHeight="1">
      <c r="A291" s="1">
        <v>2.0</v>
      </c>
      <c r="B291" s="2">
        <v>160002.0</v>
      </c>
      <c r="C291" s="1" t="s">
        <v>91</v>
      </c>
      <c r="D291" s="1" t="s">
        <v>459</v>
      </c>
      <c r="E291" s="1">
        <v>1.0</v>
      </c>
      <c r="F291" s="1">
        <v>0.0</v>
      </c>
    </row>
    <row r="292" ht="12.75" customHeight="1">
      <c r="A292" s="1">
        <v>2.0</v>
      </c>
      <c r="B292" s="2">
        <v>3802661.0</v>
      </c>
      <c r="C292" s="1" t="s">
        <v>400</v>
      </c>
      <c r="D292" s="1" t="s">
        <v>460</v>
      </c>
      <c r="E292" s="1">
        <v>1.0</v>
      </c>
      <c r="F292" s="1">
        <v>0.0</v>
      </c>
    </row>
    <row r="293" ht="12.75" customHeight="1">
      <c r="A293" s="1">
        <v>2.0</v>
      </c>
      <c r="B293" s="2">
        <v>3802057.0</v>
      </c>
      <c r="C293" s="1" t="s">
        <v>152</v>
      </c>
      <c r="D293" s="1" t="s">
        <v>461</v>
      </c>
      <c r="E293" s="1">
        <v>1.0</v>
      </c>
      <c r="F293" s="1">
        <v>0.0</v>
      </c>
    </row>
    <row r="294" ht="12.75" customHeight="1">
      <c r="A294" s="1">
        <v>2.0</v>
      </c>
      <c r="B294" s="2">
        <v>3801511.0</v>
      </c>
      <c r="C294" s="1" t="s">
        <v>462</v>
      </c>
      <c r="D294" s="1" t="s">
        <v>463</v>
      </c>
      <c r="E294" s="1">
        <v>1.0</v>
      </c>
      <c r="F294" s="1">
        <v>0.0</v>
      </c>
    </row>
    <row r="295" ht="12.75" customHeight="1">
      <c r="A295" s="1">
        <v>2.0</v>
      </c>
      <c r="B295" s="2">
        <v>3801318.0</v>
      </c>
      <c r="C295" s="1" t="s">
        <v>312</v>
      </c>
      <c r="D295" s="1" t="s">
        <v>464</v>
      </c>
      <c r="E295" s="1">
        <v>1.0</v>
      </c>
      <c r="F295" s="1">
        <v>0.0</v>
      </c>
    </row>
    <row r="296" ht="12.75" customHeight="1">
      <c r="A296" s="1">
        <v>2.0</v>
      </c>
      <c r="B296" s="2" t="s">
        <v>465</v>
      </c>
      <c r="C296" s="1" t="s">
        <v>466</v>
      </c>
      <c r="D296" s="1" t="s">
        <v>467</v>
      </c>
      <c r="E296" s="1">
        <v>1.0</v>
      </c>
      <c r="F296" s="1">
        <v>0.0</v>
      </c>
    </row>
    <row r="297" ht="12.75" customHeight="1">
      <c r="A297" s="1">
        <v>2.0</v>
      </c>
      <c r="B297" s="2" t="s">
        <v>468</v>
      </c>
      <c r="C297" s="1" t="s">
        <v>469</v>
      </c>
      <c r="D297" s="1" t="s">
        <v>470</v>
      </c>
      <c r="E297" s="1">
        <v>1.0</v>
      </c>
      <c r="F297" s="1">
        <v>0.0</v>
      </c>
    </row>
    <row r="298" ht="12.75" customHeight="1">
      <c r="A298" s="1">
        <v>2.0</v>
      </c>
      <c r="B298" s="2" t="s">
        <v>471</v>
      </c>
      <c r="C298" s="1" t="s">
        <v>37</v>
      </c>
      <c r="D298" s="1" t="s">
        <v>472</v>
      </c>
      <c r="E298" s="1">
        <v>1.0</v>
      </c>
      <c r="F298" s="1">
        <v>0.0</v>
      </c>
    </row>
    <row r="299" ht="12.75" customHeight="1">
      <c r="A299" s="1">
        <v>2.0</v>
      </c>
      <c r="B299" s="2">
        <v>1870101.0</v>
      </c>
      <c r="C299" s="1" t="s">
        <v>473</v>
      </c>
      <c r="D299" s="1" t="s">
        <v>474</v>
      </c>
      <c r="E299" s="1">
        <v>1.0</v>
      </c>
      <c r="F299" s="1">
        <v>0.0</v>
      </c>
    </row>
    <row r="300" ht="12.75" customHeight="1">
      <c r="A300" s="1">
        <v>2.0</v>
      </c>
      <c r="B300" s="2">
        <v>3802502.0</v>
      </c>
      <c r="C300" s="1" t="s">
        <v>207</v>
      </c>
      <c r="D300" s="1" t="s">
        <v>475</v>
      </c>
      <c r="E300" s="1">
        <v>1.0</v>
      </c>
      <c r="F300" s="1">
        <v>0.0</v>
      </c>
    </row>
    <row r="301" ht="12.75" customHeight="1">
      <c r="A301" s="1">
        <v>2.0</v>
      </c>
      <c r="B301" s="2">
        <v>3805021.0</v>
      </c>
      <c r="C301" s="1" t="s">
        <v>476</v>
      </c>
      <c r="D301" s="1" t="s">
        <v>477</v>
      </c>
      <c r="E301" s="1">
        <v>1.0</v>
      </c>
      <c r="F301" s="1">
        <v>0.0</v>
      </c>
    </row>
    <row r="302" ht="12.75" customHeight="1">
      <c r="A302" s="1">
        <v>2.0</v>
      </c>
      <c r="B302" s="2">
        <v>3802508.0</v>
      </c>
      <c r="C302" s="1" t="s">
        <v>207</v>
      </c>
      <c r="D302" s="1" t="s">
        <v>478</v>
      </c>
      <c r="E302" s="1">
        <v>1.0</v>
      </c>
      <c r="F302" s="1">
        <v>0.0</v>
      </c>
    </row>
    <row r="303" ht="12.75" customHeight="1">
      <c r="A303" s="1">
        <v>2.0</v>
      </c>
      <c r="B303" s="2">
        <v>3802507.0</v>
      </c>
      <c r="C303" s="1" t="s">
        <v>207</v>
      </c>
      <c r="D303" s="1" t="s">
        <v>479</v>
      </c>
      <c r="E303" s="1">
        <v>1.0</v>
      </c>
      <c r="F303" s="1">
        <v>0.0</v>
      </c>
    </row>
    <row r="304" ht="12.75" customHeight="1">
      <c r="A304" s="1">
        <v>2.0</v>
      </c>
      <c r="B304" s="2">
        <v>3801906.0</v>
      </c>
      <c r="C304" s="1" t="s">
        <v>25</v>
      </c>
      <c r="D304" s="1" t="s">
        <v>480</v>
      </c>
      <c r="E304" s="1">
        <v>1.0</v>
      </c>
      <c r="F304" s="1">
        <v>0.0</v>
      </c>
    </row>
    <row r="305" ht="12.75" customHeight="1">
      <c r="A305" s="1">
        <v>2.0</v>
      </c>
      <c r="B305" s="2" t="s">
        <v>481</v>
      </c>
      <c r="C305" s="1" t="s">
        <v>348</v>
      </c>
      <c r="D305" s="1" t="s">
        <v>482</v>
      </c>
      <c r="E305" s="1">
        <v>1.0</v>
      </c>
      <c r="F305" s="1">
        <v>0.0</v>
      </c>
    </row>
    <row r="306" ht="12.75" customHeight="1">
      <c r="A306" s="1">
        <v>2.0</v>
      </c>
      <c r="B306" s="2" t="s">
        <v>483</v>
      </c>
      <c r="C306" s="1" t="s">
        <v>381</v>
      </c>
      <c r="D306" s="1" t="s">
        <v>482</v>
      </c>
      <c r="E306" s="1">
        <v>1.0</v>
      </c>
      <c r="F306" s="1">
        <v>0.0</v>
      </c>
    </row>
    <row r="307" ht="12.75" customHeight="1">
      <c r="A307" s="1">
        <v>2.0</v>
      </c>
      <c r="B307" s="2" t="s">
        <v>484</v>
      </c>
      <c r="C307" s="1" t="s">
        <v>485</v>
      </c>
      <c r="D307" s="1" t="s">
        <v>486</v>
      </c>
      <c r="E307" s="1">
        <v>1.0</v>
      </c>
      <c r="F307" s="1">
        <v>0.0</v>
      </c>
    </row>
    <row r="308" ht="12.75" customHeight="1">
      <c r="A308" s="1">
        <v>2.0</v>
      </c>
      <c r="B308" s="2" t="s">
        <v>487</v>
      </c>
      <c r="C308" s="1" t="s">
        <v>488</v>
      </c>
      <c r="D308" s="1" t="s">
        <v>489</v>
      </c>
      <c r="E308" s="1">
        <v>1.0</v>
      </c>
      <c r="F308" s="1">
        <v>0.0</v>
      </c>
    </row>
    <row r="309" ht="12.75" customHeight="1">
      <c r="A309" s="1">
        <v>2.0</v>
      </c>
      <c r="B309" s="2">
        <v>1660214.0</v>
      </c>
      <c r="C309" s="1" t="s">
        <v>433</v>
      </c>
      <c r="D309" s="1" t="s">
        <v>490</v>
      </c>
      <c r="E309" s="1">
        <v>1.0</v>
      </c>
      <c r="F309" s="1">
        <v>0.0</v>
      </c>
    </row>
    <row r="310" ht="12.75" customHeight="1">
      <c r="A310" s="1">
        <v>2.0</v>
      </c>
      <c r="B310" s="2">
        <v>8501001.0</v>
      </c>
      <c r="C310" s="1" t="s">
        <v>491</v>
      </c>
      <c r="D310" s="1" t="s">
        <v>492</v>
      </c>
      <c r="E310" s="1">
        <v>1.0</v>
      </c>
      <c r="F310" s="1">
        <v>0.0</v>
      </c>
    </row>
    <row r="311" ht="12.75" customHeight="1">
      <c r="A311" s="1">
        <v>2.0</v>
      </c>
      <c r="B311" s="2">
        <v>3800313.0</v>
      </c>
      <c r="C311" s="1" t="s">
        <v>37</v>
      </c>
      <c r="D311" s="1" t="s">
        <v>493</v>
      </c>
      <c r="E311" s="1">
        <v>1.0</v>
      </c>
      <c r="F311" s="1">
        <v>0.0</v>
      </c>
    </row>
    <row r="312" ht="12.75" customHeight="1">
      <c r="A312" s="1">
        <v>2.0</v>
      </c>
      <c r="B312" s="2" t="s">
        <v>494</v>
      </c>
      <c r="C312" s="1" t="s">
        <v>495</v>
      </c>
      <c r="D312" s="1" t="s">
        <v>496</v>
      </c>
      <c r="E312" s="1">
        <v>1.0</v>
      </c>
      <c r="F312" s="1">
        <v>0.0</v>
      </c>
    </row>
    <row r="313" ht="12.75" customHeight="1">
      <c r="A313" s="1">
        <v>2.0</v>
      </c>
      <c r="B313" s="2">
        <v>4490104.0</v>
      </c>
      <c r="C313" s="1" t="s">
        <v>109</v>
      </c>
      <c r="D313" s="1" t="s">
        <v>497</v>
      </c>
      <c r="E313" s="1">
        <v>1.0</v>
      </c>
      <c r="F313" s="1">
        <v>0.0</v>
      </c>
    </row>
    <row r="314" ht="12.75" customHeight="1">
      <c r="A314" s="1">
        <v>2.0</v>
      </c>
      <c r="B314" s="2" t="s">
        <v>498</v>
      </c>
      <c r="C314" s="1" t="s">
        <v>352</v>
      </c>
      <c r="D314" s="1" t="s">
        <v>499</v>
      </c>
      <c r="E314" s="1">
        <v>1.0</v>
      </c>
      <c r="F314" s="1">
        <v>0.0</v>
      </c>
    </row>
    <row r="315" ht="12.75" customHeight="1">
      <c r="A315" s="1">
        <v>2.0</v>
      </c>
      <c r="B315" s="2">
        <v>3802219.0</v>
      </c>
      <c r="C315" s="1" t="s">
        <v>500</v>
      </c>
      <c r="D315" s="1" t="s">
        <v>501</v>
      </c>
      <c r="E315" s="1">
        <v>1.0</v>
      </c>
      <c r="F315" s="1">
        <v>0.0</v>
      </c>
    </row>
    <row r="316" ht="12.75" customHeight="1">
      <c r="A316" s="1">
        <v>2.0</v>
      </c>
      <c r="B316" s="2">
        <v>3801522.0</v>
      </c>
      <c r="C316" s="1" t="s">
        <v>21</v>
      </c>
      <c r="D316" s="1" t="s">
        <v>502</v>
      </c>
      <c r="E316" s="1">
        <v>1.0</v>
      </c>
      <c r="F316" s="1">
        <v>0.0</v>
      </c>
    </row>
    <row r="317" ht="12.75" customHeight="1">
      <c r="A317" s="1">
        <v>2.0</v>
      </c>
      <c r="B317" s="2">
        <v>3801525.0</v>
      </c>
      <c r="C317" s="1" t="s">
        <v>21</v>
      </c>
      <c r="D317" s="1" t="s">
        <v>503</v>
      </c>
      <c r="E317" s="1">
        <v>1.0</v>
      </c>
      <c r="F317" s="1">
        <v>0.0</v>
      </c>
    </row>
    <row r="318" ht="12.75" customHeight="1">
      <c r="A318" s="1">
        <v>2.0</v>
      </c>
      <c r="B318" s="2">
        <v>3801530.0</v>
      </c>
      <c r="C318" s="1" t="s">
        <v>21</v>
      </c>
      <c r="D318" s="1" t="s">
        <v>504</v>
      </c>
      <c r="E318" s="1">
        <v>1.0</v>
      </c>
      <c r="F318" s="1">
        <v>0.0</v>
      </c>
    </row>
    <row r="319" ht="12.75" customHeight="1">
      <c r="A319" s="1">
        <v>2.0</v>
      </c>
      <c r="B319" s="2">
        <v>3801542.0</v>
      </c>
      <c r="C319" s="1" t="s">
        <v>21</v>
      </c>
      <c r="D319" s="1" t="s">
        <v>505</v>
      </c>
      <c r="E319" s="1">
        <v>1.0</v>
      </c>
      <c r="F319" s="1">
        <v>0.0</v>
      </c>
    </row>
    <row r="320" ht="12.75" customHeight="1">
      <c r="A320" s="1">
        <v>2.0</v>
      </c>
      <c r="B320" s="2">
        <v>3801567.0</v>
      </c>
      <c r="C320" s="1" t="s">
        <v>21</v>
      </c>
      <c r="D320" s="1" t="s">
        <v>506</v>
      </c>
      <c r="E320" s="1">
        <v>1.0</v>
      </c>
      <c r="F320" s="1">
        <v>0.0</v>
      </c>
    </row>
    <row r="321" ht="12.75" customHeight="1">
      <c r="A321" s="1">
        <v>2.0</v>
      </c>
      <c r="B321" s="2">
        <v>3801509.0</v>
      </c>
      <c r="C321" s="1" t="s">
        <v>21</v>
      </c>
      <c r="D321" s="1" t="s">
        <v>507</v>
      </c>
      <c r="E321" s="1">
        <v>1.0</v>
      </c>
      <c r="F321" s="1">
        <v>0.0</v>
      </c>
    </row>
    <row r="322" ht="12.75" customHeight="1">
      <c r="A322" s="1">
        <v>2.0</v>
      </c>
      <c r="B322" s="2" t="s">
        <v>508</v>
      </c>
      <c r="C322" s="1" t="s">
        <v>25</v>
      </c>
      <c r="D322" s="1" t="s">
        <v>509</v>
      </c>
      <c r="E322" s="1">
        <v>1.0</v>
      </c>
      <c r="F322" s="1">
        <v>0.0</v>
      </c>
    </row>
    <row r="323" ht="12.75" customHeight="1">
      <c r="A323" s="1">
        <v>2.0</v>
      </c>
      <c r="B323" s="2" t="s">
        <v>510</v>
      </c>
      <c r="C323" s="1" t="s">
        <v>255</v>
      </c>
      <c r="D323" s="1" t="s">
        <v>511</v>
      </c>
      <c r="E323" s="1">
        <v>1.0</v>
      </c>
      <c r="F323" s="1">
        <v>0.0</v>
      </c>
    </row>
    <row r="324" ht="12.75" customHeight="1">
      <c r="A324" s="1">
        <v>2.0</v>
      </c>
      <c r="B324" s="2">
        <v>3800517.0</v>
      </c>
      <c r="C324" s="1" t="s">
        <v>512</v>
      </c>
      <c r="D324" s="1" t="s">
        <v>513</v>
      </c>
      <c r="E324" s="1">
        <v>1.0</v>
      </c>
      <c r="F324" s="1">
        <v>0.0</v>
      </c>
    </row>
    <row r="325" ht="12.75" customHeight="1">
      <c r="A325" s="1">
        <v>2.0</v>
      </c>
      <c r="B325" s="2">
        <v>5100203.0</v>
      </c>
      <c r="C325" s="1" t="s">
        <v>514</v>
      </c>
      <c r="D325" s="1" t="s">
        <v>515</v>
      </c>
      <c r="E325" s="1">
        <v>1.0</v>
      </c>
      <c r="F325" s="1">
        <v>0.0</v>
      </c>
    </row>
    <row r="326" ht="12.75" customHeight="1">
      <c r="A326" s="1">
        <v>2.0</v>
      </c>
      <c r="B326" s="2" t="s">
        <v>516</v>
      </c>
      <c r="C326" s="1" t="s">
        <v>229</v>
      </c>
      <c r="D326" s="1" t="s">
        <v>517</v>
      </c>
      <c r="E326" s="1">
        <v>1.0</v>
      </c>
      <c r="F326" s="1">
        <v>0.0</v>
      </c>
    </row>
    <row r="327" ht="12.75" customHeight="1">
      <c r="A327" s="1">
        <v>2.0</v>
      </c>
      <c r="B327" s="2" t="s">
        <v>518</v>
      </c>
      <c r="C327" s="1" t="s">
        <v>519</v>
      </c>
      <c r="D327" s="1" t="s">
        <v>520</v>
      </c>
      <c r="E327" s="1">
        <v>1.0</v>
      </c>
      <c r="F327" s="1">
        <v>0.0</v>
      </c>
    </row>
    <row r="328" ht="12.75" customHeight="1">
      <c r="A328" s="1">
        <v>2.0</v>
      </c>
      <c r="B328" s="2">
        <v>3801217.0</v>
      </c>
      <c r="C328" s="1" t="s">
        <v>521</v>
      </c>
      <c r="D328" s="1" t="s">
        <v>522</v>
      </c>
      <c r="E328" s="1">
        <v>1.0</v>
      </c>
      <c r="F328" s="1">
        <v>0.0</v>
      </c>
    </row>
    <row r="329" ht="12.75" customHeight="1">
      <c r="A329" s="1">
        <v>2.0</v>
      </c>
      <c r="B329" s="2">
        <v>3801261.0</v>
      </c>
      <c r="C329" s="1" t="s">
        <v>55</v>
      </c>
      <c r="D329" s="1" t="s">
        <v>523</v>
      </c>
      <c r="E329" s="1">
        <v>1.0</v>
      </c>
      <c r="F329" s="1">
        <v>0.0</v>
      </c>
    </row>
    <row r="330" ht="12.75" customHeight="1">
      <c r="A330" s="1">
        <v>2.0</v>
      </c>
      <c r="B330" s="2">
        <v>3801264.0</v>
      </c>
      <c r="C330" s="1" t="s">
        <v>242</v>
      </c>
      <c r="D330" s="1" t="s">
        <v>524</v>
      </c>
      <c r="E330" s="1">
        <v>1.0</v>
      </c>
      <c r="F330" s="1">
        <v>0.0</v>
      </c>
    </row>
    <row r="331" ht="12.75" customHeight="1">
      <c r="A331" s="1">
        <v>2.0</v>
      </c>
      <c r="B331" s="2">
        <v>1981008.0</v>
      </c>
      <c r="C331" s="1" t="s">
        <v>525</v>
      </c>
      <c r="D331" s="1" t="s">
        <v>526</v>
      </c>
      <c r="E331" s="1">
        <v>1.0</v>
      </c>
      <c r="F331" s="1">
        <v>0.0</v>
      </c>
    </row>
    <row r="332" ht="12.75" customHeight="1">
      <c r="A332" s="1">
        <v>2.0</v>
      </c>
      <c r="B332" s="2">
        <v>9910104.0</v>
      </c>
      <c r="C332" s="1" t="s">
        <v>356</v>
      </c>
      <c r="D332" s="1" t="s">
        <v>527</v>
      </c>
      <c r="E332" s="1">
        <v>1.0</v>
      </c>
      <c r="F332" s="1">
        <v>0.0</v>
      </c>
    </row>
    <row r="333" ht="12.75" customHeight="1">
      <c r="A333" s="1">
        <v>2.0</v>
      </c>
      <c r="B333" s="2">
        <v>3801049.0</v>
      </c>
      <c r="C333" s="1" t="s">
        <v>528</v>
      </c>
      <c r="D333" s="1" t="s">
        <v>529</v>
      </c>
      <c r="E333" s="1">
        <v>1.0</v>
      </c>
      <c r="F333" s="1">
        <v>0.0</v>
      </c>
    </row>
    <row r="334" ht="12.75" customHeight="1">
      <c r="A334" s="1">
        <v>2.0</v>
      </c>
      <c r="B334" s="2">
        <v>3800351.0</v>
      </c>
      <c r="C334" s="1" t="s">
        <v>37</v>
      </c>
      <c r="D334" s="1" t="s">
        <v>530</v>
      </c>
      <c r="E334" s="1">
        <v>1.0</v>
      </c>
      <c r="F334" s="1">
        <v>0.0</v>
      </c>
    </row>
    <row r="335" ht="12.75" customHeight="1">
      <c r="A335" s="1">
        <v>2.0</v>
      </c>
      <c r="B335" s="2">
        <v>3801951.0</v>
      </c>
      <c r="C335" s="1" t="s">
        <v>25</v>
      </c>
      <c r="D335" s="1" t="s">
        <v>531</v>
      </c>
      <c r="E335" s="1">
        <v>1.0</v>
      </c>
      <c r="F335" s="1">
        <v>0.0</v>
      </c>
    </row>
    <row r="336" ht="12.75" customHeight="1">
      <c r="A336" s="1">
        <v>2.0</v>
      </c>
      <c r="B336" s="2" t="s">
        <v>532</v>
      </c>
      <c r="C336" s="1" t="s">
        <v>533</v>
      </c>
      <c r="D336" s="1" t="s">
        <v>534</v>
      </c>
      <c r="E336" s="1">
        <v>1.0</v>
      </c>
      <c r="F336" s="1">
        <v>0.0</v>
      </c>
    </row>
    <row r="337" ht="12.75" customHeight="1">
      <c r="A337" s="1">
        <v>2.0</v>
      </c>
      <c r="B337" s="2">
        <v>1403012.0</v>
      </c>
      <c r="C337" s="1" t="s">
        <v>269</v>
      </c>
      <c r="D337" s="1" t="s">
        <v>535</v>
      </c>
      <c r="E337" s="1">
        <v>1.0</v>
      </c>
      <c r="F337" s="1">
        <v>0.0</v>
      </c>
    </row>
    <row r="338" ht="12.75" customHeight="1">
      <c r="A338" s="1">
        <v>2.0</v>
      </c>
      <c r="B338" s="2">
        <v>9620210.0</v>
      </c>
      <c r="C338" s="1" t="s">
        <v>536</v>
      </c>
      <c r="D338" s="1" t="s">
        <v>537</v>
      </c>
      <c r="E338" s="1">
        <v>1.0</v>
      </c>
      <c r="F338" s="1">
        <v>0.0</v>
      </c>
    </row>
    <row r="339" ht="12.75" customHeight="1">
      <c r="A339" s="1">
        <v>2.0</v>
      </c>
      <c r="B339" s="2">
        <v>5760202.0</v>
      </c>
      <c r="C339" s="1" t="s">
        <v>80</v>
      </c>
      <c r="D339" s="1" t="s">
        <v>538</v>
      </c>
      <c r="E339" s="1">
        <v>1.0</v>
      </c>
      <c r="F339" s="1">
        <v>0.0</v>
      </c>
    </row>
    <row r="340" ht="12.75" customHeight="1">
      <c r="A340" s="1">
        <v>2.0</v>
      </c>
      <c r="B340" s="2">
        <v>3690102.0</v>
      </c>
      <c r="C340" s="1" t="s">
        <v>539</v>
      </c>
      <c r="D340" s="1" t="s">
        <v>540</v>
      </c>
      <c r="E340" s="1">
        <v>1.0</v>
      </c>
      <c r="F340" s="1">
        <v>0.0</v>
      </c>
    </row>
    <row r="341" ht="12.75" customHeight="1">
      <c r="A341" s="1">
        <v>2.0</v>
      </c>
      <c r="B341" s="2" t="s">
        <v>541</v>
      </c>
      <c r="C341" s="1" t="s">
        <v>542</v>
      </c>
      <c r="D341" s="1" t="s">
        <v>543</v>
      </c>
      <c r="E341" s="1">
        <v>1.0</v>
      </c>
      <c r="F341" s="1">
        <v>0.0</v>
      </c>
    </row>
    <row r="342" ht="12.75" customHeight="1">
      <c r="A342" s="1">
        <v>2.0</v>
      </c>
      <c r="B342" s="2" t="s">
        <v>544</v>
      </c>
      <c r="C342" s="1" t="s">
        <v>545</v>
      </c>
      <c r="D342" s="1" t="s">
        <v>546</v>
      </c>
      <c r="E342" s="1">
        <v>1.0</v>
      </c>
      <c r="F342" s="1">
        <v>0.0</v>
      </c>
    </row>
    <row r="343" ht="12.75" customHeight="1">
      <c r="A343" s="1">
        <v>2.0</v>
      </c>
      <c r="B343" s="2">
        <v>550313.0</v>
      </c>
      <c r="C343" s="1" t="s">
        <v>547</v>
      </c>
      <c r="D343" s="1" t="s">
        <v>548</v>
      </c>
      <c r="E343" s="1">
        <v>1.0</v>
      </c>
      <c r="F343" s="1">
        <v>0.0</v>
      </c>
    </row>
    <row r="344" ht="12.75" customHeight="1">
      <c r="A344" s="1">
        <v>2.0</v>
      </c>
      <c r="B344" s="2">
        <v>3801351.0</v>
      </c>
      <c r="C344" s="1" t="s">
        <v>312</v>
      </c>
      <c r="D344" s="1" t="s">
        <v>549</v>
      </c>
      <c r="E344" s="1">
        <v>1.0</v>
      </c>
      <c r="F344" s="1">
        <v>0.0</v>
      </c>
    </row>
    <row r="345" ht="12.75" customHeight="1">
      <c r="A345" s="1">
        <v>2.0</v>
      </c>
      <c r="B345" s="2" t="s">
        <v>550</v>
      </c>
      <c r="C345" s="1" t="s">
        <v>551</v>
      </c>
      <c r="D345" s="1" t="s">
        <v>326</v>
      </c>
      <c r="E345" s="1">
        <v>1.0</v>
      </c>
      <c r="F345" s="1">
        <v>0.0</v>
      </c>
    </row>
    <row r="346" ht="12.75" customHeight="1">
      <c r="A346" s="1">
        <v>2.0</v>
      </c>
      <c r="B346" s="2" t="s">
        <v>552</v>
      </c>
      <c r="C346" s="1" t="s">
        <v>325</v>
      </c>
      <c r="D346" s="1" t="s">
        <v>326</v>
      </c>
      <c r="E346" s="1">
        <v>1.0</v>
      </c>
      <c r="F346" s="1">
        <v>0.0</v>
      </c>
    </row>
    <row r="347" ht="12.75" customHeight="1">
      <c r="A347" s="1">
        <v>2.0</v>
      </c>
      <c r="B347" s="2" t="s">
        <v>553</v>
      </c>
      <c r="C347" s="1" t="s">
        <v>554</v>
      </c>
      <c r="D347" s="1" t="s">
        <v>555</v>
      </c>
      <c r="E347" s="1">
        <v>1.0</v>
      </c>
      <c r="F347" s="1">
        <v>0.0</v>
      </c>
    </row>
    <row r="348" ht="12.75" customHeight="1">
      <c r="A348" s="1">
        <v>2.0</v>
      </c>
      <c r="B348" s="2">
        <v>8822203.0</v>
      </c>
      <c r="C348" s="1" t="s">
        <v>178</v>
      </c>
      <c r="D348" s="1" t="s">
        <v>556</v>
      </c>
      <c r="E348" s="1">
        <v>1.0</v>
      </c>
      <c r="F348" s="1">
        <v>0.0</v>
      </c>
    </row>
    <row r="349" ht="12.75" customHeight="1">
      <c r="A349" s="1">
        <v>2.0</v>
      </c>
      <c r="B349" s="2">
        <v>8822001.0</v>
      </c>
      <c r="C349" s="1" t="s">
        <v>173</v>
      </c>
      <c r="D349" s="1" t="s">
        <v>557</v>
      </c>
      <c r="E349" s="1">
        <v>1.0</v>
      </c>
      <c r="F349" s="1">
        <v>0.0</v>
      </c>
    </row>
    <row r="350" ht="12.75" customHeight="1">
      <c r="A350" s="1">
        <v>2.0</v>
      </c>
      <c r="B350" s="2">
        <v>8321508.0</v>
      </c>
      <c r="C350" s="1" t="s">
        <v>278</v>
      </c>
      <c r="D350" s="1" t="s">
        <v>558</v>
      </c>
      <c r="E350" s="1">
        <v>1.0</v>
      </c>
      <c r="F350" s="1">
        <v>0.0</v>
      </c>
    </row>
    <row r="351" ht="12.75" customHeight="1">
      <c r="A351" s="1">
        <v>2.0</v>
      </c>
      <c r="B351" s="2">
        <v>9480104.0</v>
      </c>
      <c r="C351" s="1" t="s">
        <v>559</v>
      </c>
      <c r="D351" s="1" t="s">
        <v>560</v>
      </c>
      <c r="E351" s="1">
        <v>1.0</v>
      </c>
      <c r="F351" s="1">
        <v>0.0</v>
      </c>
    </row>
    <row r="352" ht="12.75" customHeight="1">
      <c r="A352" s="1">
        <v>2.0</v>
      </c>
      <c r="B352" s="2">
        <v>2480126.0</v>
      </c>
      <c r="C352" s="1" t="s">
        <v>561</v>
      </c>
      <c r="D352" s="1" t="s">
        <v>562</v>
      </c>
      <c r="E352" s="1">
        <v>1.0</v>
      </c>
      <c r="F352" s="1">
        <v>0.0</v>
      </c>
    </row>
    <row r="353" ht="12.75" customHeight="1">
      <c r="A353" s="1">
        <v>2.0</v>
      </c>
      <c r="B353" s="2">
        <v>7100102.0</v>
      </c>
      <c r="C353" s="1" t="s">
        <v>563</v>
      </c>
      <c r="D353" s="1" t="s">
        <v>564</v>
      </c>
      <c r="E353" s="1">
        <v>1.0</v>
      </c>
      <c r="F353" s="1">
        <v>0.0</v>
      </c>
    </row>
    <row r="354" ht="12.75" customHeight="1">
      <c r="A354" s="1">
        <v>2.0</v>
      </c>
      <c r="B354" s="2">
        <v>3802056.0</v>
      </c>
      <c r="C354" s="1" t="s">
        <v>152</v>
      </c>
      <c r="D354" s="1" t="s">
        <v>565</v>
      </c>
      <c r="E354" s="1">
        <v>1.0</v>
      </c>
      <c r="F354" s="1">
        <v>0.0</v>
      </c>
    </row>
    <row r="355" ht="12.75" customHeight="1">
      <c r="A355" s="1">
        <v>2.0</v>
      </c>
      <c r="B355" s="2">
        <v>3801381.0</v>
      </c>
      <c r="C355" s="1" t="s">
        <v>312</v>
      </c>
      <c r="D355" s="1" t="s">
        <v>566</v>
      </c>
      <c r="E355" s="1">
        <v>1.0</v>
      </c>
      <c r="F355" s="1">
        <v>0.0</v>
      </c>
    </row>
    <row r="356" ht="12.75" customHeight="1">
      <c r="A356" s="1">
        <v>2.0</v>
      </c>
      <c r="B356" s="2">
        <v>130230.0</v>
      </c>
      <c r="C356" s="1" t="s">
        <v>374</v>
      </c>
      <c r="D356" s="1" t="s">
        <v>567</v>
      </c>
      <c r="E356" s="1">
        <v>1.0</v>
      </c>
      <c r="F356" s="1">
        <v>0.0</v>
      </c>
    </row>
    <row r="357" ht="12.75" customHeight="1">
      <c r="A357" s="1">
        <v>2.0</v>
      </c>
      <c r="B357" s="2">
        <v>4490103.0</v>
      </c>
      <c r="C357" s="1" t="s">
        <v>568</v>
      </c>
      <c r="D357" s="1" t="s">
        <v>569</v>
      </c>
      <c r="E357" s="1">
        <v>1.0</v>
      </c>
      <c r="F357" s="1">
        <v>1.0</v>
      </c>
    </row>
    <row r="358" ht="12.75" customHeight="1">
      <c r="A358" s="1">
        <v>2.0</v>
      </c>
      <c r="B358" s="2" t="s">
        <v>570</v>
      </c>
      <c r="C358" s="1" t="s">
        <v>21</v>
      </c>
      <c r="D358" s="1" t="s">
        <v>571</v>
      </c>
      <c r="E358" s="1">
        <v>1.0</v>
      </c>
      <c r="F358" s="1">
        <v>1.0</v>
      </c>
    </row>
    <row r="359" ht="12.75" customHeight="1">
      <c r="A359" s="1">
        <v>2.0</v>
      </c>
      <c r="B359" s="2" t="s">
        <v>572</v>
      </c>
      <c r="C359" s="1" t="s">
        <v>229</v>
      </c>
      <c r="D359" s="1" t="s">
        <v>573</v>
      </c>
      <c r="E359" s="1">
        <v>1.0</v>
      </c>
      <c r="F359" s="1">
        <v>1.0</v>
      </c>
    </row>
    <row r="360" ht="12.75" customHeight="1">
      <c r="A360" s="1">
        <v>2.0</v>
      </c>
      <c r="B360" s="2">
        <v>7020250.0</v>
      </c>
      <c r="C360" s="1" t="s">
        <v>574</v>
      </c>
      <c r="D360" s="1" t="s">
        <v>575</v>
      </c>
      <c r="E360" s="1">
        <v>1.0</v>
      </c>
      <c r="F360" s="1">
        <v>1.0</v>
      </c>
    </row>
    <row r="361" ht="12.75" customHeight="1">
      <c r="A361" s="1">
        <v>2.0</v>
      </c>
      <c r="B361" s="2">
        <v>90104.0</v>
      </c>
      <c r="C361" s="1" t="s">
        <v>438</v>
      </c>
      <c r="D361" s="1" t="s">
        <v>576</v>
      </c>
      <c r="E361" s="1">
        <v>1.0</v>
      </c>
      <c r="F361" s="1">
        <v>1.0</v>
      </c>
    </row>
    <row r="362" ht="12.75" customHeight="1">
      <c r="A362" s="1">
        <v>2.0</v>
      </c>
      <c r="B362" s="2" t="s">
        <v>577</v>
      </c>
      <c r="C362" s="1" t="s">
        <v>578</v>
      </c>
      <c r="D362" s="1" t="s">
        <v>579</v>
      </c>
      <c r="E362" s="1">
        <v>1.0</v>
      </c>
      <c r="F362" s="1">
        <v>1.0</v>
      </c>
    </row>
    <row r="363" ht="12.75" customHeight="1">
      <c r="A363" s="1">
        <v>2.0</v>
      </c>
      <c r="B363" s="2">
        <v>8270310.0</v>
      </c>
      <c r="C363" s="1" t="s">
        <v>580</v>
      </c>
      <c r="D363" s="1" t="s">
        <v>581</v>
      </c>
      <c r="E363" s="1">
        <v>1.0</v>
      </c>
      <c r="F363" s="1">
        <v>1.0</v>
      </c>
    </row>
    <row r="364" ht="12.75" customHeight="1">
      <c r="A364" s="1">
        <v>2.0</v>
      </c>
      <c r="B364" s="2" t="s">
        <v>582</v>
      </c>
      <c r="C364" s="1" t="s">
        <v>87</v>
      </c>
      <c r="D364" s="1" t="s">
        <v>583</v>
      </c>
      <c r="E364" s="1">
        <v>1.0</v>
      </c>
      <c r="F364" s="1">
        <v>1.0</v>
      </c>
    </row>
    <row r="365" ht="12.75" customHeight="1">
      <c r="A365" s="1">
        <v>2.0</v>
      </c>
      <c r="B365" s="2">
        <v>3801329.0</v>
      </c>
      <c r="C365" s="1" t="s">
        <v>312</v>
      </c>
      <c r="D365" s="1" t="s">
        <v>584</v>
      </c>
      <c r="E365" s="1">
        <v>1.0</v>
      </c>
      <c r="F365" s="1">
        <v>1.0</v>
      </c>
    </row>
    <row r="366" ht="12.75" customHeight="1">
      <c r="A366" s="1">
        <v>2.0</v>
      </c>
      <c r="B366" s="2">
        <v>3801326.0</v>
      </c>
      <c r="C366" s="1" t="s">
        <v>312</v>
      </c>
      <c r="D366" s="1" t="s">
        <v>585</v>
      </c>
      <c r="E366" s="1">
        <v>1.0</v>
      </c>
      <c r="F366" s="1">
        <v>1.0</v>
      </c>
    </row>
    <row r="367" ht="12.75" customHeight="1">
      <c r="A367" s="1">
        <v>2.0</v>
      </c>
      <c r="B367" s="2">
        <v>8451018.0</v>
      </c>
      <c r="C367" s="1" t="s">
        <v>180</v>
      </c>
      <c r="D367" s="1" t="s">
        <v>586</v>
      </c>
      <c r="E367" s="1">
        <v>1.0</v>
      </c>
      <c r="F367" s="1">
        <v>1.0</v>
      </c>
    </row>
    <row r="368" ht="12.75" customHeight="1">
      <c r="A368" s="1">
        <v>2.0</v>
      </c>
      <c r="B368" s="2" t="s">
        <v>587</v>
      </c>
      <c r="C368" s="1" t="s">
        <v>158</v>
      </c>
      <c r="D368" s="1" t="s">
        <v>588</v>
      </c>
      <c r="E368" s="1">
        <v>1.0</v>
      </c>
      <c r="F368" s="1">
        <v>1.0</v>
      </c>
    </row>
    <row r="369" ht="12.75" customHeight="1">
      <c r="A369" s="1">
        <v>2.0</v>
      </c>
      <c r="B369" s="2" t="s">
        <v>589</v>
      </c>
      <c r="C369" s="1" t="s">
        <v>158</v>
      </c>
      <c r="D369" s="1" t="s">
        <v>590</v>
      </c>
      <c r="E369" s="1">
        <v>1.0</v>
      </c>
      <c r="F369" s="1">
        <v>1.0</v>
      </c>
    </row>
    <row r="370" ht="12.75" customHeight="1">
      <c r="A370" s="1">
        <v>2.0</v>
      </c>
      <c r="B370" s="2" t="s">
        <v>591</v>
      </c>
      <c r="C370" s="1" t="s">
        <v>288</v>
      </c>
      <c r="D370" s="1" t="s">
        <v>286</v>
      </c>
      <c r="E370" s="1">
        <v>1.0</v>
      </c>
      <c r="F370" s="1">
        <v>1.0</v>
      </c>
    </row>
    <row r="371" ht="12.75" customHeight="1">
      <c r="A371" s="1">
        <v>2.0</v>
      </c>
      <c r="B371" s="2">
        <v>1870120.0</v>
      </c>
      <c r="C371" s="1" t="s">
        <v>473</v>
      </c>
      <c r="D371" s="1" t="s">
        <v>592</v>
      </c>
      <c r="E371" s="1">
        <v>1.0</v>
      </c>
      <c r="F371" s="1">
        <v>4.0</v>
      </c>
    </row>
    <row r="372" ht="12.75" customHeight="1">
      <c r="A372" s="1">
        <v>2.0</v>
      </c>
      <c r="B372" s="2">
        <v>3802662.0</v>
      </c>
      <c r="C372" s="1" t="s">
        <v>305</v>
      </c>
      <c r="D372" s="1" t="s">
        <v>593</v>
      </c>
      <c r="E372" s="1">
        <v>1.0</v>
      </c>
      <c r="F372" s="1">
        <v>7.0</v>
      </c>
    </row>
    <row r="373" ht="12.75" customHeight="1">
      <c r="A373" s="1">
        <v>2.0</v>
      </c>
      <c r="B373" s="2">
        <v>3802571.0</v>
      </c>
      <c r="C373" s="1" t="s">
        <v>229</v>
      </c>
      <c r="D373" s="1" t="s">
        <v>594</v>
      </c>
      <c r="E373" s="1">
        <v>1.0</v>
      </c>
      <c r="F373" s="1">
        <v>7.0</v>
      </c>
    </row>
    <row r="374" ht="12.75" customHeight="1">
      <c r="A374" s="1">
        <v>2.0</v>
      </c>
      <c r="B374" s="2">
        <v>3802554.0</v>
      </c>
      <c r="C374" s="1" t="s">
        <v>229</v>
      </c>
      <c r="D374" s="1" t="s">
        <v>595</v>
      </c>
      <c r="E374" s="1">
        <v>1.0</v>
      </c>
      <c r="F374" s="1">
        <v>7.0</v>
      </c>
    </row>
    <row r="375" ht="12.75" customHeight="1">
      <c r="A375" s="1">
        <v>2.0</v>
      </c>
      <c r="B375" s="2">
        <v>3802058.0</v>
      </c>
      <c r="C375" s="1" t="s">
        <v>152</v>
      </c>
      <c r="D375" s="1" t="s">
        <v>596</v>
      </c>
      <c r="E375" s="1">
        <v>1.0</v>
      </c>
      <c r="F375" s="1">
        <v>7.0</v>
      </c>
    </row>
    <row r="376" ht="12.75" customHeight="1">
      <c r="A376" s="1">
        <v>2.0</v>
      </c>
      <c r="B376" s="2">
        <v>1440311.0</v>
      </c>
      <c r="C376" s="1" t="s">
        <v>597</v>
      </c>
      <c r="D376" s="1" t="s">
        <v>598</v>
      </c>
      <c r="E376" s="1">
        <v>1.0</v>
      </c>
      <c r="F376" s="1">
        <v>8.0</v>
      </c>
    </row>
    <row r="377" ht="12.75" customHeight="1">
      <c r="A377" s="1">
        <v>2.0</v>
      </c>
      <c r="B377" s="2" t="s">
        <v>599</v>
      </c>
      <c r="C377" s="1" t="s">
        <v>600</v>
      </c>
      <c r="D377" s="1" t="s">
        <v>601</v>
      </c>
      <c r="E377" s="1">
        <v>1.0</v>
      </c>
      <c r="F377" s="1">
        <v>8.0</v>
      </c>
    </row>
    <row r="378" ht="12.75" customHeight="1">
      <c r="A378" s="1">
        <v>2.0</v>
      </c>
      <c r="B378" s="2">
        <v>4170002.0</v>
      </c>
      <c r="C378" s="1" t="s">
        <v>602</v>
      </c>
      <c r="D378" s="1" t="s">
        <v>603</v>
      </c>
      <c r="E378" s="1">
        <v>1.0</v>
      </c>
      <c r="F378" s="1">
        <v>8.0</v>
      </c>
    </row>
    <row r="379" ht="12.75" customHeight="1">
      <c r="A379" s="1">
        <v>2.0</v>
      </c>
      <c r="B379" s="2" t="s">
        <v>604</v>
      </c>
      <c r="C379" s="1" t="s">
        <v>171</v>
      </c>
      <c r="D379" s="1" t="s">
        <v>605</v>
      </c>
      <c r="E379" s="1">
        <v>1.0</v>
      </c>
      <c r="F379" s="1">
        <v>8.0</v>
      </c>
    </row>
    <row r="380" ht="12.75" customHeight="1">
      <c r="A380" s="1">
        <v>2.0</v>
      </c>
      <c r="B380" s="2" t="s">
        <v>606</v>
      </c>
      <c r="C380" s="1" t="s">
        <v>288</v>
      </c>
      <c r="D380" s="1" t="s">
        <v>607</v>
      </c>
      <c r="E380" s="1">
        <v>1.0</v>
      </c>
      <c r="F380" s="1">
        <v>8.0</v>
      </c>
    </row>
    <row r="381" ht="12.75" customHeight="1">
      <c r="A381" s="1">
        <v>2.0</v>
      </c>
      <c r="B381" s="2">
        <v>8821658.0</v>
      </c>
      <c r="C381" s="1" t="s">
        <v>608</v>
      </c>
      <c r="D381" s="1" t="s">
        <v>609</v>
      </c>
      <c r="E381" s="1">
        <v>1.0</v>
      </c>
      <c r="F381" s="1">
        <v>10.0</v>
      </c>
    </row>
    <row r="382" ht="12.75" customHeight="1">
      <c r="A382" s="1">
        <v>2.0</v>
      </c>
      <c r="B382" s="2" t="s">
        <v>610</v>
      </c>
      <c r="C382" s="1" t="s">
        <v>285</v>
      </c>
      <c r="D382" s="1" t="s">
        <v>341</v>
      </c>
      <c r="E382" s="1">
        <v>1.0</v>
      </c>
      <c r="F382" s="1">
        <v>10.0</v>
      </c>
    </row>
    <row r="383" ht="12.75" customHeight="1">
      <c r="A383" s="1">
        <v>2.0</v>
      </c>
      <c r="B383" s="2" t="s">
        <v>611</v>
      </c>
      <c r="C383" s="1" t="s">
        <v>288</v>
      </c>
      <c r="D383" s="1" t="s">
        <v>607</v>
      </c>
      <c r="E383" s="1">
        <v>1.0</v>
      </c>
      <c r="F383" s="1">
        <v>10.0</v>
      </c>
    </row>
    <row r="384" ht="12.75" customHeight="1">
      <c r="A384" s="1">
        <v>1.0</v>
      </c>
      <c r="B384" s="2" t="s">
        <v>612</v>
      </c>
      <c r="C384" s="1" t="s">
        <v>613</v>
      </c>
      <c r="D384" s="6">
        <v>1.0</v>
      </c>
      <c r="E384" s="1">
        <v>1.0</v>
      </c>
      <c r="F384" s="1">
        <v>0.0</v>
      </c>
    </row>
    <row r="385" ht="12.75" customHeight="1">
      <c r="A385" s="1">
        <v>1.0</v>
      </c>
      <c r="B385" s="2" t="s">
        <v>614</v>
      </c>
      <c r="C385" s="1" t="s">
        <v>615</v>
      </c>
      <c r="D385" s="6">
        <v>35.0</v>
      </c>
      <c r="E385" s="1">
        <v>1.0</v>
      </c>
      <c r="F385" s="1">
        <v>0.0</v>
      </c>
    </row>
    <row r="386" ht="12.75" customHeight="1">
      <c r="A386" s="1">
        <v>1.0</v>
      </c>
      <c r="B386" s="2">
        <v>1990103.0</v>
      </c>
      <c r="C386" s="1" t="s">
        <v>117</v>
      </c>
      <c r="D386" s="1" t="s">
        <v>616</v>
      </c>
      <c r="E386" s="1">
        <v>1.0</v>
      </c>
      <c r="F386" s="1">
        <v>0.0</v>
      </c>
    </row>
    <row r="387" ht="12.75" customHeight="1">
      <c r="A387" s="1">
        <v>1.0</v>
      </c>
      <c r="B387" s="2">
        <v>1990108.0</v>
      </c>
      <c r="C387" s="1" t="s">
        <v>117</v>
      </c>
      <c r="D387" s="1" t="s">
        <v>617</v>
      </c>
      <c r="E387" s="1">
        <v>1.0</v>
      </c>
      <c r="F387" s="1">
        <v>0.0</v>
      </c>
    </row>
    <row r="388" ht="12.75" customHeight="1">
      <c r="A388" s="1">
        <v>1.0</v>
      </c>
      <c r="B388" s="2" t="s">
        <v>618</v>
      </c>
      <c r="C388" s="1" t="s">
        <v>619</v>
      </c>
      <c r="D388" s="1" t="s">
        <v>620</v>
      </c>
      <c r="E388" s="1">
        <v>1.0</v>
      </c>
      <c r="F388" s="1">
        <v>0.0</v>
      </c>
    </row>
    <row r="389" ht="12.75" customHeight="1">
      <c r="A389" s="1">
        <v>1.0</v>
      </c>
      <c r="B389" s="2" t="s">
        <v>621</v>
      </c>
      <c r="C389" s="1" t="s">
        <v>622</v>
      </c>
      <c r="D389" s="1" t="s">
        <v>623</v>
      </c>
      <c r="E389" s="1">
        <v>1.0</v>
      </c>
      <c r="F389" s="1">
        <v>0.0</v>
      </c>
    </row>
    <row r="390" ht="12.75" customHeight="1">
      <c r="A390" s="1">
        <v>1.0</v>
      </c>
      <c r="B390" s="2" t="s">
        <v>624</v>
      </c>
      <c r="C390" s="1" t="s">
        <v>625</v>
      </c>
      <c r="D390" s="1" t="s">
        <v>626</v>
      </c>
      <c r="E390" s="1">
        <v>1.0</v>
      </c>
      <c r="F390" s="1">
        <v>0.0</v>
      </c>
    </row>
    <row r="391" ht="12.75" customHeight="1">
      <c r="A391" s="1">
        <v>1.0</v>
      </c>
      <c r="B391" s="2">
        <v>7340105.0</v>
      </c>
      <c r="C391" s="1" t="s">
        <v>627</v>
      </c>
      <c r="D391" s="1" t="s">
        <v>628</v>
      </c>
      <c r="E391" s="1">
        <v>1.0</v>
      </c>
      <c r="F391" s="1">
        <v>0.0</v>
      </c>
    </row>
    <row r="392" ht="12.75" customHeight="1">
      <c r="A392" s="1">
        <v>1.0</v>
      </c>
      <c r="B392" s="2">
        <v>3802560.0</v>
      </c>
      <c r="C392" s="1" t="s">
        <v>207</v>
      </c>
      <c r="D392" s="1" t="s">
        <v>629</v>
      </c>
      <c r="E392" s="1">
        <v>1.0</v>
      </c>
      <c r="F392" s="1">
        <v>0.0</v>
      </c>
    </row>
    <row r="393" ht="12.75" customHeight="1">
      <c r="A393" s="1">
        <v>1.0</v>
      </c>
      <c r="B393" s="2">
        <v>8323007.0</v>
      </c>
      <c r="C393" s="1" t="s">
        <v>278</v>
      </c>
      <c r="D393" s="1" t="s">
        <v>630</v>
      </c>
      <c r="E393" s="1">
        <v>1.0</v>
      </c>
      <c r="F393" s="1">
        <v>0.0</v>
      </c>
    </row>
    <row r="394" ht="12.75" customHeight="1">
      <c r="A394" s="1">
        <v>1.0</v>
      </c>
      <c r="B394" s="2">
        <v>8320139.0</v>
      </c>
      <c r="C394" s="1" t="s">
        <v>631</v>
      </c>
      <c r="D394" s="1" t="s">
        <v>632</v>
      </c>
      <c r="E394" s="1">
        <v>1.0</v>
      </c>
      <c r="F394" s="1">
        <v>0.0</v>
      </c>
    </row>
    <row r="395" ht="12.75" customHeight="1">
      <c r="A395" s="1">
        <v>1.0</v>
      </c>
      <c r="B395" s="2" t="s">
        <v>633</v>
      </c>
      <c r="C395" s="1" t="s">
        <v>634</v>
      </c>
      <c r="D395" s="1" t="s">
        <v>635</v>
      </c>
      <c r="E395" s="1">
        <v>1.0</v>
      </c>
      <c r="F395" s="1">
        <v>0.0</v>
      </c>
    </row>
    <row r="396" ht="12.75" customHeight="1">
      <c r="A396" s="1">
        <v>1.0</v>
      </c>
      <c r="B396" s="2" t="s">
        <v>636</v>
      </c>
      <c r="C396" s="1" t="s">
        <v>155</v>
      </c>
      <c r="D396" s="1" t="s">
        <v>637</v>
      </c>
      <c r="E396" s="1">
        <v>1.0</v>
      </c>
      <c r="F396" s="1">
        <v>0.0</v>
      </c>
    </row>
    <row r="397" ht="12.75" customHeight="1">
      <c r="A397" s="1">
        <v>1.0</v>
      </c>
      <c r="B397" s="2" t="s">
        <v>638</v>
      </c>
      <c r="C397" s="1" t="s">
        <v>639</v>
      </c>
      <c r="D397" s="1" t="s">
        <v>640</v>
      </c>
      <c r="E397" s="1">
        <v>1.0</v>
      </c>
      <c r="F397" s="1">
        <v>0.0</v>
      </c>
    </row>
    <row r="398" ht="12.75" customHeight="1">
      <c r="A398" s="1">
        <v>1.0</v>
      </c>
      <c r="B398" s="2" t="s">
        <v>641</v>
      </c>
      <c r="C398" s="1" t="s">
        <v>94</v>
      </c>
      <c r="D398" s="1" t="s">
        <v>642</v>
      </c>
      <c r="E398" s="1">
        <v>1.0</v>
      </c>
      <c r="F398" s="1">
        <v>0.0</v>
      </c>
    </row>
    <row r="399" ht="12.75" customHeight="1">
      <c r="A399" s="1">
        <v>1.0</v>
      </c>
      <c r="B399" s="2" t="s">
        <v>643</v>
      </c>
      <c r="C399" s="1" t="s">
        <v>644</v>
      </c>
      <c r="D399" s="1" t="s">
        <v>645</v>
      </c>
      <c r="E399" s="1">
        <v>1.0</v>
      </c>
      <c r="F399" s="1">
        <v>0.0</v>
      </c>
    </row>
    <row r="400" ht="12.75" customHeight="1">
      <c r="A400" s="1">
        <v>1.0</v>
      </c>
      <c r="B400" s="2" t="s">
        <v>646</v>
      </c>
      <c r="C400" s="1" t="s">
        <v>647</v>
      </c>
      <c r="D400" s="1" t="s">
        <v>648</v>
      </c>
      <c r="E400" s="1">
        <v>1.0</v>
      </c>
      <c r="F400" s="1">
        <v>0.0</v>
      </c>
    </row>
    <row r="401" ht="12.75" customHeight="1">
      <c r="A401" s="1">
        <v>1.0</v>
      </c>
      <c r="B401" s="2">
        <v>560648.0</v>
      </c>
      <c r="C401" s="1" t="s">
        <v>649</v>
      </c>
      <c r="D401" s="1" t="s">
        <v>650</v>
      </c>
      <c r="E401" s="1">
        <v>1.0</v>
      </c>
      <c r="F401" s="1">
        <v>0.0</v>
      </c>
    </row>
    <row r="402" ht="12.75" customHeight="1">
      <c r="A402" s="1">
        <v>1.0</v>
      </c>
      <c r="B402" s="2" t="s">
        <v>651</v>
      </c>
      <c r="C402" s="1" t="s">
        <v>652</v>
      </c>
      <c r="D402" s="1" t="s">
        <v>653</v>
      </c>
      <c r="E402" s="1">
        <v>1.0</v>
      </c>
      <c r="F402" s="1">
        <v>0.0</v>
      </c>
    </row>
    <row r="403" ht="12.75" customHeight="1">
      <c r="A403" s="1">
        <v>1.0</v>
      </c>
      <c r="B403" s="2" t="s">
        <v>654</v>
      </c>
      <c r="C403" s="1" t="s">
        <v>655</v>
      </c>
      <c r="D403" s="1" t="s">
        <v>653</v>
      </c>
      <c r="E403" s="1">
        <v>1.0</v>
      </c>
      <c r="F403" s="1">
        <v>0.0</v>
      </c>
    </row>
    <row r="404" ht="12.75" customHeight="1">
      <c r="A404" s="1">
        <v>1.0</v>
      </c>
      <c r="B404" s="2" t="s">
        <v>656</v>
      </c>
      <c r="C404" s="1" t="s">
        <v>657</v>
      </c>
      <c r="D404" s="1" t="s">
        <v>653</v>
      </c>
      <c r="E404" s="1">
        <v>1.0</v>
      </c>
      <c r="F404" s="1">
        <v>0.0</v>
      </c>
    </row>
    <row r="405" ht="12.75" customHeight="1">
      <c r="A405" s="1">
        <v>1.0</v>
      </c>
      <c r="B405" s="2" t="s">
        <v>658</v>
      </c>
      <c r="C405" s="1" t="s">
        <v>659</v>
      </c>
      <c r="D405" s="1" t="s">
        <v>653</v>
      </c>
      <c r="E405" s="1">
        <v>1.0</v>
      </c>
      <c r="F405" s="1">
        <v>0.0</v>
      </c>
    </row>
    <row r="406" ht="12.75" customHeight="1">
      <c r="A406" s="1">
        <v>1.0</v>
      </c>
      <c r="B406" s="2" t="s">
        <v>660</v>
      </c>
      <c r="C406" s="1" t="s">
        <v>661</v>
      </c>
      <c r="D406" s="1" t="s">
        <v>653</v>
      </c>
      <c r="E406" s="1">
        <v>1.0</v>
      </c>
      <c r="F406" s="1">
        <v>0.0</v>
      </c>
    </row>
    <row r="407" ht="12.75" customHeight="1">
      <c r="A407" s="1">
        <v>1.0</v>
      </c>
      <c r="B407" s="2" t="s">
        <v>662</v>
      </c>
      <c r="C407" s="1" t="s">
        <v>663</v>
      </c>
      <c r="D407" s="1" t="s">
        <v>664</v>
      </c>
      <c r="E407" s="1">
        <v>1.0</v>
      </c>
      <c r="F407" s="1">
        <v>0.0</v>
      </c>
    </row>
    <row r="408" ht="12.75" customHeight="1">
      <c r="A408" s="1">
        <v>1.0</v>
      </c>
      <c r="B408" s="2" t="s">
        <v>665</v>
      </c>
      <c r="C408" s="1" t="s">
        <v>666</v>
      </c>
      <c r="D408" s="1" t="s">
        <v>667</v>
      </c>
      <c r="E408" s="1">
        <v>1.0</v>
      </c>
      <c r="F408" s="1">
        <v>0.0</v>
      </c>
    </row>
    <row r="409" ht="12.75" customHeight="1">
      <c r="A409" s="1">
        <v>1.0</v>
      </c>
      <c r="B409" s="2" t="s">
        <v>668</v>
      </c>
      <c r="C409" s="1" t="s">
        <v>669</v>
      </c>
      <c r="D409" s="1" t="s">
        <v>670</v>
      </c>
      <c r="E409" s="1">
        <v>1.0</v>
      </c>
      <c r="F409" s="1">
        <v>0.0</v>
      </c>
    </row>
    <row r="410" ht="12.75" customHeight="1">
      <c r="A410" s="1">
        <v>1.0</v>
      </c>
      <c r="B410" s="2" t="s">
        <v>671</v>
      </c>
      <c r="C410" s="1" t="s">
        <v>672</v>
      </c>
      <c r="D410" s="1" t="s">
        <v>673</v>
      </c>
      <c r="E410" s="1">
        <v>1.0</v>
      </c>
      <c r="F410" s="1">
        <v>0.0</v>
      </c>
    </row>
    <row r="411" ht="12.75" customHeight="1">
      <c r="A411" s="1">
        <v>1.0</v>
      </c>
      <c r="B411" s="2" t="s">
        <v>674</v>
      </c>
      <c r="C411" s="1" t="s">
        <v>675</v>
      </c>
      <c r="D411" s="1" t="s">
        <v>460</v>
      </c>
      <c r="E411" s="1">
        <v>1.0</v>
      </c>
      <c r="F411" s="1">
        <v>0.0</v>
      </c>
    </row>
    <row r="412" ht="12.75" customHeight="1">
      <c r="A412" s="1">
        <v>1.0</v>
      </c>
      <c r="B412" s="2" t="s">
        <v>676</v>
      </c>
      <c r="C412" s="1" t="s">
        <v>677</v>
      </c>
      <c r="D412" s="1" t="s">
        <v>678</v>
      </c>
      <c r="E412" s="1">
        <v>1.0</v>
      </c>
      <c r="F412" s="1">
        <v>0.0</v>
      </c>
    </row>
    <row r="413" ht="12.75" customHeight="1">
      <c r="A413" s="1">
        <v>1.0</v>
      </c>
      <c r="B413" s="2" t="s">
        <v>679</v>
      </c>
      <c r="C413" s="1" t="s">
        <v>21</v>
      </c>
      <c r="D413" s="1" t="s">
        <v>680</v>
      </c>
      <c r="E413" s="1">
        <v>1.0</v>
      </c>
      <c r="F413" s="1">
        <v>0.0</v>
      </c>
    </row>
    <row r="414" ht="12.75" customHeight="1">
      <c r="A414" s="1">
        <v>1.0</v>
      </c>
      <c r="B414" s="2" t="s">
        <v>681</v>
      </c>
      <c r="C414" s="1" t="s">
        <v>21</v>
      </c>
      <c r="D414" s="1" t="s">
        <v>682</v>
      </c>
      <c r="E414" s="1">
        <v>1.0</v>
      </c>
      <c r="F414" s="1">
        <v>0.0</v>
      </c>
    </row>
    <row r="415" ht="12.75" customHeight="1">
      <c r="A415" s="1">
        <v>1.0</v>
      </c>
      <c r="B415" s="2">
        <v>1660217.0</v>
      </c>
      <c r="C415" s="1" t="s">
        <v>683</v>
      </c>
      <c r="D415" s="1" t="s">
        <v>259</v>
      </c>
      <c r="E415" s="1">
        <v>1.0</v>
      </c>
      <c r="F415" s="1">
        <v>0.0</v>
      </c>
    </row>
    <row r="416" ht="12.75" customHeight="1">
      <c r="A416" s="1">
        <v>1.0</v>
      </c>
      <c r="B416" s="2">
        <v>1660308.0</v>
      </c>
      <c r="C416" s="1" t="s">
        <v>684</v>
      </c>
      <c r="D416" s="1" t="s">
        <v>259</v>
      </c>
      <c r="E416" s="1">
        <v>1.0</v>
      </c>
      <c r="F416" s="1">
        <v>0.0</v>
      </c>
    </row>
    <row r="417" ht="12.75" customHeight="1">
      <c r="A417" s="1">
        <v>1.0</v>
      </c>
      <c r="B417" s="2">
        <v>1660213.0</v>
      </c>
      <c r="C417" s="1" t="s">
        <v>685</v>
      </c>
      <c r="D417" s="1" t="s">
        <v>686</v>
      </c>
      <c r="E417" s="1">
        <v>1.0</v>
      </c>
      <c r="F417" s="1">
        <v>0.0</v>
      </c>
    </row>
    <row r="418" ht="12.75" customHeight="1">
      <c r="A418" s="1">
        <v>1.0</v>
      </c>
      <c r="B418" s="2">
        <v>1660307.0</v>
      </c>
      <c r="C418" s="1" t="s">
        <v>684</v>
      </c>
      <c r="D418" s="1" t="s">
        <v>687</v>
      </c>
      <c r="E418" s="1">
        <v>1.0</v>
      </c>
      <c r="F418" s="1">
        <v>0.0</v>
      </c>
    </row>
    <row r="419" ht="12.75" customHeight="1">
      <c r="A419" s="1">
        <v>1.0</v>
      </c>
      <c r="B419" s="2">
        <v>3801561.0</v>
      </c>
      <c r="C419" s="1" t="s">
        <v>47</v>
      </c>
      <c r="D419" s="1" t="s">
        <v>688</v>
      </c>
      <c r="E419" s="1">
        <v>1.0</v>
      </c>
      <c r="F419" s="1">
        <v>0.0</v>
      </c>
    </row>
    <row r="420" ht="12.75" customHeight="1">
      <c r="A420" s="1">
        <v>1.0</v>
      </c>
      <c r="B420" s="2" t="s">
        <v>689</v>
      </c>
      <c r="C420" s="1" t="s">
        <v>690</v>
      </c>
      <c r="D420" s="1" t="s">
        <v>691</v>
      </c>
      <c r="E420" s="1">
        <v>1.0</v>
      </c>
      <c r="F420" s="1">
        <v>0.0</v>
      </c>
    </row>
    <row r="421" ht="12.75" customHeight="1">
      <c r="A421" s="1">
        <v>1.0</v>
      </c>
      <c r="B421" s="2" t="s">
        <v>692</v>
      </c>
      <c r="C421" s="1" t="s">
        <v>312</v>
      </c>
      <c r="D421" s="1" t="s">
        <v>693</v>
      </c>
      <c r="E421" s="1">
        <v>1.0</v>
      </c>
      <c r="F421" s="1">
        <v>0.0</v>
      </c>
    </row>
    <row r="422" ht="12.75" customHeight="1">
      <c r="A422" s="1">
        <v>1.0</v>
      </c>
      <c r="B422" s="2">
        <v>1130820.0</v>
      </c>
      <c r="C422" s="1" t="s">
        <v>694</v>
      </c>
      <c r="D422" s="1" t="s">
        <v>695</v>
      </c>
      <c r="E422" s="1">
        <v>1.0</v>
      </c>
      <c r="F422" s="1">
        <v>0.0</v>
      </c>
    </row>
    <row r="423" ht="12.75" customHeight="1">
      <c r="A423" s="1">
        <v>1.0</v>
      </c>
      <c r="B423" s="2" t="s">
        <v>696</v>
      </c>
      <c r="C423" s="1" t="s">
        <v>466</v>
      </c>
      <c r="D423" s="1" t="s">
        <v>697</v>
      </c>
      <c r="E423" s="1">
        <v>1.0</v>
      </c>
      <c r="F423" s="1">
        <v>0.0</v>
      </c>
    </row>
    <row r="424" ht="12.75" customHeight="1">
      <c r="A424" s="1">
        <v>1.0</v>
      </c>
      <c r="B424" s="2" t="s">
        <v>698</v>
      </c>
      <c r="C424" s="1" t="s">
        <v>699</v>
      </c>
      <c r="D424" s="1" t="s">
        <v>700</v>
      </c>
      <c r="E424" s="1">
        <v>1.0</v>
      </c>
      <c r="F424" s="1">
        <v>0.0</v>
      </c>
    </row>
    <row r="425" ht="12.75" customHeight="1">
      <c r="A425" s="1">
        <v>1.0</v>
      </c>
      <c r="B425" s="2" t="s">
        <v>701</v>
      </c>
      <c r="C425" s="1" t="s">
        <v>702</v>
      </c>
      <c r="D425" s="1" t="s">
        <v>703</v>
      </c>
      <c r="E425" s="1">
        <v>1.0</v>
      </c>
      <c r="F425" s="1">
        <v>0.0</v>
      </c>
    </row>
    <row r="426" ht="12.75" customHeight="1">
      <c r="A426" s="1">
        <v>1.0</v>
      </c>
      <c r="B426" s="2" t="s">
        <v>704</v>
      </c>
      <c r="C426" s="1" t="s">
        <v>466</v>
      </c>
      <c r="D426" s="1" t="s">
        <v>705</v>
      </c>
      <c r="E426" s="1">
        <v>1.0</v>
      </c>
      <c r="F426" s="1">
        <v>0.0</v>
      </c>
    </row>
    <row r="427" ht="12.75" customHeight="1">
      <c r="A427" s="1">
        <v>1.0</v>
      </c>
      <c r="B427" s="2" t="s">
        <v>706</v>
      </c>
      <c r="C427" s="1" t="s">
        <v>707</v>
      </c>
      <c r="D427" s="1" t="s">
        <v>708</v>
      </c>
      <c r="E427" s="1">
        <v>1.0</v>
      </c>
      <c r="F427" s="1">
        <v>0.0</v>
      </c>
    </row>
    <row r="428" ht="12.75" customHeight="1">
      <c r="A428" s="1">
        <v>1.0</v>
      </c>
      <c r="B428" s="2" t="s">
        <v>709</v>
      </c>
      <c r="C428" s="1" t="s">
        <v>466</v>
      </c>
      <c r="D428" s="1" t="s">
        <v>710</v>
      </c>
      <c r="E428" s="1">
        <v>1.0</v>
      </c>
      <c r="F428" s="1">
        <v>0.0</v>
      </c>
    </row>
    <row r="429" ht="12.75" customHeight="1">
      <c r="A429" s="1">
        <v>1.0</v>
      </c>
      <c r="B429" s="2" t="s">
        <v>711</v>
      </c>
      <c r="C429" s="1" t="s">
        <v>712</v>
      </c>
      <c r="D429" s="1" t="s">
        <v>713</v>
      </c>
      <c r="E429" s="1">
        <v>1.0</v>
      </c>
      <c r="F429" s="1">
        <v>0.0</v>
      </c>
    </row>
    <row r="430" ht="12.75" customHeight="1">
      <c r="A430" s="1">
        <v>1.0</v>
      </c>
      <c r="B430" s="2" t="s">
        <v>714</v>
      </c>
      <c r="C430" s="1" t="s">
        <v>715</v>
      </c>
      <c r="D430" s="1" t="s">
        <v>716</v>
      </c>
      <c r="E430" s="1">
        <v>1.0</v>
      </c>
      <c r="F430" s="1">
        <v>0.0</v>
      </c>
    </row>
    <row r="431" ht="12.75" customHeight="1">
      <c r="A431" s="1">
        <v>1.0</v>
      </c>
      <c r="B431" s="2">
        <v>564797.0</v>
      </c>
      <c r="C431" s="1" t="s">
        <v>717</v>
      </c>
      <c r="D431" s="1" t="s">
        <v>718</v>
      </c>
      <c r="E431" s="1">
        <v>1.0</v>
      </c>
      <c r="F431" s="1">
        <v>0.0</v>
      </c>
    </row>
    <row r="432" ht="12.75" customHeight="1">
      <c r="A432" s="1">
        <v>1.0</v>
      </c>
      <c r="B432" s="2" t="s">
        <v>719</v>
      </c>
      <c r="C432" s="1" t="s">
        <v>720</v>
      </c>
      <c r="D432" s="1" t="s">
        <v>718</v>
      </c>
      <c r="E432" s="1">
        <v>1.0</v>
      </c>
      <c r="F432" s="1">
        <v>0.0</v>
      </c>
    </row>
    <row r="433" ht="12.75" customHeight="1">
      <c r="A433" s="1">
        <v>1.0</v>
      </c>
      <c r="B433" s="2" t="s">
        <v>721</v>
      </c>
      <c r="C433" s="1" t="s">
        <v>722</v>
      </c>
      <c r="D433" s="1" t="s">
        <v>718</v>
      </c>
      <c r="E433" s="1">
        <v>1.0</v>
      </c>
      <c r="F433" s="1">
        <v>0.0</v>
      </c>
    </row>
    <row r="434" ht="12.75" customHeight="1">
      <c r="A434" s="1">
        <v>1.0</v>
      </c>
      <c r="B434" s="2" t="s">
        <v>723</v>
      </c>
      <c r="C434" s="1" t="s">
        <v>724</v>
      </c>
      <c r="D434" s="1" t="s">
        <v>718</v>
      </c>
      <c r="E434" s="1">
        <v>1.0</v>
      </c>
      <c r="F434" s="1">
        <v>0.0</v>
      </c>
    </row>
    <row r="435" ht="12.75" customHeight="1">
      <c r="A435" s="1">
        <v>1.0</v>
      </c>
      <c r="B435" s="2" t="s">
        <v>725</v>
      </c>
      <c r="C435" s="1" t="s">
        <v>720</v>
      </c>
      <c r="D435" s="1" t="s">
        <v>718</v>
      </c>
      <c r="E435" s="1">
        <v>1.0</v>
      </c>
      <c r="F435" s="1">
        <v>0.0</v>
      </c>
    </row>
    <row r="436" ht="12.75" customHeight="1">
      <c r="A436" s="1">
        <v>1.0</v>
      </c>
      <c r="B436" s="2" t="s">
        <v>726</v>
      </c>
      <c r="C436" s="1" t="s">
        <v>727</v>
      </c>
      <c r="D436" s="1" t="s">
        <v>718</v>
      </c>
      <c r="E436" s="1">
        <v>1.0</v>
      </c>
      <c r="F436" s="1">
        <v>0.0</v>
      </c>
    </row>
    <row r="437" ht="12.75" customHeight="1">
      <c r="A437" s="1">
        <v>1.0</v>
      </c>
      <c r="B437" s="2" t="s">
        <v>728</v>
      </c>
      <c r="C437" s="1" t="s">
        <v>729</v>
      </c>
      <c r="D437" s="1" t="s">
        <v>730</v>
      </c>
      <c r="E437" s="1">
        <v>1.0</v>
      </c>
      <c r="F437" s="1">
        <v>0.0</v>
      </c>
    </row>
    <row r="438" ht="12.75" customHeight="1">
      <c r="A438" s="1">
        <v>1.0</v>
      </c>
      <c r="B438" s="2" t="s">
        <v>731</v>
      </c>
      <c r="C438" s="1" t="s">
        <v>732</v>
      </c>
      <c r="D438" s="1" t="s">
        <v>733</v>
      </c>
      <c r="E438" s="1">
        <v>1.0</v>
      </c>
      <c r="F438" s="1">
        <v>0.0</v>
      </c>
    </row>
    <row r="439" ht="12.75" customHeight="1">
      <c r="A439" s="1">
        <v>1.0</v>
      </c>
      <c r="B439" s="2" t="s">
        <v>734</v>
      </c>
      <c r="C439" s="1" t="s">
        <v>735</v>
      </c>
      <c r="D439" s="1" t="s">
        <v>736</v>
      </c>
      <c r="E439" s="1">
        <v>1.0</v>
      </c>
      <c r="F439" s="1">
        <v>0.0</v>
      </c>
    </row>
    <row r="440" ht="12.75" customHeight="1">
      <c r="A440" s="1">
        <v>1.0</v>
      </c>
      <c r="B440" s="2" t="s">
        <v>737</v>
      </c>
      <c r="C440" s="1" t="s">
        <v>738</v>
      </c>
      <c r="D440" s="1" t="s">
        <v>739</v>
      </c>
      <c r="E440" s="1">
        <v>1.0</v>
      </c>
      <c r="F440" s="1">
        <v>0.0</v>
      </c>
    </row>
    <row r="441" ht="12.75" customHeight="1">
      <c r="A441" s="1">
        <v>1.0</v>
      </c>
      <c r="B441" s="2" t="s">
        <v>740</v>
      </c>
      <c r="C441" s="1" t="s">
        <v>741</v>
      </c>
      <c r="D441" s="1" t="s">
        <v>742</v>
      </c>
      <c r="E441" s="1">
        <v>1.0</v>
      </c>
      <c r="F441" s="1">
        <v>0.0</v>
      </c>
    </row>
    <row r="442" ht="12.75" customHeight="1">
      <c r="A442" s="1">
        <v>1.0</v>
      </c>
      <c r="B442" s="2" t="s">
        <v>743</v>
      </c>
      <c r="C442" s="1" t="s">
        <v>744</v>
      </c>
      <c r="D442" s="1" t="s">
        <v>745</v>
      </c>
      <c r="E442" s="1">
        <v>1.0</v>
      </c>
      <c r="F442" s="1">
        <v>0.0</v>
      </c>
    </row>
    <row r="443" ht="12.75" customHeight="1">
      <c r="A443" s="1">
        <v>1.0</v>
      </c>
      <c r="B443" s="2">
        <v>564758.0</v>
      </c>
      <c r="C443" s="1" t="s">
        <v>746</v>
      </c>
      <c r="D443" s="1" t="s">
        <v>747</v>
      </c>
      <c r="E443" s="1">
        <v>1.0</v>
      </c>
      <c r="F443" s="1">
        <v>0.0</v>
      </c>
    </row>
    <row r="444" ht="12.75" customHeight="1">
      <c r="A444" s="1">
        <v>1.0</v>
      </c>
      <c r="B444" s="2">
        <v>564709.0</v>
      </c>
      <c r="C444" s="1" t="s">
        <v>748</v>
      </c>
      <c r="D444" s="1" t="s">
        <v>749</v>
      </c>
      <c r="E444" s="1">
        <v>1.0</v>
      </c>
      <c r="F444" s="1">
        <v>0.0</v>
      </c>
    </row>
    <row r="445" ht="12.75" customHeight="1">
      <c r="A445" s="1">
        <v>1.0</v>
      </c>
      <c r="B445" s="2" t="s">
        <v>750</v>
      </c>
      <c r="C445" s="1" t="s">
        <v>751</v>
      </c>
      <c r="D445" s="1" t="s">
        <v>752</v>
      </c>
      <c r="E445" s="1">
        <v>1.0</v>
      </c>
      <c r="F445" s="1">
        <v>0.0</v>
      </c>
    </row>
    <row r="446" ht="12.75" customHeight="1">
      <c r="A446" s="1">
        <v>1.0</v>
      </c>
      <c r="B446" s="2">
        <v>1000115.0</v>
      </c>
      <c r="C446" s="1" t="s">
        <v>753</v>
      </c>
      <c r="D446" s="1" t="s">
        <v>754</v>
      </c>
      <c r="E446" s="1">
        <v>1.0</v>
      </c>
      <c r="F446" s="1">
        <v>0.0</v>
      </c>
    </row>
    <row r="447" ht="12.75" customHeight="1">
      <c r="A447" s="1">
        <v>1.0</v>
      </c>
      <c r="B447" s="2">
        <v>1870121.0</v>
      </c>
      <c r="C447" s="1" t="s">
        <v>473</v>
      </c>
      <c r="D447" s="1" t="s">
        <v>755</v>
      </c>
      <c r="E447" s="1">
        <v>1.0</v>
      </c>
      <c r="F447" s="1">
        <v>0.0</v>
      </c>
    </row>
    <row r="448" ht="12.75" customHeight="1">
      <c r="A448" s="1">
        <v>1.0</v>
      </c>
      <c r="B448" s="2">
        <v>4060137.0</v>
      </c>
      <c r="C448" s="1" t="s">
        <v>756</v>
      </c>
      <c r="D448" s="1" t="s">
        <v>757</v>
      </c>
      <c r="E448" s="1">
        <v>1.0</v>
      </c>
      <c r="F448" s="1">
        <v>0.0</v>
      </c>
    </row>
    <row r="449" ht="12.75" customHeight="1">
      <c r="A449" s="1">
        <v>1.0</v>
      </c>
      <c r="B449" s="2" t="s">
        <v>758</v>
      </c>
      <c r="C449" s="1" t="s">
        <v>759</v>
      </c>
      <c r="D449" s="1" t="s">
        <v>757</v>
      </c>
      <c r="E449" s="1">
        <v>1.0</v>
      </c>
      <c r="F449" s="1">
        <v>0.0</v>
      </c>
    </row>
    <row r="450" ht="12.75" customHeight="1">
      <c r="A450" s="1">
        <v>1.0</v>
      </c>
      <c r="B450" s="2" t="s">
        <v>760</v>
      </c>
      <c r="C450" s="1" t="s">
        <v>761</v>
      </c>
      <c r="D450" s="1" t="s">
        <v>757</v>
      </c>
      <c r="E450" s="1">
        <v>1.0</v>
      </c>
      <c r="F450" s="1">
        <v>0.0</v>
      </c>
    </row>
    <row r="451" ht="12.75" customHeight="1">
      <c r="A451" s="1">
        <v>1.0</v>
      </c>
      <c r="B451" s="2" t="s">
        <v>762</v>
      </c>
      <c r="C451" s="1" t="s">
        <v>763</v>
      </c>
      <c r="D451" s="1" t="s">
        <v>757</v>
      </c>
      <c r="E451" s="1">
        <v>1.0</v>
      </c>
      <c r="F451" s="1">
        <v>0.0</v>
      </c>
    </row>
    <row r="452" ht="12.75" customHeight="1">
      <c r="A452" s="1">
        <v>1.0</v>
      </c>
      <c r="B452" s="2" t="s">
        <v>764</v>
      </c>
      <c r="C452" s="1" t="s">
        <v>765</v>
      </c>
      <c r="D452" s="1" t="s">
        <v>766</v>
      </c>
      <c r="E452" s="1">
        <v>1.0</v>
      </c>
      <c r="F452" s="1">
        <v>0.0</v>
      </c>
    </row>
    <row r="453" ht="12.75" customHeight="1">
      <c r="A453" s="1">
        <v>1.0</v>
      </c>
      <c r="B453" s="2" t="s">
        <v>767</v>
      </c>
      <c r="C453" s="1" t="s">
        <v>768</v>
      </c>
      <c r="D453" s="1" t="s">
        <v>769</v>
      </c>
      <c r="E453" s="1">
        <v>1.0</v>
      </c>
      <c r="F453" s="1">
        <v>0.0</v>
      </c>
    </row>
    <row r="454" ht="12.75" customHeight="1">
      <c r="A454" s="1">
        <v>1.0</v>
      </c>
      <c r="B454" s="2" t="s">
        <v>770</v>
      </c>
      <c r="C454" s="1" t="s">
        <v>771</v>
      </c>
      <c r="D454" s="1" t="s">
        <v>235</v>
      </c>
      <c r="E454" s="1">
        <v>1.0</v>
      </c>
      <c r="F454" s="1">
        <v>0.0</v>
      </c>
    </row>
    <row r="455" ht="12.75" customHeight="1">
      <c r="A455" s="1">
        <v>1.0</v>
      </c>
      <c r="B455" s="2" t="s">
        <v>772</v>
      </c>
      <c r="C455" s="1" t="s">
        <v>773</v>
      </c>
      <c r="D455" s="1" t="s">
        <v>774</v>
      </c>
      <c r="E455" s="1">
        <v>1.0</v>
      </c>
      <c r="F455" s="1">
        <v>0.0</v>
      </c>
    </row>
    <row r="456" ht="12.75" customHeight="1">
      <c r="A456" s="1">
        <v>1.0</v>
      </c>
      <c r="B456" s="2">
        <v>3801582.0</v>
      </c>
      <c r="C456" s="1" t="s">
        <v>21</v>
      </c>
      <c r="D456" s="1" t="s">
        <v>775</v>
      </c>
      <c r="E456" s="1">
        <v>1.0</v>
      </c>
      <c r="F456" s="1">
        <v>0.0</v>
      </c>
    </row>
    <row r="457" ht="12.75" customHeight="1">
      <c r="A457" s="1">
        <v>1.0</v>
      </c>
      <c r="B457" s="2" t="s">
        <v>776</v>
      </c>
      <c r="C457" s="1" t="s">
        <v>777</v>
      </c>
      <c r="D457" s="1" t="s">
        <v>778</v>
      </c>
      <c r="E457" s="1">
        <v>1.0</v>
      </c>
      <c r="F457" s="1">
        <v>0.0</v>
      </c>
    </row>
    <row r="458" ht="12.75" customHeight="1">
      <c r="A458" s="1">
        <v>1.0</v>
      </c>
      <c r="B458" s="2">
        <v>8321505.0</v>
      </c>
      <c r="C458" s="1" t="s">
        <v>278</v>
      </c>
      <c r="D458" s="1" t="s">
        <v>779</v>
      </c>
      <c r="E458" s="1">
        <v>1.0</v>
      </c>
      <c r="F458" s="1">
        <v>0.0</v>
      </c>
    </row>
    <row r="459" ht="12.75" customHeight="1">
      <c r="A459" s="1">
        <v>1.0</v>
      </c>
      <c r="B459" s="2">
        <v>3802663.0</v>
      </c>
      <c r="C459" s="1" t="s">
        <v>780</v>
      </c>
      <c r="D459" s="1" t="s">
        <v>781</v>
      </c>
      <c r="E459" s="1">
        <v>1.0</v>
      </c>
      <c r="F459" s="1">
        <v>0.0</v>
      </c>
    </row>
    <row r="460" ht="12.75" customHeight="1">
      <c r="A460" s="1">
        <v>1.0</v>
      </c>
      <c r="B460" s="2">
        <v>3802553.0</v>
      </c>
      <c r="C460" s="1" t="s">
        <v>101</v>
      </c>
      <c r="D460" s="1" t="s">
        <v>782</v>
      </c>
      <c r="E460" s="1">
        <v>1.0</v>
      </c>
      <c r="F460" s="1">
        <v>0.0</v>
      </c>
    </row>
    <row r="461" ht="12.75" customHeight="1">
      <c r="A461" s="1">
        <v>1.0</v>
      </c>
      <c r="B461" s="2">
        <v>3802519.0</v>
      </c>
      <c r="C461" s="1" t="s">
        <v>207</v>
      </c>
      <c r="D461" s="1" t="s">
        <v>783</v>
      </c>
      <c r="E461" s="1">
        <v>1.0</v>
      </c>
      <c r="F461" s="1">
        <v>0.0</v>
      </c>
    </row>
    <row r="462" ht="12.75" customHeight="1">
      <c r="A462" s="1">
        <v>1.0</v>
      </c>
      <c r="B462" s="2">
        <v>3805022.0</v>
      </c>
      <c r="C462" s="1" t="s">
        <v>476</v>
      </c>
      <c r="D462" s="1" t="s">
        <v>163</v>
      </c>
      <c r="E462" s="1">
        <v>1.0</v>
      </c>
      <c r="F462" s="1">
        <v>0.0</v>
      </c>
    </row>
    <row r="463" ht="12.75" customHeight="1">
      <c r="A463" s="1">
        <v>1.0</v>
      </c>
      <c r="B463" s="2">
        <v>3802505.0</v>
      </c>
      <c r="C463" s="1" t="s">
        <v>784</v>
      </c>
      <c r="D463" s="1" t="s">
        <v>401</v>
      </c>
      <c r="E463" s="1">
        <v>1.0</v>
      </c>
      <c r="F463" s="1">
        <v>0.0</v>
      </c>
    </row>
    <row r="464" ht="12.75" customHeight="1">
      <c r="A464" s="1">
        <v>1.0</v>
      </c>
      <c r="B464" s="2">
        <v>3802558.0</v>
      </c>
      <c r="C464" s="1" t="s">
        <v>785</v>
      </c>
      <c r="D464" s="1" t="s">
        <v>401</v>
      </c>
      <c r="E464" s="1">
        <v>1.0</v>
      </c>
      <c r="F464" s="1">
        <v>0.0</v>
      </c>
    </row>
    <row r="465" ht="12.75" customHeight="1">
      <c r="A465" s="1">
        <v>1.0</v>
      </c>
      <c r="B465" s="2">
        <v>3805013.0</v>
      </c>
      <c r="C465" s="1" t="s">
        <v>101</v>
      </c>
      <c r="D465" s="1" t="s">
        <v>786</v>
      </c>
      <c r="E465" s="1">
        <v>1.0</v>
      </c>
      <c r="F465" s="1">
        <v>0.0</v>
      </c>
    </row>
    <row r="466" ht="12.75" customHeight="1">
      <c r="A466" s="1">
        <v>1.0</v>
      </c>
      <c r="B466" s="2">
        <v>3805012.0</v>
      </c>
      <c r="C466" s="1" t="s">
        <v>101</v>
      </c>
      <c r="D466" s="1" t="s">
        <v>787</v>
      </c>
      <c r="E466" s="1">
        <v>1.0</v>
      </c>
      <c r="F466" s="1">
        <v>0.0</v>
      </c>
    </row>
    <row r="467" ht="12.75" customHeight="1">
      <c r="A467" s="1">
        <v>1.0</v>
      </c>
      <c r="B467" s="2">
        <v>3805017.0</v>
      </c>
      <c r="C467" s="1" t="s">
        <v>62</v>
      </c>
      <c r="D467" s="1" t="s">
        <v>788</v>
      </c>
      <c r="E467" s="1">
        <v>1.0</v>
      </c>
      <c r="F467" s="1">
        <v>0.0</v>
      </c>
    </row>
    <row r="468" ht="12.75" customHeight="1">
      <c r="A468" s="1">
        <v>1.0</v>
      </c>
      <c r="B468" s="2">
        <v>3550803.0</v>
      </c>
      <c r="C468" s="1" t="s">
        <v>789</v>
      </c>
      <c r="D468" s="1" t="s">
        <v>790</v>
      </c>
      <c r="E468" s="1">
        <v>1.0</v>
      </c>
      <c r="F468" s="1">
        <v>0.0</v>
      </c>
    </row>
    <row r="469" ht="12.75" customHeight="1">
      <c r="A469" s="1">
        <v>1.0</v>
      </c>
      <c r="B469" s="2" t="s">
        <v>791</v>
      </c>
      <c r="C469" s="1" t="s">
        <v>25</v>
      </c>
      <c r="D469" s="1" t="s">
        <v>792</v>
      </c>
      <c r="E469" s="1">
        <v>1.0</v>
      </c>
      <c r="F469" s="1">
        <v>0.0</v>
      </c>
    </row>
    <row r="470" ht="12.75" customHeight="1">
      <c r="A470" s="1">
        <v>1.0</v>
      </c>
      <c r="B470" s="2" t="s">
        <v>793</v>
      </c>
      <c r="C470" s="1" t="s">
        <v>794</v>
      </c>
      <c r="D470" s="1" t="s">
        <v>54</v>
      </c>
      <c r="E470" s="1">
        <v>1.0</v>
      </c>
      <c r="F470" s="1">
        <v>0.0</v>
      </c>
    </row>
    <row r="471" ht="12.75" customHeight="1">
      <c r="A471" s="1">
        <v>1.0</v>
      </c>
      <c r="B471" s="2" t="s">
        <v>795</v>
      </c>
      <c r="C471" s="1" t="s">
        <v>796</v>
      </c>
      <c r="D471" s="1" t="s">
        <v>797</v>
      </c>
      <c r="E471" s="1">
        <v>1.0</v>
      </c>
      <c r="F471" s="1">
        <v>0.0</v>
      </c>
    </row>
    <row r="472" ht="12.75" customHeight="1">
      <c r="A472" s="1">
        <v>1.0</v>
      </c>
      <c r="B472" s="2">
        <v>3801907.0</v>
      </c>
      <c r="C472" s="1" t="s">
        <v>25</v>
      </c>
      <c r="D472" s="1" t="s">
        <v>798</v>
      </c>
      <c r="E472" s="1">
        <v>1.0</v>
      </c>
      <c r="F472" s="1">
        <v>0.0</v>
      </c>
    </row>
    <row r="473" ht="12.75" customHeight="1">
      <c r="A473" s="1">
        <v>1.0</v>
      </c>
      <c r="B473" s="2" t="s">
        <v>799</v>
      </c>
      <c r="C473" s="1" t="s">
        <v>800</v>
      </c>
      <c r="D473" s="1" t="s">
        <v>801</v>
      </c>
      <c r="E473" s="1">
        <v>1.0</v>
      </c>
      <c r="F473" s="1">
        <v>0.0</v>
      </c>
    </row>
    <row r="474" ht="12.75" customHeight="1">
      <c r="A474" s="1">
        <v>1.0</v>
      </c>
      <c r="B474" s="2">
        <v>1130815.0</v>
      </c>
      <c r="C474" s="1" t="s">
        <v>802</v>
      </c>
      <c r="D474" s="1" t="s">
        <v>803</v>
      </c>
      <c r="E474" s="1">
        <v>1.0</v>
      </c>
      <c r="F474" s="1">
        <v>0.0</v>
      </c>
    </row>
    <row r="475" ht="12.75" customHeight="1">
      <c r="A475" s="1">
        <v>1.0</v>
      </c>
      <c r="B475" s="2">
        <v>564745.0</v>
      </c>
      <c r="C475" s="1" t="s">
        <v>804</v>
      </c>
      <c r="D475" s="1" t="s">
        <v>805</v>
      </c>
      <c r="E475" s="1">
        <v>1.0</v>
      </c>
      <c r="F475" s="1">
        <v>0.0</v>
      </c>
    </row>
    <row r="476" ht="12.75" customHeight="1">
      <c r="A476" s="1">
        <v>1.0</v>
      </c>
      <c r="B476" s="2" t="s">
        <v>806</v>
      </c>
      <c r="C476" s="1" t="s">
        <v>807</v>
      </c>
      <c r="D476" s="1" t="s">
        <v>805</v>
      </c>
      <c r="E476" s="1">
        <v>1.0</v>
      </c>
      <c r="F476" s="1">
        <v>0.0</v>
      </c>
    </row>
    <row r="477" ht="12.75" customHeight="1">
      <c r="A477" s="1">
        <v>1.0</v>
      </c>
      <c r="B477" s="2" t="s">
        <v>808</v>
      </c>
      <c r="C477" s="1" t="s">
        <v>809</v>
      </c>
      <c r="D477" s="1" t="s">
        <v>805</v>
      </c>
      <c r="E477" s="1">
        <v>1.0</v>
      </c>
      <c r="F477" s="1">
        <v>0.0</v>
      </c>
    </row>
    <row r="478" ht="12.75" customHeight="1">
      <c r="A478" s="1">
        <v>1.0</v>
      </c>
      <c r="B478" s="2">
        <v>564739.0</v>
      </c>
      <c r="C478" s="1" t="s">
        <v>810</v>
      </c>
      <c r="D478" s="1" t="s">
        <v>811</v>
      </c>
      <c r="E478" s="1">
        <v>1.0</v>
      </c>
      <c r="F478" s="1">
        <v>0.0</v>
      </c>
    </row>
    <row r="479" ht="12.75" customHeight="1">
      <c r="A479" s="1">
        <v>1.0</v>
      </c>
      <c r="B479" s="2">
        <v>5.647E11</v>
      </c>
      <c r="C479" s="1" t="s">
        <v>812</v>
      </c>
      <c r="D479" s="1" t="s">
        <v>811</v>
      </c>
      <c r="E479" s="1">
        <v>1.0</v>
      </c>
      <c r="F479" s="1">
        <v>0.0</v>
      </c>
    </row>
    <row r="480" ht="12.75" customHeight="1">
      <c r="A480" s="1">
        <v>1.0</v>
      </c>
      <c r="B480" s="2" t="s">
        <v>813</v>
      </c>
      <c r="C480" s="1" t="s">
        <v>814</v>
      </c>
      <c r="D480" s="1" t="s">
        <v>811</v>
      </c>
      <c r="E480" s="1">
        <v>1.0</v>
      </c>
      <c r="F480" s="1">
        <v>0.0</v>
      </c>
    </row>
    <row r="481" ht="12.75" customHeight="1">
      <c r="A481" s="1">
        <v>1.0</v>
      </c>
      <c r="B481" s="2" t="s">
        <v>815</v>
      </c>
      <c r="C481" s="1" t="s">
        <v>816</v>
      </c>
      <c r="D481" s="1" t="s">
        <v>817</v>
      </c>
      <c r="E481" s="1">
        <v>1.0</v>
      </c>
      <c r="F481" s="1">
        <v>0.0</v>
      </c>
    </row>
    <row r="482" ht="12.75" customHeight="1">
      <c r="A482" s="1">
        <v>1.0</v>
      </c>
      <c r="B482" s="2">
        <v>8270302.0</v>
      </c>
      <c r="C482" s="1" t="s">
        <v>580</v>
      </c>
      <c r="D482" s="1" t="s">
        <v>818</v>
      </c>
      <c r="E482" s="1">
        <v>1.0</v>
      </c>
      <c r="F482" s="1">
        <v>0.0</v>
      </c>
    </row>
    <row r="483" ht="12.75" customHeight="1">
      <c r="A483" s="1">
        <v>1.0</v>
      </c>
      <c r="B483" s="2">
        <v>1660502.0</v>
      </c>
      <c r="C483" s="1" t="s">
        <v>49</v>
      </c>
      <c r="D483" s="1" t="s">
        <v>819</v>
      </c>
      <c r="E483" s="1">
        <v>1.0</v>
      </c>
      <c r="F483" s="1">
        <v>0.0</v>
      </c>
    </row>
    <row r="484" ht="12.75" customHeight="1">
      <c r="A484" s="1">
        <v>1.0</v>
      </c>
      <c r="B484" s="2">
        <v>562428.0</v>
      </c>
      <c r="C484" s="1" t="s">
        <v>820</v>
      </c>
      <c r="D484" s="1" t="s">
        <v>821</v>
      </c>
      <c r="E484" s="1">
        <v>1.0</v>
      </c>
      <c r="F484" s="1">
        <v>0.0</v>
      </c>
    </row>
    <row r="485" ht="12.75" customHeight="1">
      <c r="A485" s="1">
        <v>1.0</v>
      </c>
      <c r="B485" s="2" t="s">
        <v>822</v>
      </c>
      <c r="C485" s="1" t="s">
        <v>823</v>
      </c>
      <c r="D485" s="1" t="s">
        <v>824</v>
      </c>
      <c r="E485" s="1">
        <v>1.0</v>
      </c>
      <c r="F485" s="1">
        <v>0.0</v>
      </c>
    </row>
    <row r="486" ht="12.75" customHeight="1">
      <c r="A486" s="1">
        <v>1.0</v>
      </c>
      <c r="B486" s="2" t="s">
        <v>825</v>
      </c>
      <c r="C486" s="1" t="s">
        <v>826</v>
      </c>
      <c r="D486" s="1" t="s">
        <v>827</v>
      </c>
      <c r="E486" s="1">
        <v>1.0</v>
      </c>
      <c r="F486" s="1">
        <v>0.0</v>
      </c>
    </row>
    <row r="487" ht="12.75" customHeight="1">
      <c r="A487" s="1">
        <v>1.0</v>
      </c>
      <c r="B487" s="2" t="s">
        <v>828</v>
      </c>
      <c r="C487" s="1" t="s">
        <v>823</v>
      </c>
      <c r="D487" s="1" t="s">
        <v>829</v>
      </c>
      <c r="E487" s="1">
        <v>1.0</v>
      </c>
      <c r="F487" s="1">
        <v>0.0</v>
      </c>
    </row>
    <row r="488" ht="12.75" customHeight="1">
      <c r="A488" s="1">
        <v>1.0</v>
      </c>
      <c r="B488" s="2" t="s">
        <v>830</v>
      </c>
      <c r="C488" s="1" t="s">
        <v>823</v>
      </c>
      <c r="D488" s="1" t="s">
        <v>831</v>
      </c>
      <c r="E488" s="1">
        <v>1.0</v>
      </c>
      <c r="F488" s="1">
        <v>0.0</v>
      </c>
    </row>
    <row r="489" ht="12.75" customHeight="1">
      <c r="A489" s="1">
        <v>1.0</v>
      </c>
      <c r="B489" s="2" t="s">
        <v>832</v>
      </c>
      <c r="C489" s="1" t="s">
        <v>833</v>
      </c>
      <c r="D489" s="1" t="s">
        <v>834</v>
      </c>
      <c r="E489" s="1">
        <v>1.0</v>
      </c>
      <c r="F489" s="1">
        <v>0.0</v>
      </c>
    </row>
    <row r="490" ht="12.75" customHeight="1">
      <c r="A490" s="1">
        <v>1.0</v>
      </c>
      <c r="B490" s="2" t="s">
        <v>835</v>
      </c>
      <c r="C490" s="1" t="s">
        <v>836</v>
      </c>
      <c r="D490" s="1" t="s">
        <v>837</v>
      </c>
      <c r="E490" s="1">
        <v>1.0</v>
      </c>
      <c r="F490" s="1">
        <v>0.0</v>
      </c>
    </row>
    <row r="491" ht="12.75" customHeight="1">
      <c r="A491" s="1">
        <v>1.0</v>
      </c>
      <c r="B491" s="2">
        <v>190301.0</v>
      </c>
      <c r="C491" s="1" t="s">
        <v>838</v>
      </c>
      <c r="D491" s="1" t="s">
        <v>839</v>
      </c>
      <c r="E491" s="1">
        <v>1.0</v>
      </c>
      <c r="F491" s="1">
        <v>0.0</v>
      </c>
    </row>
    <row r="492" ht="12.75" customHeight="1">
      <c r="A492" s="1">
        <v>1.0</v>
      </c>
      <c r="B492" s="2">
        <v>1660105.0</v>
      </c>
      <c r="C492" s="1" t="s">
        <v>49</v>
      </c>
      <c r="D492" s="1" t="s">
        <v>840</v>
      </c>
      <c r="E492" s="1">
        <v>1.0</v>
      </c>
      <c r="F492" s="1">
        <v>0.0</v>
      </c>
    </row>
    <row r="493" ht="12.75" customHeight="1">
      <c r="A493" s="1">
        <v>1.0</v>
      </c>
      <c r="B493" s="2">
        <v>1660103.0</v>
      </c>
      <c r="C493" s="1" t="s">
        <v>49</v>
      </c>
      <c r="D493" s="1" t="s">
        <v>841</v>
      </c>
      <c r="E493" s="1">
        <v>1.0</v>
      </c>
      <c r="F493" s="1">
        <v>0.0</v>
      </c>
    </row>
    <row r="494" ht="12.75" customHeight="1">
      <c r="A494" s="1">
        <v>1.0</v>
      </c>
      <c r="B494" s="2">
        <v>1660501.0</v>
      </c>
      <c r="C494" s="1" t="s">
        <v>842</v>
      </c>
      <c r="D494" s="1" t="s">
        <v>843</v>
      </c>
      <c r="E494" s="1">
        <v>1.0</v>
      </c>
      <c r="F494" s="1">
        <v>0.0</v>
      </c>
    </row>
    <row r="495" ht="12.75" customHeight="1">
      <c r="A495" s="1">
        <v>1.0</v>
      </c>
      <c r="B495" s="2">
        <v>1660215.0</v>
      </c>
      <c r="C495" s="1" t="s">
        <v>844</v>
      </c>
      <c r="D495" s="1" t="s">
        <v>237</v>
      </c>
      <c r="E495" s="1">
        <v>1.0</v>
      </c>
      <c r="F495" s="1">
        <v>0.0</v>
      </c>
    </row>
    <row r="496" ht="12.75" customHeight="1">
      <c r="A496" s="1">
        <v>1.0</v>
      </c>
      <c r="B496" s="2">
        <v>564733.0</v>
      </c>
      <c r="C496" s="1" t="s">
        <v>845</v>
      </c>
      <c r="D496" s="1" t="s">
        <v>846</v>
      </c>
      <c r="E496" s="1">
        <v>1.0</v>
      </c>
      <c r="F496" s="1">
        <v>0.0</v>
      </c>
    </row>
    <row r="497" ht="12.75" customHeight="1">
      <c r="A497" s="1">
        <v>1.0</v>
      </c>
      <c r="B497" s="2" t="s">
        <v>847</v>
      </c>
      <c r="C497" s="1" t="s">
        <v>848</v>
      </c>
      <c r="D497" s="1" t="s">
        <v>849</v>
      </c>
      <c r="E497" s="1">
        <v>1.0</v>
      </c>
      <c r="F497" s="1">
        <v>0.0</v>
      </c>
    </row>
    <row r="498" ht="12.75" customHeight="1">
      <c r="A498" s="1">
        <v>1.0</v>
      </c>
      <c r="B498" s="2" t="s">
        <v>850</v>
      </c>
      <c r="C498" s="1" t="s">
        <v>348</v>
      </c>
      <c r="D498" s="1" t="s">
        <v>851</v>
      </c>
      <c r="E498" s="1">
        <v>1.0</v>
      </c>
      <c r="F498" s="1">
        <v>0.0</v>
      </c>
    </row>
    <row r="499" ht="12.75" customHeight="1">
      <c r="A499" s="1">
        <v>1.0</v>
      </c>
      <c r="B499" s="2" t="s">
        <v>852</v>
      </c>
      <c r="C499" s="1" t="s">
        <v>381</v>
      </c>
      <c r="D499" s="1" t="s">
        <v>851</v>
      </c>
      <c r="E499" s="1">
        <v>1.0</v>
      </c>
      <c r="F499" s="1">
        <v>0.0</v>
      </c>
    </row>
    <row r="500" ht="12.75" customHeight="1">
      <c r="A500" s="1">
        <v>1.0</v>
      </c>
      <c r="B500" s="2">
        <v>562675.0</v>
      </c>
      <c r="C500" s="1" t="s">
        <v>853</v>
      </c>
      <c r="D500" s="1" t="s">
        <v>854</v>
      </c>
      <c r="E500" s="1">
        <v>1.0</v>
      </c>
      <c r="F500" s="1">
        <v>0.0</v>
      </c>
    </row>
    <row r="501" ht="12.75" customHeight="1">
      <c r="A501" s="1">
        <v>1.0</v>
      </c>
      <c r="B501" s="2">
        <v>2480122.0</v>
      </c>
      <c r="C501" s="1" t="s">
        <v>561</v>
      </c>
      <c r="D501" s="1" t="s">
        <v>855</v>
      </c>
      <c r="E501" s="1">
        <v>1.0</v>
      </c>
      <c r="F501" s="1">
        <v>0.0</v>
      </c>
    </row>
    <row r="502" ht="12.75" customHeight="1">
      <c r="A502" s="1">
        <v>1.0</v>
      </c>
      <c r="B502" s="2" t="s">
        <v>856</v>
      </c>
      <c r="C502" s="1" t="s">
        <v>857</v>
      </c>
      <c r="D502" s="1" t="s">
        <v>858</v>
      </c>
      <c r="E502" s="1">
        <v>1.0</v>
      </c>
      <c r="F502" s="1">
        <v>0.0</v>
      </c>
    </row>
    <row r="503" ht="12.75" customHeight="1">
      <c r="A503" s="1">
        <v>1.0</v>
      </c>
      <c r="B503" s="2">
        <v>3801801.0</v>
      </c>
      <c r="C503" s="1" t="s">
        <v>859</v>
      </c>
      <c r="D503" s="1" t="s">
        <v>860</v>
      </c>
      <c r="E503" s="1">
        <v>1.0</v>
      </c>
      <c r="F503" s="1">
        <v>0.0</v>
      </c>
    </row>
    <row r="504" ht="12.75" customHeight="1">
      <c r="A504" s="1">
        <v>1.0</v>
      </c>
      <c r="B504" s="2">
        <v>1660225.0</v>
      </c>
      <c r="C504" s="1" t="s">
        <v>861</v>
      </c>
      <c r="D504" s="1" t="s">
        <v>862</v>
      </c>
      <c r="E504" s="1">
        <v>1.0</v>
      </c>
      <c r="F504" s="1">
        <v>0.0</v>
      </c>
    </row>
    <row r="505" ht="12.75" customHeight="1">
      <c r="A505" s="1">
        <v>1.0</v>
      </c>
      <c r="B505" s="2" t="s">
        <v>863</v>
      </c>
      <c r="C505" s="1" t="s">
        <v>864</v>
      </c>
      <c r="D505" s="1" t="s">
        <v>865</v>
      </c>
      <c r="E505" s="1">
        <v>1.0</v>
      </c>
      <c r="F505" s="1">
        <v>0.0</v>
      </c>
    </row>
    <row r="506" ht="12.75" customHeight="1">
      <c r="A506" s="1">
        <v>1.0</v>
      </c>
      <c r="B506" s="2" t="s">
        <v>866</v>
      </c>
      <c r="C506" s="1" t="s">
        <v>867</v>
      </c>
      <c r="D506" s="1" t="s">
        <v>868</v>
      </c>
      <c r="E506" s="1">
        <v>1.0</v>
      </c>
      <c r="F506" s="1">
        <v>0.0</v>
      </c>
    </row>
    <row r="507" ht="12.75" customHeight="1">
      <c r="A507" s="1">
        <v>1.0</v>
      </c>
      <c r="B507" s="2">
        <v>3800478.0</v>
      </c>
      <c r="C507" s="1" t="s">
        <v>869</v>
      </c>
      <c r="D507" s="1" t="s">
        <v>870</v>
      </c>
      <c r="E507" s="1">
        <v>1.0</v>
      </c>
      <c r="F507" s="1">
        <v>0.0</v>
      </c>
    </row>
    <row r="508" ht="12.75" customHeight="1">
      <c r="A508" s="1">
        <v>1.0</v>
      </c>
      <c r="B508" s="2">
        <v>3801583.0</v>
      </c>
      <c r="C508" s="1" t="s">
        <v>21</v>
      </c>
      <c r="D508" s="1" t="s">
        <v>870</v>
      </c>
      <c r="E508" s="1">
        <v>1.0</v>
      </c>
      <c r="F508" s="1">
        <v>0.0</v>
      </c>
    </row>
    <row r="509" ht="12.75" customHeight="1">
      <c r="A509" s="1">
        <v>1.0</v>
      </c>
      <c r="B509" s="2" t="s">
        <v>871</v>
      </c>
      <c r="C509" s="1" t="s">
        <v>872</v>
      </c>
      <c r="D509" s="1" t="s">
        <v>870</v>
      </c>
      <c r="E509" s="1">
        <v>1.0</v>
      </c>
      <c r="F509" s="1">
        <v>0.0</v>
      </c>
    </row>
    <row r="510" ht="12.75" customHeight="1">
      <c r="A510" s="1">
        <v>1.0</v>
      </c>
      <c r="B510" s="2" t="s">
        <v>873</v>
      </c>
      <c r="C510" s="1" t="s">
        <v>874</v>
      </c>
      <c r="D510" s="1" t="s">
        <v>870</v>
      </c>
      <c r="E510" s="1">
        <v>1.0</v>
      </c>
      <c r="F510" s="1">
        <v>0.0</v>
      </c>
    </row>
    <row r="511" ht="12.75" customHeight="1">
      <c r="A511" s="1">
        <v>1.0</v>
      </c>
      <c r="B511" s="2" t="s">
        <v>875</v>
      </c>
      <c r="C511" s="1" t="s">
        <v>876</v>
      </c>
      <c r="D511" s="1" t="s">
        <v>877</v>
      </c>
      <c r="E511" s="1">
        <v>1.0</v>
      </c>
      <c r="F511" s="1">
        <v>0.0</v>
      </c>
    </row>
    <row r="512" ht="12.75" customHeight="1">
      <c r="A512" s="1">
        <v>1.0</v>
      </c>
      <c r="B512" s="2" t="s">
        <v>878</v>
      </c>
      <c r="C512" s="1" t="s">
        <v>879</v>
      </c>
      <c r="D512" s="1" t="s">
        <v>880</v>
      </c>
      <c r="E512" s="1">
        <v>1.0</v>
      </c>
      <c r="F512" s="1">
        <v>0.0</v>
      </c>
    </row>
    <row r="513" ht="12.75" customHeight="1">
      <c r="A513" s="1">
        <v>1.0</v>
      </c>
      <c r="B513" s="2">
        <v>3800334.0</v>
      </c>
      <c r="C513" s="1" t="s">
        <v>37</v>
      </c>
      <c r="D513" s="1" t="s">
        <v>881</v>
      </c>
      <c r="E513" s="1">
        <v>1.0</v>
      </c>
      <c r="F513" s="1">
        <v>0.0</v>
      </c>
    </row>
    <row r="514" ht="12.75" customHeight="1">
      <c r="A514" s="1">
        <v>1.0</v>
      </c>
      <c r="B514" s="2" t="s">
        <v>882</v>
      </c>
      <c r="C514" s="1" t="s">
        <v>883</v>
      </c>
      <c r="D514" s="1" t="s">
        <v>884</v>
      </c>
      <c r="E514" s="1">
        <v>1.0</v>
      </c>
      <c r="F514" s="1">
        <v>0.0</v>
      </c>
    </row>
    <row r="515" ht="12.75" customHeight="1">
      <c r="A515" s="1">
        <v>1.0</v>
      </c>
      <c r="B515" s="2">
        <v>9130500.0</v>
      </c>
      <c r="C515" s="1" t="s">
        <v>885</v>
      </c>
      <c r="D515" s="1" t="s">
        <v>492</v>
      </c>
      <c r="E515" s="1">
        <v>1.0</v>
      </c>
      <c r="F515" s="1">
        <v>0.0</v>
      </c>
    </row>
    <row r="516" ht="12.75" customHeight="1">
      <c r="A516" s="1">
        <v>1.0</v>
      </c>
      <c r="B516" s="2">
        <v>780149.0</v>
      </c>
      <c r="C516" s="1" t="s">
        <v>886</v>
      </c>
      <c r="D516" s="1" t="s">
        <v>887</v>
      </c>
      <c r="E516" s="1">
        <v>1.0</v>
      </c>
      <c r="F516" s="1">
        <v>0.0</v>
      </c>
    </row>
    <row r="517" ht="12.75" customHeight="1">
      <c r="A517" s="1">
        <v>1.0</v>
      </c>
      <c r="B517" s="2">
        <v>3800310.0</v>
      </c>
      <c r="C517" s="1" t="s">
        <v>37</v>
      </c>
      <c r="D517" s="1" t="s">
        <v>888</v>
      </c>
      <c r="E517" s="1">
        <v>1.0</v>
      </c>
      <c r="F517" s="1">
        <v>0.0</v>
      </c>
    </row>
    <row r="518" ht="12.75" customHeight="1">
      <c r="A518" s="1">
        <v>1.0</v>
      </c>
      <c r="B518" s="2" t="s">
        <v>889</v>
      </c>
      <c r="C518" s="1" t="s">
        <v>890</v>
      </c>
      <c r="D518" s="1" t="s">
        <v>891</v>
      </c>
      <c r="E518" s="1">
        <v>1.0</v>
      </c>
      <c r="F518" s="1">
        <v>0.0</v>
      </c>
    </row>
    <row r="519" ht="12.75" customHeight="1">
      <c r="A519" s="1">
        <v>1.0</v>
      </c>
      <c r="B519" s="2">
        <v>560345.0</v>
      </c>
      <c r="C519" s="1" t="s">
        <v>892</v>
      </c>
      <c r="D519" s="1" t="s">
        <v>893</v>
      </c>
      <c r="E519" s="1">
        <v>1.0</v>
      </c>
      <c r="F519" s="1">
        <v>0.0</v>
      </c>
    </row>
    <row r="520" ht="12.75" customHeight="1">
      <c r="A520" s="1">
        <v>1.0</v>
      </c>
      <c r="B520" s="2">
        <v>560347.0</v>
      </c>
      <c r="C520" s="1" t="s">
        <v>892</v>
      </c>
      <c r="D520" s="1" t="s">
        <v>893</v>
      </c>
      <c r="E520" s="1">
        <v>1.0</v>
      </c>
      <c r="F520" s="1">
        <v>0.0</v>
      </c>
    </row>
    <row r="521" ht="12.75" customHeight="1">
      <c r="A521" s="1">
        <v>1.0</v>
      </c>
      <c r="B521" s="2">
        <v>562077.0</v>
      </c>
      <c r="C521" s="1" t="s">
        <v>894</v>
      </c>
      <c r="D521" s="1" t="s">
        <v>895</v>
      </c>
      <c r="E521" s="1">
        <v>1.0</v>
      </c>
      <c r="F521" s="1">
        <v>0.0</v>
      </c>
    </row>
    <row r="522" ht="12.75" customHeight="1">
      <c r="A522" s="1">
        <v>1.0</v>
      </c>
      <c r="B522" s="2">
        <v>564751.0</v>
      </c>
      <c r="C522" s="1" t="s">
        <v>896</v>
      </c>
      <c r="D522" s="1" t="s">
        <v>895</v>
      </c>
      <c r="E522" s="1">
        <v>1.0</v>
      </c>
      <c r="F522" s="1">
        <v>0.0</v>
      </c>
    </row>
    <row r="523" ht="12.75" customHeight="1">
      <c r="A523" s="1">
        <v>1.0</v>
      </c>
      <c r="B523" s="2" t="s">
        <v>897</v>
      </c>
      <c r="C523" s="1" t="s">
        <v>898</v>
      </c>
      <c r="D523" s="1" t="s">
        <v>895</v>
      </c>
      <c r="E523" s="1">
        <v>1.0</v>
      </c>
      <c r="F523" s="1">
        <v>0.0</v>
      </c>
    </row>
    <row r="524" ht="12.75" customHeight="1">
      <c r="A524" s="1">
        <v>1.0</v>
      </c>
      <c r="B524" s="2" t="s">
        <v>899</v>
      </c>
      <c r="C524" s="1" t="s">
        <v>900</v>
      </c>
      <c r="D524" s="1" t="s">
        <v>895</v>
      </c>
      <c r="E524" s="1">
        <v>1.0</v>
      </c>
      <c r="F524" s="1">
        <v>0.0</v>
      </c>
    </row>
    <row r="525" ht="12.75" customHeight="1">
      <c r="A525" s="1">
        <v>1.0</v>
      </c>
      <c r="B525" s="2" t="s">
        <v>901</v>
      </c>
      <c r="C525" s="1" t="s">
        <v>892</v>
      </c>
      <c r="D525" s="1" t="s">
        <v>895</v>
      </c>
      <c r="E525" s="1">
        <v>1.0</v>
      </c>
      <c r="F525" s="1">
        <v>0.0</v>
      </c>
    </row>
    <row r="526" ht="12.75" customHeight="1">
      <c r="A526" s="1">
        <v>1.0</v>
      </c>
      <c r="B526" s="2" t="s">
        <v>902</v>
      </c>
      <c r="C526" s="1" t="s">
        <v>892</v>
      </c>
      <c r="D526" s="1" t="s">
        <v>895</v>
      </c>
      <c r="E526" s="1">
        <v>1.0</v>
      </c>
      <c r="F526" s="1">
        <v>0.0</v>
      </c>
    </row>
    <row r="527" ht="12.75" customHeight="1">
      <c r="A527" s="1">
        <v>1.0</v>
      </c>
      <c r="B527" s="2" t="s">
        <v>903</v>
      </c>
      <c r="C527" s="1" t="s">
        <v>892</v>
      </c>
      <c r="D527" s="1" t="s">
        <v>895</v>
      </c>
      <c r="E527" s="1">
        <v>1.0</v>
      </c>
      <c r="F527" s="1">
        <v>0.0</v>
      </c>
    </row>
    <row r="528" ht="12.75" customHeight="1">
      <c r="A528" s="1">
        <v>1.0</v>
      </c>
      <c r="B528" s="2" t="s">
        <v>904</v>
      </c>
      <c r="C528" s="1" t="s">
        <v>892</v>
      </c>
      <c r="D528" s="1" t="s">
        <v>895</v>
      </c>
      <c r="E528" s="1">
        <v>1.0</v>
      </c>
      <c r="F528" s="1">
        <v>0.0</v>
      </c>
    </row>
    <row r="529" ht="12.75" customHeight="1">
      <c r="A529" s="1">
        <v>1.0</v>
      </c>
      <c r="B529" s="2" t="s">
        <v>905</v>
      </c>
      <c r="C529" s="1" t="s">
        <v>906</v>
      </c>
      <c r="D529" s="1" t="s">
        <v>907</v>
      </c>
      <c r="E529" s="1">
        <v>1.0</v>
      </c>
      <c r="F529" s="1">
        <v>0.0</v>
      </c>
    </row>
    <row r="530" ht="12.75" customHeight="1">
      <c r="A530" s="1">
        <v>1.0</v>
      </c>
      <c r="B530" s="2" t="s">
        <v>908</v>
      </c>
      <c r="C530" s="1" t="s">
        <v>909</v>
      </c>
      <c r="D530" s="1" t="s">
        <v>910</v>
      </c>
      <c r="E530" s="1">
        <v>1.0</v>
      </c>
      <c r="F530" s="1">
        <v>0.0</v>
      </c>
    </row>
    <row r="531" ht="12.75" customHeight="1">
      <c r="A531" s="1">
        <v>1.0</v>
      </c>
      <c r="B531" s="2">
        <v>560339.0</v>
      </c>
      <c r="C531" s="1" t="s">
        <v>911</v>
      </c>
      <c r="D531" s="1" t="s">
        <v>912</v>
      </c>
      <c r="E531" s="1">
        <v>1.0</v>
      </c>
      <c r="F531" s="1">
        <v>0.0</v>
      </c>
    </row>
    <row r="532" ht="12.75" customHeight="1">
      <c r="A532" s="1">
        <v>1.0</v>
      </c>
      <c r="B532" s="2">
        <v>560342.0</v>
      </c>
      <c r="C532" s="1" t="s">
        <v>892</v>
      </c>
      <c r="D532" s="1" t="s">
        <v>912</v>
      </c>
      <c r="E532" s="1">
        <v>1.0</v>
      </c>
      <c r="F532" s="1">
        <v>0.0</v>
      </c>
    </row>
    <row r="533" ht="12.75" customHeight="1">
      <c r="A533" s="1">
        <v>1.0</v>
      </c>
      <c r="B533" s="2">
        <v>564704.0</v>
      </c>
      <c r="C533" s="1" t="s">
        <v>913</v>
      </c>
      <c r="D533" s="1" t="s">
        <v>912</v>
      </c>
      <c r="E533" s="1">
        <v>1.0</v>
      </c>
      <c r="F533" s="1">
        <v>0.0</v>
      </c>
    </row>
    <row r="534" ht="12.75" customHeight="1">
      <c r="A534" s="1">
        <v>1.0</v>
      </c>
      <c r="B534" s="2">
        <v>564730.0</v>
      </c>
      <c r="C534" s="1" t="s">
        <v>914</v>
      </c>
      <c r="D534" s="1" t="s">
        <v>912</v>
      </c>
      <c r="E534" s="1">
        <v>1.0</v>
      </c>
      <c r="F534" s="1">
        <v>0.0</v>
      </c>
    </row>
    <row r="535" ht="12.75" customHeight="1">
      <c r="A535" s="1">
        <v>1.0</v>
      </c>
      <c r="B535" s="2">
        <v>7900105.0</v>
      </c>
      <c r="C535" s="1" t="s">
        <v>892</v>
      </c>
      <c r="D535" s="1" t="s">
        <v>912</v>
      </c>
      <c r="E535" s="1">
        <v>1.0</v>
      </c>
      <c r="F535" s="1">
        <v>0.0</v>
      </c>
    </row>
    <row r="536" ht="12.75" customHeight="1">
      <c r="A536" s="1">
        <v>1.0</v>
      </c>
      <c r="B536" s="2">
        <v>8323004.0</v>
      </c>
      <c r="C536" s="1" t="s">
        <v>278</v>
      </c>
      <c r="D536" s="1" t="s">
        <v>912</v>
      </c>
      <c r="E536" s="1">
        <v>1.0</v>
      </c>
      <c r="F536" s="1">
        <v>0.0</v>
      </c>
    </row>
    <row r="537" ht="12.75" customHeight="1">
      <c r="A537" s="1">
        <v>1.0</v>
      </c>
      <c r="B537" s="2" t="s">
        <v>915</v>
      </c>
      <c r="C537" s="1" t="s">
        <v>916</v>
      </c>
      <c r="D537" s="1" t="s">
        <v>912</v>
      </c>
      <c r="E537" s="1">
        <v>1.0</v>
      </c>
      <c r="F537" s="1">
        <v>0.0</v>
      </c>
    </row>
    <row r="538" ht="12.75" customHeight="1">
      <c r="A538" s="1">
        <v>1.0</v>
      </c>
      <c r="B538" s="2" t="s">
        <v>917</v>
      </c>
      <c r="C538" s="1" t="s">
        <v>892</v>
      </c>
      <c r="D538" s="1" t="s">
        <v>912</v>
      </c>
      <c r="E538" s="1">
        <v>1.0</v>
      </c>
      <c r="F538" s="1">
        <v>0.0</v>
      </c>
    </row>
    <row r="539" ht="12.75" customHeight="1">
      <c r="A539" s="1">
        <v>1.0</v>
      </c>
      <c r="B539" s="2" t="s">
        <v>918</v>
      </c>
      <c r="C539" s="1" t="s">
        <v>892</v>
      </c>
      <c r="D539" s="1" t="s">
        <v>912</v>
      </c>
      <c r="E539" s="1">
        <v>1.0</v>
      </c>
      <c r="F539" s="1">
        <v>0.0</v>
      </c>
    </row>
    <row r="540" ht="12.75" customHeight="1">
      <c r="A540" s="1">
        <v>1.0</v>
      </c>
      <c r="B540" s="2" t="s">
        <v>919</v>
      </c>
      <c r="C540" s="1" t="s">
        <v>495</v>
      </c>
      <c r="D540" s="1" t="s">
        <v>912</v>
      </c>
      <c r="E540" s="1">
        <v>1.0</v>
      </c>
      <c r="F540" s="1">
        <v>0.0</v>
      </c>
    </row>
    <row r="541" ht="12.75" customHeight="1">
      <c r="A541" s="1">
        <v>1.0</v>
      </c>
      <c r="B541" s="2" t="s">
        <v>920</v>
      </c>
      <c r="C541" s="1" t="s">
        <v>921</v>
      </c>
      <c r="D541" s="1" t="s">
        <v>912</v>
      </c>
      <c r="E541" s="1">
        <v>1.0</v>
      </c>
      <c r="F541" s="1">
        <v>0.0</v>
      </c>
    </row>
    <row r="542" ht="12.75" customHeight="1">
      <c r="A542" s="1">
        <v>1.0</v>
      </c>
      <c r="B542" s="2" t="s">
        <v>922</v>
      </c>
      <c r="C542" s="1" t="s">
        <v>923</v>
      </c>
      <c r="D542" s="1" t="s">
        <v>912</v>
      </c>
      <c r="E542" s="1">
        <v>1.0</v>
      </c>
      <c r="F542" s="1">
        <v>0.0</v>
      </c>
    </row>
    <row r="543" ht="12.75" customHeight="1">
      <c r="A543" s="1">
        <v>1.0</v>
      </c>
      <c r="B543" s="2" t="s">
        <v>924</v>
      </c>
      <c r="C543" s="1" t="s">
        <v>925</v>
      </c>
      <c r="D543" s="1" t="s">
        <v>912</v>
      </c>
      <c r="E543" s="1">
        <v>1.0</v>
      </c>
      <c r="F543" s="1">
        <v>0.0</v>
      </c>
    </row>
    <row r="544" ht="12.75" customHeight="1">
      <c r="A544" s="1">
        <v>1.0</v>
      </c>
      <c r="B544" s="2">
        <v>7900103.0</v>
      </c>
      <c r="C544" s="1" t="s">
        <v>926</v>
      </c>
      <c r="D544" s="1" t="s">
        <v>927</v>
      </c>
      <c r="E544" s="1">
        <v>1.0</v>
      </c>
      <c r="F544" s="1">
        <v>0.0</v>
      </c>
    </row>
    <row r="545" ht="12.75" customHeight="1">
      <c r="A545" s="1">
        <v>1.0</v>
      </c>
      <c r="B545" s="2">
        <v>564748.0</v>
      </c>
      <c r="C545" s="1" t="s">
        <v>928</v>
      </c>
      <c r="D545" s="1" t="s">
        <v>929</v>
      </c>
      <c r="E545" s="1">
        <v>1.0</v>
      </c>
      <c r="F545" s="1">
        <v>0.0</v>
      </c>
    </row>
    <row r="546" ht="12.75" customHeight="1">
      <c r="A546" s="1">
        <v>1.0</v>
      </c>
      <c r="B546" s="2" t="s">
        <v>930</v>
      </c>
      <c r="C546" s="1" t="s">
        <v>495</v>
      </c>
      <c r="D546" s="1" t="s">
        <v>931</v>
      </c>
      <c r="E546" s="1">
        <v>1.0</v>
      </c>
      <c r="F546" s="1">
        <v>0.0</v>
      </c>
    </row>
    <row r="547" ht="12.75" customHeight="1">
      <c r="A547" s="1">
        <v>1.0</v>
      </c>
      <c r="B547" s="2">
        <v>560355.0</v>
      </c>
      <c r="C547" s="1" t="s">
        <v>892</v>
      </c>
      <c r="D547" s="1" t="s">
        <v>932</v>
      </c>
      <c r="E547" s="1">
        <v>1.0</v>
      </c>
      <c r="F547" s="1">
        <v>0.0</v>
      </c>
    </row>
    <row r="548" ht="12.75" customHeight="1">
      <c r="A548" s="1">
        <v>1.0</v>
      </c>
      <c r="B548" s="2">
        <v>564719.0</v>
      </c>
      <c r="C548" s="1" t="s">
        <v>933</v>
      </c>
      <c r="D548" s="1" t="s">
        <v>934</v>
      </c>
      <c r="E548" s="1">
        <v>1.0</v>
      </c>
      <c r="F548" s="1">
        <v>0.0</v>
      </c>
    </row>
    <row r="549" ht="12.75" customHeight="1">
      <c r="A549" s="1">
        <v>1.0</v>
      </c>
      <c r="B549" s="2">
        <v>564755.0</v>
      </c>
      <c r="C549" s="1" t="s">
        <v>935</v>
      </c>
      <c r="D549" s="1" t="s">
        <v>936</v>
      </c>
      <c r="E549" s="1">
        <v>1.0</v>
      </c>
      <c r="F549" s="1">
        <v>0.0</v>
      </c>
    </row>
    <row r="550" ht="12.75" customHeight="1">
      <c r="A550" s="1">
        <v>1.0</v>
      </c>
      <c r="B550" s="2">
        <v>564765.0</v>
      </c>
      <c r="C550" s="1" t="s">
        <v>937</v>
      </c>
      <c r="D550" s="1" t="s">
        <v>936</v>
      </c>
      <c r="E550" s="1">
        <v>1.0</v>
      </c>
      <c r="F550" s="1">
        <v>0.0</v>
      </c>
    </row>
    <row r="551" ht="12.75" customHeight="1">
      <c r="A551" s="1">
        <v>1.0</v>
      </c>
      <c r="B551" s="2">
        <v>564768.0</v>
      </c>
      <c r="C551" s="1" t="s">
        <v>938</v>
      </c>
      <c r="D551" s="1" t="s">
        <v>936</v>
      </c>
      <c r="E551" s="1">
        <v>1.0</v>
      </c>
      <c r="F551" s="1">
        <v>0.0</v>
      </c>
    </row>
    <row r="552" ht="12.75" customHeight="1">
      <c r="A552" s="1">
        <v>1.0</v>
      </c>
      <c r="B552" s="2">
        <v>564774.0</v>
      </c>
      <c r="C552" s="1" t="s">
        <v>939</v>
      </c>
      <c r="D552" s="1" t="s">
        <v>936</v>
      </c>
      <c r="E552" s="1">
        <v>1.0</v>
      </c>
      <c r="F552" s="1">
        <v>0.0</v>
      </c>
    </row>
    <row r="553" ht="12.75" customHeight="1">
      <c r="A553" s="1">
        <v>1.0</v>
      </c>
      <c r="B553" s="2">
        <v>564796.0</v>
      </c>
      <c r="C553" s="1" t="s">
        <v>940</v>
      </c>
      <c r="D553" s="1" t="s">
        <v>936</v>
      </c>
      <c r="E553" s="1">
        <v>1.0</v>
      </c>
      <c r="F553" s="1">
        <v>0.0</v>
      </c>
    </row>
    <row r="554" ht="12.75" customHeight="1">
      <c r="A554" s="1">
        <v>1.0</v>
      </c>
      <c r="B554" s="2" t="s">
        <v>941</v>
      </c>
      <c r="C554" s="1" t="s">
        <v>942</v>
      </c>
      <c r="D554" s="1" t="s">
        <v>936</v>
      </c>
      <c r="E554" s="1">
        <v>1.0</v>
      </c>
      <c r="F554" s="1">
        <v>0.0</v>
      </c>
    </row>
    <row r="555" ht="12.75" customHeight="1">
      <c r="A555" s="1">
        <v>1.0</v>
      </c>
      <c r="B555" s="2" t="s">
        <v>943</v>
      </c>
      <c r="C555" s="1" t="s">
        <v>944</v>
      </c>
      <c r="D555" s="1" t="s">
        <v>936</v>
      </c>
      <c r="E555" s="1">
        <v>1.0</v>
      </c>
      <c r="F555" s="1">
        <v>0.0</v>
      </c>
    </row>
    <row r="556" ht="12.75" customHeight="1">
      <c r="A556" s="1">
        <v>1.0</v>
      </c>
      <c r="B556" s="2" t="s">
        <v>945</v>
      </c>
      <c r="C556" s="1" t="s">
        <v>946</v>
      </c>
      <c r="D556" s="1" t="s">
        <v>936</v>
      </c>
      <c r="E556" s="1">
        <v>1.0</v>
      </c>
      <c r="F556" s="1">
        <v>0.0</v>
      </c>
    </row>
    <row r="557" ht="12.75" customHeight="1">
      <c r="A557" s="1">
        <v>1.0</v>
      </c>
      <c r="B557" s="2" t="s">
        <v>947</v>
      </c>
      <c r="C557" s="1" t="s">
        <v>948</v>
      </c>
      <c r="D557" s="1" t="s">
        <v>936</v>
      </c>
      <c r="E557" s="1">
        <v>1.0</v>
      </c>
      <c r="F557" s="1">
        <v>0.0</v>
      </c>
    </row>
    <row r="558" ht="12.75" customHeight="1">
      <c r="A558" s="1">
        <v>1.0</v>
      </c>
      <c r="B558" s="2" t="s">
        <v>949</v>
      </c>
      <c r="C558" s="1" t="s">
        <v>950</v>
      </c>
      <c r="D558" s="1" t="s">
        <v>936</v>
      </c>
      <c r="E558" s="1">
        <v>1.0</v>
      </c>
      <c r="F558" s="1">
        <v>0.0</v>
      </c>
    </row>
    <row r="559" ht="12.75" customHeight="1">
      <c r="A559" s="1">
        <v>1.0</v>
      </c>
      <c r="B559" s="2">
        <v>561969.0</v>
      </c>
      <c r="C559" s="1" t="s">
        <v>951</v>
      </c>
      <c r="D559" s="1" t="s">
        <v>952</v>
      </c>
      <c r="E559" s="1">
        <v>1.0</v>
      </c>
      <c r="F559" s="1">
        <v>0.0</v>
      </c>
    </row>
    <row r="560" ht="12.75" customHeight="1">
      <c r="A560" s="1">
        <v>1.0</v>
      </c>
      <c r="B560" s="2" t="s">
        <v>953</v>
      </c>
      <c r="C560" s="1" t="s">
        <v>954</v>
      </c>
      <c r="D560" s="1" t="s">
        <v>955</v>
      </c>
      <c r="E560" s="1">
        <v>1.0</v>
      </c>
      <c r="F560" s="1">
        <v>0.0</v>
      </c>
    </row>
    <row r="561" ht="12.75" customHeight="1">
      <c r="A561" s="1">
        <v>1.0</v>
      </c>
      <c r="B561" s="2" t="s">
        <v>956</v>
      </c>
      <c r="C561" s="1" t="s">
        <v>957</v>
      </c>
      <c r="D561" s="1" t="s">
        <v>955</v>
      </c>
      <c r="E561" s="1">
        <v>1.0</v>
      </c>
      <c r="F561" s="1">
        <v>0.0</v>
      </c>
    </row>
    <row r="562" ht="12.75" customHeight="1">
      <c r="A562" s="1">
        <v>1.0</v>
      </c>
      <c r="B562" s="2" t="s">
        <v>958</v>
      </c>
      <c r="C562" s="1" t="s">
        <v>959</v>
      </c>
      <c r="D562" s="1" t="s">
        <v>960</v>
      </c>
      <c r="E562" s="1">
        <v>1.0</v>
      </c>
      <c r="F562" s="1">
        <v>0.0</v>
      </c>
    </row>
    <row r="563" ht="12.75" customHeight="1">
      <c r="A563" s="1">
        <v>1.0</v>
      </c>
      <c r="B563" s="2" t="s">
        <v>961</v>
      </c>
      <c r="C563" s="1" t="s">
        <v>962</v>
      </c>
      <c r="D563" s="1" t="s">
        <v>963</v>
      </c>
      <c r="E563" s="1">
        <v>1.0</v>
      </c>
      <c r="F563" s="1">
        <v>0.0</v>
      </c>
    </row>
    <row r="564" ht="12.75" customHeight="1">
      <c r="A564" s="1">
        <v>1.0</v>
      </c>
      <c r="B564" s="2" t="s">
        <v>964</v>
      </c>
      <c r="C564" s="1" t="s">
        <v>965</v>
      </c>
      <c r="D564" s="1" t="s">
        <v>966</v>
      </c>
      <c r="E564" s="1">
        <v>1.0</v>
      </c>
      <c r="F564" s="1">
        <v>0.0</v>
      </c>
    </row>
    <row r="565" ht="12.75" customHeight="1">
      <c r="A565" s="1">
        <v>1.0</v>
      </c>
      <c r="B565" s="2" t="s">
        <v>967</v>
      </c>
      <c r="C565" s="1" t="s">
        <v>968</v>
      </c>
      <c r="D565" s="1" t="s">
        <v>969</v>
      </c>
      <c r="E565" s="1">
        <v>1.0</v>
      </c>
      <c r="F565" s="1">
        <v>0.0</v>
      </c>
    </row>
    <row r="566" ht="12.75" customHeight="1">
      <c r="A566" s="1">
        <v>1.0</v>
      </c>
      <c r="B566" s="2" t="s">
        <v>970</v>
      </c>
      <c r="C566" s="1" t="s">
        <v>892</v>
      </c>
      <c r="D566" s="1" t="s">
        <v>971</v>
      </c>
      <c r="E566" s="1">
        <v>1.0</v>
      </c>
      <c r="F566" s="1">
        <v>0.0</v>
      </c>
    </row>
    <row r="567" ht="12.75" customHeight="1">
      <c r="A567" s="1">
        <v>1.0</v>
      </c>
      <c r="B567" s="2" t="s">
        <v>972</v>
      </c>
      <c r="C567" s="1" t="s">
        <v>973</v>
      </c>
      <c r="D567" s="1" t="s">
        <v>974</v>
      </c>
      <c r="E567" s="1">
        <v>1.0</v>
      </c>
      <c r="F567" s="1">
        <v>0.0</v>
      </c>
    </row>
    <row r="568" ht="12.75" customHeight="1">
      <c r="A568" s="1">
        <v>1.0</v>
      </c>
      <c r="B568" s="2" t="s">
        <v>975</v>
      </c>
      <c r="C568" s="1" t="s">
        <v>976</v>
      </c>
      <c r="D568" s="1" t="s">
        <v>977</v>
      </c>
      <c r="E568" s="1">
        <v>1.0</v>
      </c>
      <c r="F568" s="1">
        <v>0.0</v>
      </c>
    </row>
    <row r="569" ht="12.75" customHeight="1">
      <c r="A569" s="1">
        <v>1.0</v>
      </c>
      <c r="B569" s="2" t="s">
        <v>978</v>
      </c>
      <c r="C569" s="1" t="s">
        <v>979</v>
      </c>
      <c r="D569" s="1" t="s">
        <v>980</v>
      </c>
      <c r="E569" s="1">
        <v>1.0</v>
      </c>
      <c r="F569" s="1">
        <v>0.0</v>
      </c>
    </row>
    <row r="570" ht="12.75" customHeight="1">
      <c r="A570" s="1">
        <v>1.0</v>
      </c>
      <c r="B570" s="2">
        <v>564784.0</v>
      </c>
      <c r="C570" s="1" t="s">
        <v>981</v>
      </c>
      <c r="D570" s="1" t="s">
        <v>982</v>
      </c>
      <c r="E570" s="1">
        <v>1.0</v>
      </c>
      <c r="F570" s="1">
        <v>0.0</v>
      </c>
    </row>
    <row r="571" ht="12.75" customHeight="1">
      <c r="A571" s="1">
        <v>1.0</v>
      </c>
      <c r="B571" s="2" t="s">
        <v>983</v>
      </c>
      <c r="C571" s="1" t="s">
        <v>984</v>
      </c>
      <c r="D571" s="1" t="s">
        <v>985</v>
      </c>
      <c r="E571" s="1">
        <v>1.0</v>
      </c>
      <c r="F571" s="1">
        <v>0.0</v>
      </c>
    </row>
    <row r="572" ht="12.75" customHeight="1">
      <c r="A572" s="1">
        <v>1.0</v>
      </c>
      <c r="B572" s="2" t="s">
        <v>986</v>
      </c>
      <c r="C572" s="1" t="s">
        <v>984</v>
      </c>
      <c r="D572" s="1" t="s">
        <v>985</v>
      </c>
      <c r="E572" s="1">
        <v>1.0</v>
      </c>
      <c r="F572" s="1">
        <v>0.0</v>
      </c>
    </row>
    <row r="573" ht="12.75" customHeight="1">
      <c r="A573" s="1">
        <v>1.0</v>
      </c>
      <c r="B573" s="2" t="s">
        <v>987</v>
      </c>
      <c r="C573" s="1" t="s">
        <v>984</v>
      </c>
      <c r="D573" s="1" t="s">
        <v>985</v>
      </c>
      <c r="E573" s="1">
        <v>1.0</v>
      </c>
      <c r="F573" s="1">
        <v>0.0</v>
      </c>
    </row>
    <row r="574" ht="12.75" customHeight="1">
      <c r="A574" s="1">
        <v>1.0</v>
      </c>
      <c r="B574" s="2" t="s">
        <v>988</v>
      </c>
      <c r="C574" s="1" t="s">
        <v>984</v>
      </c>
      <c r="D574" s="1" t="s">
        <v>985</v>
      </c>
      <c r="E574" s="1">
        <v>1.0</v>
      </c>
      <c r="F574" s="1">
        <v>0.0</v>
      </c>
    </row>
    <row r="575" ht="12.75" customHeight="1">
      <c r="A575" s="1">
        <v>1.0</v>
      </c>
      <c r="B575" s="2" t="s">
        <v>989</v>
      </c>
      <c r="C575" s="1" t="s">
        <v>984</v>
      </c>
      <c r="D575" s="1" t="s">
        <v>985</v>
      </c>
      <c r="E575" s="1">
        <v>1.0</v>
      </c>
      <c r="F575" s="1">
        <v>0.0</v>
      </c>
    </row>
    <row r="576" ht="12.75" customHeight="1">
      <c r="A576" s="1">
        <v>1.0</v>
      </c>
      <c r="B576" s="2">
        <v>3800425.0</v>
      </c>
      <c r="C576" s="1" t="s">
        <v>990</v>
      </c>
      <c r="D576" s="1" t="s">
        <v>991</v>
      </c>
      <c r="E576" s="1">
        <v>1.0</v>
      </c>
      <c r="F576" s="1">
        <v>0.0</v>
      </c>
    </row>
    <row r="577" ht="12.75" customHeight="1">
      <c r="A577" s="1">
        <v>1.0</v>
      </c>
      <c r="B577" s="2">
        <v>4590501.0</v>
      </c>
      <c r="C577" s="1" t="s">
        <v>992</v>
      </c>
      <c r="D577" s="1" t="s">
        <v>110</v>
      </c>
      <c r="E577" s="1">
        <v>1.0</v>
      </c>
      <c r="F577" s="1">
        <v>0.0</v>
      </c>
    </row>
    <row r="578" ht="12.75" customHeight="1">
      <c r="A578" s="1">
        <v>1.0</v>
      </c>
      <c r="B578" s="2">
        <v>4490112.0</v>
      </c>
      <c r="C578" s="1" t="s">
        <v>310</v>
      </c>
      <c r="D578" s="1" t="s">
        <v>993</v>
      </c>
      <c r="E578" s="1">
        <v>1.0</v>
      </c>
      <c r="F578" s="1">
        <v>0.0</v>
      </c>
    </row>
    <row r="579" ht="12.75" customHeight="1">
      <c r="A579" s="1">
        <v>1.0</v>
      </c>
      <c r="B579" s="2">
        <v>6820502.0</v>
      </c>
      <c r="C579" s="1" t="s">
        <v>994</v>
      </c>
      <c r="D579" s="1" t="s">
        <v>995</v>
      </c>
      <c r="E579" s="1">
        <v>1.0</v>
      </c>
      <c r="F579" s="1">
        <v>0.0</v>
      </c>
    </row>
    <row r="580" ht="12.75" customHeight="1">
      <c r="A580" s="1">
        <v>1.0</v>
      </c>
      <c r="B580" s="2" t="s">
        <v>996</v>
      </c>
      <c r="C580" s="1" t="s">
        <v>997</v>
      </c>
      <c r="D580" s="1" t="s">
        <v>998</v>
      </c>
      <c r="E580" s="1">
        <v>1.0</v>
      </c>
      <c r="F580" s="1">
        <v>0.0</v>
      </c>
    </row>
    <row r="581" ht="12.75" customHeight="1">
      <c r="A581" s="1">
        <v>1.0</v>
      </c>
      <c r="B581" s="2">
        <v>8821642.0</v>
      </c>
      <c r="C581" s="1" t="s">
        <v>173</v>
      </c>
      <c r="D581" s="1" t="s">
        <v>999</v>
      </c>
      <c r="E581" s="1">
        <v>1.0</v>
      </c>
      <c r="F581" s="1">
        <v>0.0</v>
      </c>
    </row>
    <row r="582" ht="12.75" customHeight="1">
      <c r="A582" s="1">
        <v>1.0</v>
      </c>
      <c r="B582" s="2" t="s">
        <v>1000</v>
      </c>
      <c r="C582" s="1" t="s">
        <v>1001</v>
      </c>
      <c r="D582" s="1" t="s">
        <v>1002</v>
      </c>
      <c r="E582" s="1">
        <v>1.0</v>
      </c>
      <c r="F582" s="1">
        <v>0.0</v>
      </c>
    </row>
    <row r="583" ht="12.75" customHeight="1">
      <c r="A583" s="1">
        <v>1.0</v>
      </c>
      <c r="B583" s="2">
        <v>3802002.0</v>
      </c>
      <c r="C583" s="1" t="s">
        <v>416</v>
      </c>
      <c r="D583" s="1" t="s">
        <v>1003</v>
      </c>
      <c r="E583" s="1">
        <v>1.0</v>
      </c>
      <c r="F583" s="1">
        <v>0.0</v>
      </c>
    </row>
    <row r="584" ht="12.75" customHeight="1">
      <c r="A584" s="1">
        <v>1.0</v>
      </c>
      <c r="B584" s="2">
        <v>3802007.0</v>
      </c>
      <c r="C584" s="1" t="s">
        <v>152</v>
      </c>
      <c r="D584" s="1" t="s">
        <v>1003</v>
      </c>
      <c r="E584" s="1">
        <v>1.0</v>
      </c>
      <c r="F584" s="1">
        <v>0.0</v>
      </c>
    </row>
    <row r="585" ht="12.75" customHeight="1">
      <c r="A585" s="1">
        <v>1.0</v>
      </c>
      <c r="B585" s="2">
        <v>3802004.0</v>
      </c>
      <c r="C585" s="1" t="s">
        <v>416</v>
      </c>
      <c r="D585" s="1" t="s">
        <v>1004</v>
      </c>
      <c r="E585" s="1">
        <v>1.0</v>
      </c>
      <c r="F585" s="1">
        <v>0.0</v>
      </c>
    </row>
    <row r="586" ht="12.75" customHeight="1">
      <c r="A586" s="1">
        <v>1.0</v>
      </c>
      <c r="B586" s="2">
        <v>3802006.0</v>
      </c>
      <c r="C586" s="1" t="s">
        <v>416</v>
      </c>
      <c r="D586" s="1" t="s">
        <v>1005</v>
      </c>
      <c r="E586" s="1">
        <v>1.0</v>
      </c>
      <c r="F586" s="1">
        <v>0.0</v>
      </c>
    </row>
    <row r="587" ht="12.75" customHeight="1">
      <c r="A587" s="1">
        <v>1.0</v>
      </c>
      <c r="B587" s="2">
        <v>3802009.0</v>
      </c>
      <c r="C587" s="1" t="s">
        <v>25</v>
      </c>
      <c r="D587" s="1" t="s">
        <v>1006</v>
      </c>
      <c r="E587" s="1">
        <v>1.0</v>
      </c>
      <c r="F587" s="1">
        <v>0.0</v>
      </c>
    </row>
    <row r="588" ht="12.75" customHeight="1">
      <c r="A588" s="1">
        <v>1.0</v>
      </c>
      <c r="B588" s="2" t="s">
        <v>1007</v>
      </c>
      <c r="C588" s="1" t="s">
        <v>1008</v>
      </c>
      <c r="D588" s="1" t="s">
        <v>1009</v>
      </c>
      <c r="E588" s="1">
        <v>1.0</v>
      </c>
      <c r="F588" s="1">
        <v>0.0</v>
      </c>
    </row>
    <row r="589" ht="12.75" customHeight="1">
      <c r="A589" s="1">
        <v>1.0</v>
      </c>
      <c r="B589" s="2" t="s">
        <v>1010</v>
      </c>
      <c r="C589" s="1" t="s">
        <v>1011</v>
      </c>
      <c r="D589" s="1" t="s">
        <v>1012</v>
      </c>
      <c r="E589" s="1">
        <v>1.0</v>
      </c>
      <c r="F589" s="1">
        <v>0.0</v>
      </c>
    </row>
    <row r="590" ht="12.75" customHeight="1">
      <c r="A590" s="1">
        <v>1.0</v>
      </c>
      <c r="B590" s="2" t="s">
        <v>1013</v>
      </c>
      <c r="C590" s="1" t="s">
        <v>143</v>
      </c>
      <c r="D590" s="1" t="s">
        <v>1014</v>
      </c>
      <c r="E590" s="1">
        <v>1.0</v>
      </c>
      <c r="F590" s="1">
        <v>0.0</v>
      </c>
    </row>
    <row r="591" ht="12.75" customHeight="1">
      <c r="A591" s="1">
        <v>1.0</v>
      </c>
      <c r="B591" s="2">
        <v>3801540.0</v>
      </c>
      <c r="C591" s="1" t="s">
        <v>21</v>
      </c>
      <c r="D591" s="1" t="s">
        <v>1015</v>
      </c>
      <c r="E591" s="1">
        <v>1.0</v>
      </c>
      <c r="F591" s="1">
        <v>0.0</v>
      </c>
    </row>
    <row r="592" ht="12.75" customHeight="1">
      <c r="A592" s="1">
        <v>1.0</v>
      </c>
      <c r="B592" s="2">
        <v>3801559.0</v>
      </c>
      <c r="C592" s="1" t="s">
        <v>21</v>
      </c>
      <c r="D592" s="1" t="s">
        <v>1016</v>
      </c>
      <c r="E592" s="1">
        <v>1.0</v>
      </c>
      <c r="F592" s="1">
        <v>0.0</v>
      </c>
    </row>
    <row r="593" ht="12.75" customHeight="1">
      <c r="A593" s="1">
        <v>1.0</v>
      </c>
      <c r="B593" s="2" t="s">
        <v>1017</v>
      </c>
      <c r="C593" s="1" t="s">
        <v>1018</v>
      </c>
      <c r="D593" s="1" t="s">
        <v>1019</v>
      </c>
      <c r="E593" s="1">
        <v>1.0</v>
      </c>
      <c r="F593" s="1">
        <v>0.0</v>
      </c>
    </row>
    <row r="594" ht="12.75" customHeight="1">
      <c r="A594" s="1">
        <v>1.0</v>
      </c>
      <c r="B594" s="2" t="s">
        <v>1020</v>
      </c>
      <c r="C594" s="1" t="s">
        <v>25</v>
      </c>
      <c r="D594" s="1" t="s">
        <v>1021</v>
      </c>
      <c r="E594" s="1">
        <v>1.0</v>
      </c>
      <c r="F594" s="1">
        <v>0.0</v>
      </c>
    </row>
    <row r="595" ht="12.75" customHeight="1">
      <c r="A595" s="1">
        <v>1.0</v>
      </c>
      <c r="B595" s="2">
        <v>3801568.0</v>
      </c>
      <c r="C595" s="1" t="s">
        <v>21</v>
      </c>
      <c r="D595" s="1" t="s">
        <v>1022</v>
      </c>
      <c r="E595" s="1">
        <v>1.0</v>
      </c>
      <c r="F595" s="1">
        <v>0.0</v>
      </c>
    </row>
    <row r="596" ht="12.75" customHeight="1">
      <c r="A596" s="1">
        <v>1.0</v>
      </c>
      <c r="B596" s="2">
        <v>3801528.0</v>
      </c>
      <c r="C596" s="1" t="s">
        <v>21</v>
      </c>
      <c r="D596" s="1" t="s">
        <v>1023</v>
      </c>
      <c r="E596" s="1">
        <v>1.0</v>
      </c>
      <c r="F596" s="1">
        <v>0.0</v>
      </c>
    </row>
    <row r="597" ht="12.75" customHeight="1">
      <c r="A597" s="1">
        <v>1.0</v>
      </c>
      <c r="B597" s="2">
        <v>3801529.0</v>
      </c>
      <c r="C597" s="1" t="s">
        <v>21</v>
      </c>
      <c r="D597" s="1" t="s">
        <v>1024</v>
      </c>
      <c r="E597" s="1">
        <v>1.0</v>
      </c>
      <c r="F597" s="1">
        <v>0.0</v>
      </c>
    </row>
    <row r="598" ht="12.75" customHeight="1">
      <c r="A598" s="1">
        <v>1.0</v>
      </c>
      <c r="B598" s="2" t="s">
        <v>1025</v>
      </c>
      <c r="C598" s="1" t="s">
        <v>1026</v>
      </c>
      <c r="D598" s="1" t="s">
        <v>1027</v>
      </c>
      <c r="E598" s="1">
        <v>1.0</v>
      </c>
      <c r="F598" s="1">
        <v>0.0</v>
      </c>
    </row>
    <row r="599" ht="12.75" customHeight="1">
      <c r="A599" s="1">
        <v>1.0</v>
      </c>
      <c r="B599" s="2">
        <v>8320102.0</v>
      </c>
      <c r="C599" s="1" t="s">
        <v>278</v>
      </c>
      <c r="D599" s="1" t="s">
        <v>1028</v>
      </c>
      <c r="E599" s="1">
        <v>1.0</v>
      </c>
      <c r="F599" s="1">
        <v>0.0</v>
      </c>
    </row>
    <row r="600" ht="12.75" customHeight="1">
      <c r="A600" s="1">
        <v>1.0</v>
      </c>
      <c r="B600" s="2" t="s">
        <v>1029</v>
      </c>
      <c r="C600" s="1" t="s">
        <v>1030</v>
      </c>
      <c r="D600" s="1" t="s">
        <v>1031</v>
      </c>
      <c r="E600" s="1">
        <v>1.0</v>
      </c>
      <c r="F600" s="1">
        <v>0.0</v>
      </c>
    </row>
    <row r="601" ht="12.75" customHeight="1">
      <c r="A601" s="1">
        <v>1.0</v>
      </c>
      <c r="B601" s="2" t="s">
        <v>1032</v>
      </c>
      <c r="C601" s="1" t="s">
        <v>1033</v>
      </c>
      <c r="D601" s="1" t="s">
        <v>1034</v>
      </c>
      <c r="E601" s="1">
        <v>1.0</v>
      </c>
      <c r="F601" s="1">
        <v>0.0</v>
      </c>
    </row>
    <row r="602" ht="12.75" customHeight="1">
      <c r="A602" s="1">
        <v>1.0</v>
      </c>
      <c r="B602" s="2">
        <v>1360319.0</v>
      </c>
      <c r="C602" s="1" t="s">
        <v>1035</v>
      </c>
      <c r="D602" s="1" t="s">
        <v>45</v>
      </c>
      <c r="E602" s="1">
        <v>1.0</v>
      </c>
      <c r="F602" s="1">
        <v>0.0</v>
      </c>
    </row>
    <row r="603" ht="12.75" customHeight="1">
      <c r="A603" s="1">
        <v>1.0</v>
      </c>
      <c r="B603" s="2">
        <v>1360329.0</v>
      </c>
      <c r="C603" s="1" t="s">
        <v>1036</v>
      </c>
      <c r="D603" s="1" t="s">
        <v>1037</v>
      </c>
      <c r="E603" s="1">
        <v>1.0</v>
      </c>
      <c r="F603" s="1">
        <v>0.0</v>
      </c>
    </row>
    <row r="604" ht="12.75" customHeight="1">
      <c r="A604" s="1">
        <v>1.0</v>
      </c>
      <c r="B604" s="2" t="s">
        <v>1038</v>
      </c>
      <c r="C604" s="1" t="s">
        <v>1039</v>
      </c>
      <c r="D604" s="1" t="s">
        <v>1040</v>
      </c>
      <c r="E604" s="1">
        <v>1.0</v>
      </c>
      <c r="F604" s="1">
        <v>0.0</v>
      </c>
    </row>
    <row r="605" ht="12.75" customHeight="1">
      <c r="A605" s="1">
        <v>1.0</v>
      </c>
      <c r="B605" s="2" t="s">
        <v>1041</v>
      </c>
      <c r="C605" s="1" t="s">
        <v>1042</v>
      </c>
      <c r="D605" s="1" t="s">
        <v>354</v>
      </c>
      <c r="E605" s="1">
        <v>1.0</v>
      </c>
      <c r="F605" s="1">
        <v>0.0</v>
      </c>
    </row>
    <row r="606" ht="12.75" customHeight="1">
      <c r="A606" s="1">
        <v>1.0</v>
      </c>
      <c r="B606" s="2">
        <v>567684.0</v>
      </c>
      <c r="C606" s="1" t="s">
        <v>1043</v>
      </c>
      <c r="D606" s="1" t="s">
        <v>1044</v>
      </c>
      <c r="E606" s="1">
        <v>1.0</v>
      </c>
      <c r="F606" s="1">
        <v>0.0</v>
      </c>
    </row>
    <row r="607" ht="12.75" customHeight="1">
      <c r="A607" s="1">
        <v>1.0</v>
      </c>
      <c r="B607" s="2">
        <v>1130870.0</v>
      </c>
      <c r="C607" s="1" t="s">
        <v>1045</v>
      </c>
      <c r="D607" s="1" t="s">
        <v>177</v>
      </c>
      <c r="E607" s="1">
        <v>1.0</v>
      </c>
      <c r="F607" s="1">
        <v>0.0</v>
      </c>
    </row>
    <row r="608" ht="12.75" customHeight="1">
      <c r="A608" s="1">
        <v>1.0</v>
      </c>
      <c r="B608" s="2" t="s">
        <v>1046</v>
      </c>
      <c r="C608" s="1" t="s">
        <v>1047</v>
      </c>
      <c r="D608" s="1" t="s">
        <v>177</v>
      </c>
      <c r="E608" s="1">
        <v>1.0</v>
      </c>
      <c r="F608" s="1">
        <v>0.0</v>
      </c>
    </row>
    <row r="609" ht="12.75" customHeight="1">
      <c r="A609" s="1">
        <v>1.0</v>
      </c>
      <c r="B609" s="2" t="s">
        <v>1048</v>
      </c>
      <c r="C609" s="1" t="s">
        <v>255</v>
      </c>
      <c r="D609" s="1" t="s">
        <v>1049</v>
      </c>
      <c r="E609" s="1">
        <v>1.0</v>
      </c>
      <c r="F609" s="1">
        <v>0.0</v>
      </c>
    </row>
    <row r="610" ht="12.75" customHeight="1">
      <c r="A610" s="1">
        <v>1.0</v>
      </c>
      <c r="B610" s="2" t="s">
        <v>1050</v>
      </c>
      <c r="C610" s="1" t="s">
        <v>255</v>
      </c>
      <c r="D610" s="1" t="s">
        <v>1051</v>
      </c>
      <c r="E610" s="1">
        <v>1.0</v>
      </c>
      <c r="F610" s="1">
        <v>0.0</v>
      </c>
    </row>
    <row r="611" ht="12.75" customHeight="1">
      <c r="A611" s="1">
        <v>1.0</v>
      </c>
      <c r="B611" s="2" t="s">
        <v>1052</v>
      </c>
      <c r="C611" s="1" t="s">
        <v>1053</v>
      </c>
      <c r="D611" s="1" t="s">
        <v>1054</v>
      </c>
      <c r="E611" s="1">
        <v>1.0</v>
      </c>
      <c r="F611" s="1">
        <v>0.0</v>
      </c>
    </row>
    <row r="612" ht="12.75" customHeight="1">
      <c r="A612" s="1">
        <v>1.0</v>
      </c>
      <c r="B612" s="2" t="s">
        <v>1055</v>
      </c>
      <c r="C612" s="1" t="s">
        <v>1056</v>
      </c>
      <c r="D612" s="1" t="s">
        <v>1057</v>
      </c>
      <c r="E612" s="1">
        <v>1.0</v>
      </c>
      <c r="F612" s="1">
        <v>0.0</v>
      </c>
    </row>
    <row r="613" ht="12.75" customHeight="1">
      <c r="A613" s="1">
        <v>1.0</v>
      </c>
      <c r="B613" s="2" t="s">
        <v>1058</v>
      </c>
      <c r="C613" s="1" t="s">
        <v>1059</v>
      </c>
      <c r="D613" s="1" t="s">
        <v>1060</v>
      </c>
      <c r="E613" s="1">
        <v>1.0</v>
      </c>
      <c r="F613" s="1">
        <v>0.0</v>
      </c>
    </row>
    <row r="614" ht="12.75" customHeight="1">
      <c r="A614" s="1">
        <v>1.0</v>
      </c>
      <c r="B614" s="2" t="s">
        <v>1061</v>
      </c>
      <c r="C614" s="1" t="s">
        <v>1062</v>
      </c>
      <c r="D614" s="1" t="s">
        <v>1063</v>
      </c>
      <c r="E614" s="1">
        <v>1.0</v>
      </c>
      <c r="F614" s="1">
        <v>0.0</v>
      </c>
    </row>
    <row r="615" ht="12.75" customHeight="1">
      <c r="A615" s="1">
        <v>1.0</v>
      </c>
      <c r="B615" s="2">
        <v>5100108.0</v>
      </c>
      <c r="C615" s="1" t="s">
        <v>317</v>
      </c>
      <c r="D615" s="1" t="s">
        <v>316</v>
      </c>
      <c r="E615" s="1">
        <v>1.0</v>
      </c>
      <c r="F615" s="1">
        <v>0.0</v>
      </c>
    </row>
    <row r="616" ht="12.75" customHeight="1">
      <c r="A616" s="1">
        <v>1.0</v>
      </c>
      <c r="B616" s="2">
        <v>5100101.0</v>
      </c>
      <c r="C616" s="1" t="s">
        <v>317</v>
      </c>
      <c r="D616" s="1" t="s">
        <v>1064</v>
      </c>
      <c r="E616" s="1">
        <v>1.0</v>
      </c>
      <c r="F616" s="1">
        <v>0.0</v>
      </c>
    </row>
    <row r="617" ht="12.75" customHeight="1">
      <c r="A617" s="1">
        <v>1.0</v>
      </c>
      <c r="B617" s="2" t="s">
        <v>1065</v>
      </c>
      <c r="C617" s="1" t="s">
        <v>1066</v>
      </c>
      <c r="D617" s="1" t="s">
        <v>318</v>
      </c>
      <c r="E617" s="1">
        <v>1.0</v>
      </c>
      <c r="F617" s="1">
        <v>0.0</v>
      </c>
    </row>
    <row r="618" ht="12.75" customHeight="1">
      <c r="A618" s="1">
        <v>1.0</v>
      </c>
      <c r="B618" s="2" t="s">
        <v>1067</v>
      </c>
      <c r="C618" s="1" t="s">
        <v>1068</v>
      </c>
      <c r="D618" s="1" t="s">
        <v>318</v>
      </c>
      <c r="E618" s="1">
        <v>1.0</v>
      </c>
      <c r="F618" s="1">
        <v>0.0</v>
      </c>
    </row>
    <row r="619" ht="12.75" customHeight="1">
      <c r="A619" s="1">
        <v>1.0</v>
      </c>
      <c r="B619" s="2" t="s">
        <v>1069</v>
      </c>
      <c r="C619" s="1" t="s">
        <v>1070</v>
      </c>
      <c r="D619" s="1" t="s">
        <v>1071</v>
      </c>
      <c r="E619" s="1">
        <v>1.0</v>
      </c>
      <c r="F619" s="1">
        <v>0.0</v>
      </c>
    </row>
    <row r="620" ht="12.75" customHeight="1">
      <c r="A620" s="1">
        <v>1.0</v>
      </c>
      <c r="B620" s="2" t="s">
        <v>1072</v>
      </c>
      <c r="C620" s="1" t="s">
        <v>62</v>
      </c>
      <c r="D620" s="1" t="s">
        <v>1073</v>
      </c>
      <c r="E620" s="1">
        <v>1.0</v>
      </c>
      <c r="F620" s="1">
        <v>0.0</v>
      </c>
    </row>
    <row r="621" ht="12.75" customHeight="1">
      <c r="A621" s="1">
        <v>1.0</v>
      </c>
      <c r="B621" s="2">
        <v>3801215.0</v>
      </c>
      <c r="C621" s="1" t="s">
        <v>89</v>
      </c>
      <c r="D621" s="1" t="s">
        <v>1074</v>
      </c>
      <c r="E621" s="1">
        <v>1.0</v>
      </c>
      <c r="F621" s="1">
        <v>0.0</v>
      </c>
    </row>
    <row r="622" ht="12.75" customHeight="1">
      <c r="A622" s="1">
        <v>1.0</v>
      </c>
      <c r="B622" s="2">
        <v>3801252.0</v>
      </c>
      <c r="C622" s="1" t="s">
        <v>55</v>
      </c>
      <c r="D622" s="1" t="s">
        <v>1075</v>
      </c>
      <c r="E622" s="1">
        <v>1.0</v>
      </c>
      <c r="F622" s="1">
        <v>0.0</v>
      </c>
    </row>
    <row r="623" ht="12.75" customHeight="1">
      <c r="A623" s="1">
        <v>1.0</v>
      </c>
      <c r="B623" s="2">
        <v>3801206.0</v>
      </c>
      <c r="C623" s="1" t="s">
        <v>55</v>
      </c>
      <c r="D623" s="1" t="s">
        <v>1076</v>
      </c>
      <c r="E623" s="1">
        <v>1.0</v>
      </c>
      <c r="F623" s="1">
        <v>0.0</v>
      </c>
    </row>
    <row r="624" ht="12.75" customHeight="1">
      <c r="A624" s="1">
        <v>1.0</v>
      </c>
      <c r="B624" s="2" t="s">
        <v>1077</v>
      </c>
      <c r="C624" s="1" t="s">
        <v>242</v>
      </c>
      <c r="D624" s="1" t="s">
        <v>1078</v>
      </c>
      <c r="E624" s="1">
        <v>1.0</v>
      </c>
      <c r="F624" s="1">
        <v>0.0</v>
      </c>
    </row>
    <row r="625" ht="12.75" customHeight="1">
      <c r="A625" s="1">
        <v>1.0</v>
      </c>
      <c r="B625" s="2">
        <v>3801266.0</v>
      </c>
      <c r="C625" s="1" t="s">
        <v>55</v>
      </c>
      <c r="D625" s="1" t="s">
        <v>1079</v>
      </c>
      <c r="E625" s="1">
        <v>1.0</v>
      </c>
      <c r="F625" s="1">
        <v>0.0</v>
      </c>
    </row>
    <row r="626" ht="12.75" customHeight="1">
      <c r="A626" s="1">
        <v>1.0</v>
      </c>
      <c r="B626" s="2" t="s">
        <v>1080</v>
      </c>
      <c r="C626" s="1" t="s">
        <v>62</v>
      </c>
      <c r="D626" s="1" t="s">
        <v>1081</v>
      </c>
      <c r="E626" s="1">
        <v>1.0</v>
      </c>
      <c r="F626" s="1">
        <v>0.0</v>
      </c>
    </row>
    <row r="627" ht="12.75" customHeight="1">
      <c r="A627" s="1">
        <v>1.0</v>
      </c>
      <c r="B627" s="2">
        <v>910102.0</v>
      </c>
      <c r="C627" s="1" t="s">
        <v>1082</v>
      </c>
      <c r="D627" s="1" t="s">
        <v>412</v>
      </c>
      <c r="E627" s="1">
        <v>1.0</v>
      </c>
      <c r="F627" s="1">
        <v>0.0</v>
      </c>
    </row>
    <row r="628" ht="12.75" customHeight="1">
      <c r="A628" s="1">
        <v>1.0</v>
      </c>
      <c r="B628" s="2" t="s">
        <v>1083</v>
      </c>
      <c r="C628" s="1" t="s">
        <v>816</v>
      </c>
      <c r="D628" s="1" t="s">
        <v>1084</v>
      </c>
      <c r="E628" s="1">
        <v>1.0</v>
      </c>
      <c r="F628" s="1">
        <v>0.0</v>
      </c>
    </row>
    <row r="629" ht="12.75" customHeight="1">
      <c r="A629" s="1">
        <v>1.0</v>
      </c>
      <c r="B629" s="2" t="s">
        <v>1085</v>
      </c>
      <c r="C629" s="1" t="s">
        <v>816</v>
      </c>
      <c r="D629" s="1" t="s">
        <v>1086</v>
      </c>
      <c r="E629" s="1">
        <v>1.0</v>
      </c>
      <c r="F629" s="1">
        <v>0.0</v>
      </c>
    </row>
    <row r="630" ht="12.75" customHeight="1">
      <c r="A630" s="1">
        <v>1.0</v>
      </c>
      <c r="B630" s="2" t="s">
        <v>1087</v>
      </c>
      <c r="C630" s="1" t="s">
        <v>1088</v>
      </c>
      <c r="D630" s="1" t="s">
        <v>1089</v>
      </c>
      <c r="E630" s="1">
        <v>1.0</v>
      </c>
      <c r="F630" s="1">
        <v>0.0</v>
      </c>
    </row>
    <row r="631" ht="12.75" customHeight="1">
      <c r="A631" s="1">
        <v>1.0</v>
      </c>
      <c r="B631" s="2" t="s">
        <v>1090</v>
      </c>
      <c r="C631" s="1" t="s">
        <v>1091</v>
      </c>
      <c r="D631" s="1" t="s">
        <v>1092</v>
      </c>
      <c r="E631" s="1">
        <v>1.0</v>
      </c>
      <c r="F631" s="1">
        <v>0.0</v>
      </c>
    </row>
    <row r="632" ht="12.75" customHeight="1">
      <c r="A632" s="1">
        <v>1.0</v>
      </c>
      <c r="B632" s="2" t="s">
        <v>1093</v>
      </c>
      <c r="C632" s="1" t="s">
        <v>1094</v>
      </c>
      <c r="D632" s="1" t="s">
        <v>1095</v>
      </c>
      <c r="E632" s="1">
        <v>1.0</v>
      </c>
      <c r="F632" s="1">
        <v>0.0</v>
      </c>
    </row>
    <row r="633" ht="12.75" customHeight="1">
      <c r="A633" s="1">
        <v>1.0</v>
      </c>
      <c r="B633" s="2">
        <v>567647.0</v>
      </c>
      <c r="C633" s="1" t="s">
        <v>1096</v>
      </c>
      <c r="D633" s="1" t="s">
        <v>1097</v>
      </c>
      <c r="E633" s="1">
        <v>1.0</v>
      </c>
      <c r="F633" s="1">
        <v>0.0</v>
      </c>
    </row>
    <row r="634" ht="12.75" customHeight="1">
      <c r="A634" s="1">
        <v>1.0</v>
      </c>
      <c r="B634" s="2" t="s">
        <v>1098</v>
      </c>
      <c r="C634" s="1" t="s">
        <v>1099</v>
      </c>
      <c r="D634" s="1" t="s">
        <v>1097</v>
      </c>
      <c r="E634" s="1">
        <v>1.0</v>
      </c>
      <c r="F634" s="1">
        <v>0.0</v>
      </c>
    </row>
    <row r="635" ht="12.75" customHeight="1">
      <c r="A635" s="1">
        <v>1.0</v>
      </c>
      <c r="B635" s="2" t="s">
        <v>1100</v>
      </c>
      <c r="C635" s="1" t="s">
        <v>1101</v>
      </c>
      <c r="D635" s="1" t="s">
        <v>1097</v>
      </c>
      <c r="E635" s="1">
        <v>1.0</v>
      </c>
      <c r="F635" s="1">
        <v>0.0</v>
      </c>
    </row>
    <row r="636" ht="12.75" customHeight="1">
      <c r="A636" s="1">
        <v>1.0</v>
      </c>
      <c r="B636" s="2" t="s">
        <v>1102</v>
      </c>
      <c r="C636" s="1" t="s">
        <v>1103</v>
      </c>
      <c r="D636" s="1" t="s">
        <v>1097</v>
      </c>
      <c r="E636" s="1">
        <v>1.0</v>
      </c>
      <c r="F636" s="1">
        <v>0.0</v>
      </c>
    </row>
    <row r="637" ht="12.75" customHeight="1">
      <c r="A637" s="1">
        <v>1.0</v>
      </c>
      <c r="B637" s="2" t="s">
        <v>1104</v>
      </c>
      <c r="C637" s="1" t="s">
        <v>1105</v>
      </c>
      <c r="D637" s="1" t="s">
        <v>1097</v>
      </c>
      <c r="E637" s="1">
        <v>1.0</v>
      </c>
      <c r="F637" s="1">
        <v>0.0</v>
      </c>
    </row>
    <row r="638" ht="12.75" customHeight="1">
      <c r="A638" s="1">
        <v>1.0</v>
      </c>
      <c r="B638" s="2" t="s">
        <v>1106</v>
      </c>
      <c r="C638" s="1" t="s">
        <v>1107</v>
      </c>
      <c r="D638" s="1" t="s">
        <v>1097</v>
      </c>
      <c r="E638" s="1">
        <v>1.0</v>
      </c>
      <c r="F638" s="1">
        <v>0.0</v>
      </c>
    </row>
    <row r="639" ht="12.75" customHeight="1">
      <c r="A639" s="1">
        <v>1.0</v>
      </c>
      <c r="B639" s="2" t="s">
        <v>1108</v>
      </c>
      <c r="C639" s="1" t="s">
        <v>1109</v>
      </c>
      <c r="D639" s="1" t="s">
        <v>1097</v>
      </c>
      <c r="E639" s="1">
        <v>1.0</v>
      </c>
      <c r="F639" s="1">
        <v>0.0</v>
      </c>
    </row>
    <row r="640" ht="12.75" customHeight="1">
      <c r="A640" s="1">
        <v>1.0</v>
      </c>
      <c r="B640" s="2" t="s">
        <v>1110</v>
      </c>
      <c r="C640" s="1" t="s">
        <v>1111</v>
      </c>
      <c r="D640" s="1" t="s">
        <v>1097</v>
      </c>
      <c r="E640" s="1">
        <v>1.0</v>
      </c>
      <c r="F640" s="1">
        <v>0.0</v>
      </c>
    </row>
    <row r="641" ht="12.75" customHeight="1">
      <c r="A641" s="1">
        <v>1.0</v>
      </c>
      <c r="B641" s="2" t="s">
        <v>1112</v>
      </c>
      <c r="C641" s="1" t="s">
        <v>1113</v>
      </c>
      <c r="D641" s="1" t="s">
        <v>1114</v>
      </c>
      <c r="E641" s="1">
        <v>1.0</v>
      </c>
      <c r="F641" s="1">
        <v>0.0</v>
      </c>
    </row>
    <row r="642" ht="12.75" customHeight="1">
      <c r="A642" s="1">
        <v>1.0</v>
      </c>
      <c r="B642" s="2" t="s">
        <v>1115</v>
      </c>
      <c r="C642" s="1" t="s">
        <v>1116</v>
      </c>
      <c r="D642" s="1" t="s">
        <v>1117</v>
      </c>
      <c r="E642" s="1">
        <v>1.0</v>
      </c>
      <c r="F642" s="1">
        <v>0.0</v>
      </c>
    </row>
    <row r="643" ht="12.75" customHeight="1">
      <c r="A643" s="1">
        <v>1.0</v>
      </c>
      <c r="B643" s="2" t="s">
        <v>1118</v>
      </c>
      <c r="C643" s="1" t="s">
        <v>1119</v>
      </c>
      <c r="D643" s="1" t="s">
        <v>1120</v>
      </c>
      <c r="E643" s="1">
        <v>1.0</v>
      </c>
      <c r="F643" s="1">
        <v>0.0</v>
      </c>
    </row>
    <row r="644" ht="12.75" customHeight="1">
      <c r="A644" s="1">
        <v>1.0</v>
      </c>
      <c r="B644" s="2" t="s">
        <v>1121</v>
      </c>
      <c r="C644" s="1" t="s">
        <v>1122</v>
      </c>
      <c r="D644" s="1" t="s">
        <v>1123</v>
      </c>
      <c r="E644" s="1">
        <v>1.0</v>
      </c>
      <c r="F644" s="1">
        <v>0.0</v>
      </c>
    </row>
    <row r="645" ht="12.75" customHeight="1">
      <c r="A645" s="1">
        <v>1.0</v>
      </c>
      <c r="B645" s="2" t="s">
        <v>1124</v>
      </c>
      <c r="C645" s="1" t="s">
        <v>1125</v>
      </c>
      <c r="D645" s="1" t="s">
        <v>1126</v>
      </c>
      <c r="E645" s="1">
        <v>1.0</v>
      </c>
      <c r="F645" s="1">
        <v>0.0</v>
      </c>
    </row>
    <row r="646" ht="12.75" customHeight="1">
      <c r="A646" s="1">
        <v>1.0</v>
      </c>
      <c r="B646" s="2">
        <v>5980102.0</v>
      </c>
      <c r="C646" s="1" t="s">
        <v>1127</v>
      </c>
      <c r="D646" s="1" t="s">
        <v>1128</v>
      </c>
      <c r="E646" s="1">
        <v>1.0</v>
      </c>
      <c r="F646" s="1">
        <v>0.0</v>
      </c>
    </row>
    <row r="647" ht="12.75" customHeight="1">
      <c r="A647" s="1">
        <v>1.0</v>
      </c>
      <c r="B647" s="2">
        <v>5690102.0</v>
      </c>
      <c r="C647" s="1" t="s">
        <v>1129</v>
      </c>
      <c r="D647" s="1" t="s">
        <v>1130</v>
      </c>
      <c r="E647" s="1">
        <v>1.0</v>
      </c>
      <c r="F647" s="1">
        <v>0.0</v>
      </c>
    </row>
    <row r="648" ht="12.75" customHeight="1">
      <c r="A648" s="1">
        <v>1.0</v>
      </c>
      <c r="B648" s="2">
        <v>1130830.0</v>
      </c>
      <c r="C648" s="1" t="s">
        <v>1131</v>
      </c>
      <c r="D648" s="1" t="s">
        <v>1132</v>
      </c>
      <c r="E648" s="1">
        <v>1.0</v>
      </c>
      <c r="F648" s="1">
        <v>0.0</v>
      </c>
    </row>
    <row r="649" ht="12.75" customHeight="1">
      <c r="A649" s="1">
        <v>1.0</v>
      </c>
      <c r="B649" s="2">
        <v>9600500.0</v>
      </c>
      <c r="C649" s="1" t="s">
        <v>1133</v>
      </c>
      <c r="D649" s="1" t="s">
        <v>1134</v>
      </c>
      <c r="E649" s="1">
        <v>1.0</v>
      </c>
      <c r="F649" s="1">
        <v>0.0</v>
      </c>
    </row>
    <row r="650" ht="12.75" customHeight="1">
      <c r="A650" s="1">
        <v>1.0</v>
      </c>
      <c r="B650" s="2">
        <v>562102.0</v>
      </c>
      <c r="C650" s="1" t="s">
        <v>1135</v>
      </c>
      <c r="D650" s="1" t="s">
        <v>1136</v>
      </c>
      <c r="E650" s="1">
        <v>1.0</v>
      </c>
      <c r="F650" s="1">
        <v>0.0</v>
      </c>
    </row>
    <row r="651" ht="12.75" customHeight="1">
      <c r="A651" s="1">
        <v>1.0</v>
      </c>
      <c r="B651" s="2">
        <v>3801903.0</v>
      </c>
      <c r="C651" s="1" t="s">
        <v>25</v>
      </c>
      <c r="D651" s="1" t="s">
        <v>1137</v>
      </c>
      <c r="E651" s="1">
        <v>1.0</v>
      </c>
      <c r="F651" s="1">
        <v>0.0</v>
      </c>
    </row>
    <row r="652" ht="12.75" customHeight="1">
      <c r="A652" s="1">
        <v>1.0</v>
      </c>
      <c r="B652" s="2" t="s">
        <v>1138</v>
      </c>
      <c r="C652" s="1" t="s">
        <v>25</v>
      </c>
      <c r="D652" s="1" t="s">
        <v>1139</v>
      </c>
      <c r="E652" s="1">
        <v>1.0</v>
      </c>
      <c r="F652" s="1">
        <v>0.0</v>
      </c>
    </row>
    <row r="653" ht="12.75" customHeight="1">
      <c r="A653" s="1">
        <v>1.0</v>
      </c>
      <c r="B653" s="2">
        <v>3801954.0</v>
      </c>
      <c r="C653" s="1" t="s">
        <v>220</v>
      </c>
      <c r="D653" s="1" t="s">
        <v>1140</v>
      </c>
      <c r="E653" s="1">
        <v>1.0</v>
      </c>
      <c r="F653" s="1">
        <v>0.0</v>
      </c>
    </row>
    <row r="654" ht="12.75" customHeight="1">
      <c r="A654" s="1">
        <v>1.0</v>
      </c>
      <c r="B654" s="2">
        <v>3801953.0</v>
      </c>
      <c r="C654" s="1" t="s">
        <v>25</v>
      </c>
      <c r="D654" s="1" t="s">
        <v>1141</v>
      </c>
      <c r="E654" s="1">
        <v>1.0</v>
      </c>
      <c r="F654" s="1">
        <v>0.0</v>
      </c>
    </row>
    <row r="655" ht="12.75" customHeight="1">
      <c r="A655" s="1">
        <v>1.0</v>
      </c>
      <c r="B655" s="2" t="s">
        <v>1142</v>
      </c>
      <c r="C655" s="1" t="s">
        <v>1143</v>
      </c>
      <c r="D655" s="1" t="s">
        <v>1144</v>
      </c>
      <c r="E655" s="1">
        <v>1.0</v>
      </c>
      <c r="F655" s="1">
        <v>0.0</v>
      </c>
    </row>
    <row r="656" ht="12.75" customHeight="1">
      <c r="A656" s="1">
        <v>1.0</v>
      </c>
      <c r="B656" s="2" t="s">
        <v>1145</v>
      </c>
      <c r="C656" s="1" t="s">
        <v>1146</v>
      </c>
      <c r="D656" s="1" t="s">
        <v>1147</v>
      </c>
      <c r="E656" s="1">
        <v>1.0</v>
      </c>
      <c r="F656" s="1">
        <v>0.0</v>
      </c>
    </row>
    <row r="657" ht="12.75" customHeight="1">
      <c r="A657" s="1">
        <v>1.0</v>
      </c>
      <c r="B657" s="2" t="s">
        <v>1148</v>
      </c>
      <c r="C657" s="1" t="s">
        <v>1149</v>
      </c>
      <c r="D657" s="1" t="s">
        <v>1150</v>
      </c>
      <c r="E657" s="1">
        <v>1.0</v>
      </c>
      <c r="F657" s="1">
        <v>0.0</v>
      </c>
    </row>
    <row r="658" ht="12.75" customHeight="1">
      <c r="A658" s="1">
        <v>1.0</v>
      </c>
      <c r="B658" s="2" t="s">
        <v>1151</v>
      </c>
      <c r="C658" s="1" t="s">
        <v>1152</v>
      </c>
      <c r="D658" s="1" t="s">
        <v>1153</v>
      </c>
      <c r="E658" s="1">
        <v>1.0</v>
      </c>
      <c r="F658" s="1">
        <v>0.0</v>
      </c>
    </row>
    <row r="659" ht="12.75" customHeight="1">
      <c r="A659" s="1">
        <v>1.0</v>
      </c>
      <c r="B659" s="2" t="s">
        <v>1154</v>
      </c>
      <c r="C659" s="1" t="s">
        <v>1155</v>
      </c>
      <c r="D659" s="1" t="s">
        <v>1156</v>
      </c>
      <c r="E659" s="1">
        <v>1.0</v>
      </c>
      <c r="F659" s="1">
        <v>0.0</v>
      </c>
    </row>
    <row r="660" ht="12.75" customHeight="1">
      <c r="A660" s="1">
        <v>1.0</v>
      </c>
      <c r="B660" s="2" t="s">
        <v>1157</v>
      </c>
      <c r="C660" s="1" t="s">
        <v>1158</v>
      </c>
      <c r="D660" s="1" t="s">
        <v>1159</v>
      </c>
      <c r="E660" s="1">
        <v>1.0</v>
      </c>
      <c r="F660" s="1">
        <v>0.0</v>
      </c>
    </row>
    <row r="661" ht="12.75" customHeight="1">
      <c r="A661" s="1">
        <v>1.0</v>
      </c>
      <c r="B661" s="2" t="s">
        <v>1160</v>
      </c>
      <c r="C661" s="1" t="s">
        <v>1161</v>
      </c>
      <c r="D661" s="1" t="s">
        <v>1162</v>
      </c>
      <c r="E661" s="1">
        <v>1.0</v>
      </c>
      <c r="F661" s="1">
        <v>0.0</v>
      </c>
    </row>
    <row r="662" ht="12.75" customHeight="1">
      <c r="A662" s="1">
        <v>1.0</v>
      </c>
      <c r="B662" s="2">
        <v>3321206.0</v>
      </c>
      <c r="C662" s="1" t="s">
        <v>1163</v>
      </c>
      <c r="D662" s="1" t="s">
        <v>537</v>
      </c>
      <c r="E662" s="1">
        <v>1.0</v>
      </c>
      <c r="F662" s="1">
        <v>0.0</v>
      </c>
    </row>
    <row r="663" ht="12.75" customHeight="1">
      <c r="A663" s="1">
        <v>1.0</v>
      </c>
      <c r="B663" s="2">
        <v>9360202.0</v>
      </c>
      <c r="C663" s="1" t="s">
        <v>1164</v>
      </c>
      <c r="D663" s="1" t="s">
        <v>1165</v>
      </c>
      <c r="E663" s="1">
        <v>1.0</v>
      </c>
      <c r="F663" s="1">
        <v>0.0</v>
      </c>
    </row>
    <row r="664" ht="12.75" customHeight="1">
      <c r="A664" s="1">
        <v>1.0</v>
      </c>
      <c r="B664" s="2">
        <v>561745.0</v>
      </c>
      <c r="C664" s="1" t="s">
        <v>1094</v>
      </c>
      <c r="D664" s="1" t="s">
        <v>1166</v>
      </c>
      <c r="E664" s="1">
        <v>1.0</v>
      </c>
      <c r="F664" s="1">
        <v>0.0</v>
      </c>
    </row>
    <row r="665" ht="12.75" customHeight="1">
      <c r="A665" s="1">
        <v>1.0</v>
      </c>
      <c r="B665" s="2" t="s">
        <v>1167</v>
      </c>
      <c r="C665" s="1" t="s">
        <v>1168</v>
      </c>
      <c r="D665" s="1" t="s">
        <v>1169</v>
      </c>
      <c r="E665" s="1">
        <v>1.0</v>
      </c>
      <c r="F665" s="1">
        <v>0.0</v>
      </c>
    </row>
    <row r="666" ht="12.75" customHeight="1">
      <c r="A666" s="1">
        <v>1.0</v>
      </c>
      <c r="B666" s="2" t="s">
        <v>1170</v>
      </c>
      <c r="C666" s="1" t="s">
        <v>1171</v>
      </c>
      <c r="D666" s="1" t="s">
        <v>1172</v>
      </c>
      <c r="E666" s="1">
        <v>1.0</v>
      </c>
      <c r="F666" s="1">
        <v>0.0</v>
      </c>
    </row>
    <row r="667" ht="12.75" customHeight="1">
      <c r="A667" s="1">
        <v>1.0</v>
      </c>
      <c r="B667" s="2" t="s">
        <v>1173</v>
      </c>
      <c r="C667" s="1" t="s">
        <v>1174</v>
      </c>
      <c r="D667" s="1" t="s">
        <v>1172</v>
      </c>
      <c r="E667" s="1">
        <v>1.0</v>
      </c>
      <c r="F667" s="1">
        <v>0.0</v>
      </c>
    </row>
    <row r="668" ht="12.75" customHeight="1">
      <c r="A668" s="1">
        <v>1.0</v>
      </c>
      <c r="B668" s="2" t="s">
        <v>1175</v>
      </c>
      <c r="C668" s="1" t="s">
        <v>1176</v>
      </c>
      <c r="D668" s="1" t="s">
        <v>1177</v>
      </c>
      <c r="E668" s="1">
        <v>1.0</v>
      </c>
      <c r="F668" s="1">
        <v>0.0</v>
      </c>
    </row>
    <row r="669" ht="12.75" customHeight="1">
      <c r="A669" s="1">
        <v>1.0</v>
      </c>
      <c r="B669" s="2" t="s">
        <v>1178</v>
      </c>
      <c r="C669" s="1" t="s">
        <v>1179</v>
      </c>
      <c r="D669" s="1" t="s">
        <v>1177</v>
      </c>
      <c r="E669" s="1">
        <v>1.0</v>
      </c>
      <c r="F669" s="1">
        <v>0.0</v>
      </c>
    </row>
    <row r="670" ht="12.75" customHeight="1">
      <c r="A670" s="1">
        <v>1.0</v>
      </c>
      <c r="B670" s="2" t="s">
        <v>1180</v>
      </c>
      <c r="C670" s="1" t="s">
        <v>1181</v>
      </c>
      <c r="D670" s="1" t="s">
        <v>1182</v>
      </c>
      <c r="E670" s="1">
        <v>1.0</v>
      </c>
      <c r="F670" s="1">
        <v>0.0</v>
      </c>
    </row>
    <row r="671" ht="12.75" customHeight="1">
      <c r="A671" s="1">
        <v>1.0</v>
      </c>
      <c r="B671" s="2">
        <v>564705.0</v>
      </c>
      <c r="C671" s="1" t="s">
        <v>1183</v>
      </c>
      <c r="D671" s="1" t="s">
        <v>1184</v>
      </c>
      <c r="E671" s="1">
        <v>1.0</v>
      </c>
      <c r="F671" s="1">
        <v>0.0</v>
      </c>
    </row>
    <row r="672" ht="12.75" customHeight="1">
      <c r="A672" s="1">
        <v>1.0</v>
      </c>
      <c r="B672" s="2" t="s">
        <v>1185</v>
      </c>
      <c r="C672" s="1" t="s">
        <v>1186</v>
      </c>
      <c r="D672" s="1" t="s">
        <v>1187</v>
      </c>
      <c r="E672" s="1">
        <v>1.0</v>
      </c>
      <c r="F672" s="1">
        <v>0.0</v>
      </c>
    </row>
    <row r="673" ht="12.75" customHeight="1">
      <c r="A673" s="1">
        <v>1.0</v>
      </c>
      <c r="B673" s="2" t="s">
        <v>1188</v>
      </c>
      <c r="C673" s="1" t="s">
        <v>1189</v>
      </c>
      <c r="D673" s="1" t="s">
        <v>1190</v>
      </c>
      <c r="E673" s="1">
        <v>1.0</v>
      </c>
      <c r="F673" s="1">
        <v>0.0</v>
      </c>
    </row>
    <row r="674" ht="12.75" customHeight="1">
      <c r="A674" s="1">
        <v>1.0</v>
      </c>
      <c r="B674" s="2" t="s">
        <v>1191</v>
      </c>
      <c r="C674" s="1" t="s">
        <v>1192</v>
      </c>
      <c r="D674" s="1" t="s">
        <v>1193</v>
      </c>
      <c r="E674" s="1">
        <v>1.0</v>
      </c>
      <c r="F674" s="1">
        <v>0.0</v>
      </c>
    </row>
    <row r="675" ht="12.75" customHeight="1">
      <c r="A675" s="1">
        <v>1.0</v>
      </c>
      <c r="B675" s="2">
        <v>7310109.0</v>
      </c>
      <c r="C675" s="1" t="s">
        <v>1194</v>
      </c>
      <c r="D675" s="1" t="s">
        <v>1195</v>
      </c>
      <c r="E675" s="1">
        <v>1.0</v>
      </c>
      <c r="F675" s="1">
        <v>0.0</v>
      </c>
    </row>
    <row r="676" ht="12.75" customHeight="1">
      <c r="A676" s="1">
        <v>1.0</v>
      </c>
      <c r="B676" s="2">
        <v>7900111.0</v>
      </c>
      <c r="C676" s="1" t="s">
        <v>892</v>
      </c>
      <c r="D676" s="1" t="s">
        <v>1196</v>
      </c>
      <c r="E676" s="1">
        <v>1.0</v>
      </c>
      <c r="F676" s="1">
        <v>0.0</v>
      </c>
    </row>
    <row r="677" ht="12.75" customHeight="1">
      <c r="A677" s="1">
        <v>1.0</v>
      </c>
      <c r="B677" s="2" t="s">
        <v>1197</v>
      </c>
      <c r="C677" s="1" t="s">
        <v>1198</v>
      </c>
      <c r="D677" s="1" t="s">
        <v>1199</v>
      </c>
      <c r="E677" s="1">
        <v>1.0</v>
      </c>
      <c r="F677" s="1">
        <v>0.0</v>
      </c>
    </row>
    <row r="678" ht="12.75" customHeight="1">
      <c r="A678" s="1">
        <v>1.0</v>
      </c>
      <c r="B678" s="2" t="s">
        <v>1200</v>
      </c>
      <c r="C678" s="1" t="s">
        <v>1201</v>
      </c>
      <c r="D678" s="1" t="s">
        <v>1202</v>
      </c>
      <c r="E678" s="1">
        <v>1.0</v>
      </c>
      <c r="F678" s="1">
        <v>0.0</v>
      </c>
    </row>
    <row r="679" ht="12.75" customHeight="1">
      <c r="A679" s="1">
        <v>1.0</v>
      </c>
      <c r="B679" s="2">
        <v>564707.0</v>
      </c>
      <c r="C679" s="1" t="s">
        <v>1203</v>
      </c>
      <c r="D679" s="1" t="s">
        <v>1204</v>
      </c>
      <c r="E679" s="1">
        <v>1.0</v>
      </c>
      <c r="F679" s="1">
        <v>0.0</v>
      </c>
    </row>
    <row r="680" ht="12.75" customHeight="1">
      <c r="A680" s="1">
        <v>1.0</v>
      </c>
      <c r="B680" s="2">
        <v>564722.0</v>
      </c>
      <c r="C680" s="1" t="s">
        <v>926</v>
      </c>
      <c r="D680" s="1" t="s">
        <v>1204</v>
      </c>
      <c r="E680" s="1">
        <v>1.0</v>
      </c>
      <c r="F680" s="1">
        <v>0.0</v>
      </c>
    </row>
    <row r="681" ht="12.75" customHeight="1">
      <c r="A681" s="1">
        <v>1.0</v>
      </c>
      <c r="B681" s="2" t="s">
        <v>1205</v>
      </c>
      <c r="C681" s="1" t="s">
        <v>1206</v>
      </c>
      <c r="D681" s="1" t="s">
        <v>1204</v>
      </c>
      <c r="E681" s="1">
        <v>1.0</v>
      </c>
      <c r="F681" s="1">
        <v>0.0</v>
      </c>
    </row>
    <row r="682" ht="12.75" customHeight="1">
      <c r="A682" s="1">
        <v>1.0</v>
      </c>
      <c r="B682" s="2" t="s">
        <v>1207</v>
      </c>
      <c r="C682" s="1" t="s">
        <v>1208</v>
      </c>
      <c r="D682" s="1" t="s">
        <v>1204</v>
      </c>
      <c r="E682" s="1">
        <v>1.0</v>
      </c>
      <c r="F682" s="1">
        <v>0.0</v>
      </c>
    </row>
    <row r="683" ht="12.75" customHeight="1">
      <c r="A683" s="1">
        <v>1.0</v>
      </c>
      <c r="B683" s="2" t="s">
        <v>1209</v>
      </c>
      <c r="C683" s="1" t="s">
        <v>1210</v>
      </c>
      <c r="D683" s="1" t="s">
        <v>1204</v>
      </c>
      <c r="E683" s="1">
        <v>1.0</v>
      </c>
      <c r="F683" s="1">
        <v>0.0</v>
      </c>
    </row>
    <row r="684" ht="12.75" customHeight="1">
      <c r="A684" s="1">
        <v>1.0</v>
      </c>
      <c r="B684" s="2" t="s">
        <v>1211</v>
      </c>
      <c r="C684" s="1" t="s">
        <v>1212</v>
      </c>
      <c r="D684" s="1" t="s">
        <v>1204</v>
      </c>
      <c r="E684" s="1">
        <v>1.0</v>
      </c>
      <c r="F684" s="1">
        <v>0.0</v>
      </c>
    </row>
    <row r="685" ht="12.75" customHeight="1">
      <c r="A685" s="1">
        <v>1.0</v>
      </c>
      <c r="B685" s="2" t="s">
        <v>1213</v>
      </c>
      <c r="C685" s="1" t="s">
        <v>1214</v>
      </c>
      <c r="D685" s="1" t="s">
        <v>1204</v>
      </c>
      <c r="E685" s="1">
        <v>1.0</v>
      </c>
      <c r="F685" s="1">
        <v>0.0</v>
      </c>
    </row>
    <row r="686" ht="12.75" customHeight="1">
      <c r="A686" s="1">
        <v>1.0</v>
      </c>
      <c r="B686" s="2" t="s">
        <v>1215</v>
      </c>
      <c r="C686" s="1" t="s">
        <v>1216</v>
      </c>
      <c r="D686" s="1" t="s">
        <v>1217</v>
      </c>
      <c r="E686" s="1">
        <v>1.0</v>
      </c>
      <c r="F686" s="1">
        <v>0.0</v>
      </c>
    </row>
    <row r="687" ht="12.75" customHeight="1">
      <c r="A687" s="1">
        <v>1.0</v>
      </c>
      <c r="B687" s="2" t="s">
        <v>1218</v>
      </c>
      <c r="C687" s="1" t="s">
        <v>1219</v>
      </c>
      <c r="D687" s="1" t="s">
        <v>1220</v>
      </c>
      <c r="E687" s="1">
        <v>1.0</v>
      </c>
      <c r="F687" s="1">
        <v>0.0</v>
      </c>
    </row>
    <row r="688" ht="12.75" customHeight="1">
      <c r="A688" s="1">
        <v>1.0</v>
      </c>
      <c r="B688" s="2" t="s">
        <v>1221</v>
      </c>
      <c r="C688" s="1" t="s">
        <v>1222</v>
      </c>
      <c r="D688" s="1" t="s">
        <v>1223</v>
      </c>
      <c r="E688" s="1">
        <v>1.0</v>
      </c>
      <c r="F688" s="1">
        <v>0.0</v>
      </c>
    </row>
    <row r="689" ht="12.75" customHeight="1">
      <c r="A689" s="1">
        <v>1.0</v>
      </c>
      <c r="B689" s="2" t="s">
        <v>1224</v>
      </c>
      <c r="C689" s="1" t="s">
        <v>1225</v>
      </c>
      <c r="D689" s="1" t="s">
        <v>1226</v>
      </c>
      <c r="E689" s="1">
        <v>1.0</v>
      </c>
      <c r="F689" s="1">
        <v>0.0</v>
      </c>
    </row>
    <row r="690" ht="12.75" customHeight="1">
      <c r="A690" s="1">
        <v>1.0</v>
      </c>
      <c r="B690" s="2">
        <v>6551115.0</v>
      </c>
      <c r="C690" s="1" t="s">
        <v>1227</v>
      </c>
      <c r="D690" s="1" t="s">
        <v>1228</v>
      </c>
      <c r="E690" s="1">
        <v>1.0</v>
      </c>
      <c r="F690" s="1">
        <v>0.0</v>
      </c>
    </row>
    <row r="691" ht="12.75" customHeight="1">
      <c r="A691" s="1">
        <v>1.0</v>
      </c>
      <c r="B691" s="2" t="s">
        <v>1229</v>
      </c>
      <c r="C691" s="1" t="s">
        <v>757</v>
      </c>
      <c r="D691" s="1" t="s">
        <v>916</v>
      </c>
      <c r="E691" s="1">
        <v>1.0</v>
      </c>
      <c r="F691" s="1">
        <v>0.0</v>
      </c>
    </row>
    <row r="692" ht="12.75" customHeight="1">
      <c r="A692" s="1">
        <v>1.0</v>
      </c>
      <c r="B692" s="2" t="s">
        <v>1230</v>
      </c>
      <c r="C692" s="1" t="s">
        <v>757</v>
      </c>
      <c r="D692" s="1" t="s">
        <v>916</v>
      </c>
      <c r="E692" s="1">
        <v>1.0</v>
      </c>
      <c r="F692" s="1">
        <v>0.0</v>
      </c>
    </row>
    <row r="693" ht="12.75" customHeight="1">
      <c r="A693" s="1">
        <v>1.0</v>
      </c>
      <c r="B693" s="2">
        <v>562323.0</v>
      </c>
      <c r="C693" s="1" t="s">
        <v>1231</v>
      </c>
      <c r="D693" s="1" t="s">
        <v>1232</v>
      </c>
      <c r="E693" s="1">
        <v>1.0</v>
      </c>
      <c r="F693" s="1">
        <v>0.0</v>
      </c>
    </row>
    <row r="694" ht="12.75" customHeight="1">
      <c r="A694" s="1">
        <v>1.0</v>
      </c>
      <c r="B694" s="2">
        <v>560322.0</v>
      </c>
      <c r="C694" s="1" t="s">
        <v>1199</v>
      </c>
      <c r="D694" s="1" t="s">
        <v>1233</v>
      </c>
      <c r="E694" s="1">
        <v>1.0</v>
      </c>
      <c r="F694" s="1">
        <v>0.0</v>
      </c>
    </row>
    <row r="695" ht="12.75" customHeight="1">
      <c r="A695" s="1">
        <v>1.0</v>
      </c>
      <c r="B695" s="2" t="s">
        <v>1234</v>
      </c>
      <c r="C695" s="1" t="s">
        <v>1235</v>
      </c>
      <c r="D695" s="1" t="s">
        <v>1236</v>
      </c>
      <c r="E695" s="1">
        <v>1.0</v>
      </c>
      <c r="F695" s="1">
        <v>0.0</v>
      </c>
    </row>
    <row r="696" ht="12.75" customHeight="1">
      <c r="A696" s="1">
        <v>1.0</v>
      </c>
      <c r="B696" s="2" t="s">
        <v>1237</v>
      </c>
      <c r="C696" s="1" t="s">
        <v>1238</v>
      </c>
      <c r="D696" s="1" t="s">
        <v>1239</v>
      </c>
      <c r="E696" s="1">
        <v>1.0</v>
      </c>
      <c r="F696" s="1">
        <v>0.0</v>
      </c>
    </row>
    <row r="697" ht="12.75" customHeight="1">
      <c r="A697" s="1">
        <v>1.0</v>
      </c>
      <c r="B697" s="2" t="s">
        <v>1240</v>
      </c>
      <c r="C697" s="1" t="s">
        <v>1241</v>
      </c>
      <c r="D697" s="1" t="s">
        <v>1239</v>
      </c>
      <c r="E697" s="1">
        <v>1.0</v>
      </c>
      <c r="F697" s="1">
        <v>0.0</v>
      </c>
    </row>
    <row r="698" ht="12.75" customHeight="1">
      <c r="A698" s="1">
        <v>1.0</v>
      </c>
      <c r="B698" s="2" t="s">
        <v>1242</v>
      </c>
      <c r="C698" s="1" t="s">
        <v>1243</v>
      </c>
      <c r="D698" s="1" t="s">
        <v>1244</v>
      </c>
      <c r="E698" s="1">
        <v>1.0</v>
      </c>
      <c r="F698" s="1">
        <v>0.0</v>
      </c>
    </row>
    <row r="699" ht="12.75" customHeight="1">
      <c r="A699" s="1">
        <v>1.0</v>
      </c>
      <c r="B699" s="2">
        <v>564732.0</v>
      </c>
      <c r="C699" s="1" t="s">
        <v>1245</v>
      </c>
      <c r="D699" s="1" t="s">
        <v>1246</v>
      </c>
      <c r="E699" s="1">
        <v>1.0</v>
      </c>
      <c r="F699" s="1">
        <v>0.0</v>
      </c>
    </row>
    <row r="700" ht="12.75" customHeight="1">
      <c r="A700" s="1">
        <v>1.0</v>
      </c>
      <c r="B700" s="2" t="s">
        <v>1247</v>
      </c>
      <c r="C700" s="1" t="s">
        <v>1248</v>
      </c>
      <c r="D700" s="1" t="s">
        <v>1246</v>
      </c>
      <c r="E700" s="1">
        <v>1.0</v>
      </c>
      <c r="F700" s="1">
        <v>0.0</v>
      </c>
    </row>
    <row r="701" ht="12.75" customHeight="1">
      <c r="A701" s="1">
        <v>1.0</v>
      </c>
      <c r="B701" s="2" t="s">
        <v>1249</v>
      </c>
      <c r="C701" s="1" t="s">
        <v>1250</v>
      </c>
      <c r="D701" s="1" t="s">
        <v>1246</v>
      </c>
      <c r="E701" s="1">
        <v>1.0</v>
      </c>
      <c r="F701" s="1">
        <v>0.0</v>
      </c>
    </row>
    <row r="702" ht="12.75" customHeight="1">
      <c r="A702" s="1">
        <v>1.0</v>
      </c>
      <c r="B702" s="2" t="s">
        <v>1251</v>
      </c>
      <c r="C702" s="1" t="s">
        <v>1252</v>
      </c>
      <c r="D702" s="1" t="s">
        <v>1253</v>
      </c>
      <c r="E702" s="1">
        <v>1.0</v>
      </c>
      <c r="F702" s="1">
        <v>0.0</v>
      </c>
    </row>
    <row r="703" ht="12.75" customHeight="1">
      <c r="A703" s="1">
        <v>1.0</v>
      </c>
      <c r="B703" s="2" t="s">
        <v>1254</v>
      </c>
      <c r="C703" s="1" t="s">
        <v>1255</v>
      </c>
      <c r="D703" s="1" t="s">
        <v>1256</v>
      </c>
      <c r="E703" s="1">
        <v>1.0</v>
      </c>
      <c r="F703" s="1">
        <v>0.0</v>
      </c>
    </row>
    <row r="704" ht="12.75" customHeight="1">
      <c r="A704" s="1">
        <v>1.0</v>
      </c>
      <c r="B704" s="2" t="s">
        <v>1257</v>
      </c>
      <c r="C704" s="1" t="s">
        <v>1258</v>
      </c>
      <c r="D704" s="1" t="s">
        <v>1259</v>
      </c>
      <c r="E704" s="1">
        <v>1.0</v>
      </c>
      <c r="F704" s="1">
        <v>0.0</v>
      </c>
    </row>
    <row r="705" ht="12.75" customHeight="1">
      <c r="A705" s="1">
        <v>1.0</v>
      </c>
      <c r="B705" s="2">
        <v>3801347.0</v>
      </c>
      <c r="C705" s="1" t="s">
        <v>312</v>
      </c>
      <c r="D705" s="1" t="s">
        <v>1260</v>
      </c>
      <c r="E705" s="1">
        <v>1.0</v>
      </c>
      <c r="F705" s="1">
        <v>0.0</v>
      </c>
    </row>
    <row r="706" ht="12.75" customHeight="1">
      <c r="A706" s="1">
        <v>1.0</v>
      </c>
      <c r="B706" s="2" t="s">
        <v>1261</v>
      </c>
      <c r="C706" s="1" t="s">
        <v>312</v>
      </c>
      <c r="D706" s="1" t="s">
        <v>1262</v>
      </c>
      <c r="E706" s="1">
        <v>1.0</v>
      </c>
      <c r="F706" s="1">
        <v>0.0</v>
      </c>
    </row>
    <row r="707" ht="12.75" customHeight="1">
      <c r="A707" s="1">
        <v>1.0</v>
      </c>
      <c r="B707" s="2">
        <v>8053604.0</v>
      </c>
      <c r="C707" s="1" t="s">
        <v>6</v>
      </c>
      <c r="D707" s="1" t="s">
        <v>1263</v>
      </c>
      <c r="E707" s="1">
        <v>1.0</v>
      </c>
      <c r="F707" s="1">
        <v>0.0</v>
      </c>
    </row>
    <row r="708" ht="12.75" customHeight="1">
      <c r="A708" s="1">
        <v>1.0</v>
      </c>
      <c r="B708" s="2">
        <v>8050103.0</v>
      </c>
      <c r="C708" s="1" t="s">
        <v>6</v>
      </c>
      <c r="D708" s="1" t="s">
        <v>1264</v>
      </c>
      <c r="E708" s="1">
        <v>1.0</v>
      </c>
      <c r="F708" s="1">
        <v>0.0</v>
      </c>
    </row>
    <row r="709" ht="12.75" customHeight="1">
      <c r="A709" s="1">
        <v>1.0</v>
      </c>
      <c r="B709" s="2">
        <v>8050107.0</v>
      </c>
      <c r="C709" s="1" t="s">
        <v>6</v>
      </c>
      <c r="D709" s="1" t="s">
        <v>1265</v>
      </c>
      <c r="E709" s="1">
        <v>1.0</v>
      </c>
      <c r="F709" s="1">
        <v>0.0</v>
      </c>
    </row>
    <row r="710" ht="12.75" customHeight="1">
      <c r="A710" s="1">
        <v>1.0</v>
      </c>
      <c r="B710" s="2">
        <v>8050105.0</v>
      </c>
      <c r="C710" s="1" t="s">
        <v>6</v>
      </c>
      <c r="D710" s="1" t="s">
        <v>1266</v>
      </c>
      <c r="E710" s="1">
        <v>1.0</v>
      </c>
      <c r="F710" s="1">
        <v>0.0</v>
      </c>
    </row>
    <row r="711" ht="12.75" customHeight="1">
      <c r="A711" s="1">
        <v>1.0</v>
      </c>
      <c r="B711" s="2">
        <v>8050106.0</v>
      </c>
      <c r="C711" s="1" t="s">
        <v>6</v>
      </c>
      <c r="D711" s="1" t="s">
        <v>1267</v>
      </c>
      <c r="E711" s="1">
        <v>1.0</v>
      </c>
      <c r="F711" s="1">
        <v>0.0</v>
      </c>
    </row>
    <row r="712" ht="12.75" customHeight="1">
      <c r="A712" s="1">
        <v>1.0</v>
      </c>
      <c r="B712" s="2">
        <v>8050149.0</v>
      </c>
      <c r="C712" s="1" t="s">
        <v>6</v>
      </c>
      <c r="D712" s="1" t="s">
        <v>1268</v>
      </c>
      <c r="E712" s="1">
        <v>1.0</v>
      </c>
      <c r="F712" s="1">
        <v>0.0</v>
      </c>
    </row>
    <row r="713" ht="12.75" customHeight="1">
      <c r="A713" s="1">
        <v>1.0</v>
      </c>
      <c r="B713" s="2">
        <v>8050210.0</v>
      </c>
      <c r="C713" s="1" t="s">
        <v>6</v>
      </c>
      <c r="D713" s="1" t="s">
        <v>1269</v>
      </c>
      <c r="E713" s="1">
        <v>1.0</v>
      </c>
      <c r="F713" s="1">
        <v>0.0</v>
      </c>
    </row>
    <row r="714" ht="12.75" customHeight="1">
      <c r="A714" s="1">
        <v>1.0</v>
      </c>
      <c r="B714" s="2">
        <v>8050504.0</v>
      </c>
      <c r="C714" s="1" t="s">
        <v>6</v>
      </c>
      <c r="D714" s="1" t="s">
        <v>1270</v>
      </c>
      <c r="E714" s="1">
        <v>1.0</v>
      </c>
      <c r="F714" s="1">
        <v>0.0</v>
      </c>
    </row>
    <row r="715" ht="12.75" customHeight="1">
      <c r="A715" s="1">
        <v>1.0</v>
      </c>
      <c r="B715" s="2" t="s">
        <v>1271</v>
      </c>
      <c r="C715" s="1" t="s">
        <v>1272</v>
      </c>
      <c r="D715" s="1" t="s">
        <v>1273</v>
      </c>
      <c r="E715" s="1">
        <v>1.0</v>
      </c>
      <c r="F715" s="1">
        <v>0.0</v>
      </c>
    </row>
    <row r="716" ht="12.75" customHeight="1">
      <c r="A716" s="1">
        <v>1.0</v>
      </c>
      <c r="B716" s="2" t="s">
        <v>1274</v>
      </c>
      <c r="C716" s="1" t="s">
        <v>1275</v>
      </c>
      <c r="D716" s="1" t="s">
        <v>1276</v>
      </c>
      <c r="E716" s="1">
        <v>1.0</v>
      </c>
      <c r="F716" s="1">
        <v>0.0</v>
      </c>
    </row>
    <row r="717" ht="12.75" customHeight="1">
      <c r="A717" s="1">
        <v>1.0</v>
      </c>
      <c r="B717" s="2" t="s">
        <v>1277</v>
      </c>
      <c r="C717" s="1" t="s">
        <v>1278</v>
      </c>
      <c r="D717" s="1" t="s">
        <v>590</v>
      </c>
      <c r="E717" s="1">
        <v>1.0</v>
      </c>
      <c r="F717" s="1">
        <v>0.0</v>
      </c>
    </row>
    <row r="718" ht="12.75" customHeight="1">
      <c r="A718" s="1">
        <v>1.0</v>
      </c>
      <c r="B718" s="2" t="s">
        <v>1279</v>
      </c>
      <c r="C718" s="1" t="s">
        <v>150</v>
      </c>
      <c r="D718" s="1" t="s">
        <v>1280</v>
      </c>
      <c r="E718" s="1">
        <v>1.0</v>
      </c>
      <c r="F718" s="1">
        <v>0.0</v>
      </c>
    </row>
    <row r="719" ht="12.75" customHeight="1">
      <c r="A719" s="1">
        <v>1.0</v>
      </c>
      <c r="B719" s="2">
        <v>780170.0</v>
      </c>
      <c r="C719" s="1" t="s">
        <v>1281</v>
      </c>
      <c r="D719" s="1" t="s">
        <v>1282</v>
      </c>
      <c r="E719" s="1">
        <v>1.0</v>
      </c>
      <c r="F719" s="1">
        <v>0.0</v>
      </c>
    </row>
    <row r="720" ht="12.75" customHeight="1">
      <c r="A720" s="1">
        <v>1.0</v>
      </c>
      <c r="B720" s="2">
        <v>8321050.0</v>
      </c>
      <c r="C720" s="1" t="s">
        <v>631</v>
      </c>
      <c r="D720" s="1" t="s">
        <v>1283</v>
      </c>
      <c r="E720" s="1">
        <v>1.0</v>
      </c>
      <c r="F720" s="1">
        <v>0.0</v>
      </c>
    </row>
    <row r="721" ht="12.75" customHeight="1">
      <c r="A721" s="1">
        <v>1.0</v>
      </c>
      <c r="B721" s="2" t="s">
        <v>1284</v>
      </c>
      <c r="C721" s="1" t="s">
        <v>631</v>
      </c>
      <c r="D721" s="1" t="s">
        <v>1285</v>
      </c>
      <c r="E721" s="1">
        <v>1.0</v>
      </c>
      <c r="F721" s="1">
        <v>0.0</v>
      </c>
    </row>
    <row r="722" ht="12.75" customHeight="1">
      <c r="A722" s="1">
        <v>1.0</v>
      </c>
      <c r="B722" s="2">
        <v>8321049.0</v>
      </c>
      <c r="C722" s="1" t="s">
        <v>631</v>
      </c>
      <c r="D722" s="1" t="s">
        <v>1286</v>
      </c>
      <c r="E722" s="1">
        <v>1.0</v>
      </c>
      <c r="F722" s="1">
        <v>0.0</v>
      </c>
    </row>
    <row r="723" ht="12.75" customHeight="1">
      <c r="A723" s="1">
        <v>1.0</v>
      </c>
      <c r="B723" s="2" t="s">
        <v>1287</v>
      </c>
      <c r="C723" s="1" t="s">
        <v>631</v>
      </c>
      <c r="D723" s="1" t="s">
        <v>1288</v>
      </c>
      <c r="E723" s="1">
        <v>1.0</v>
      </c>
      <c r="F723" s="1">
        <v>0.0</v>
      </c>
    </row>
    <row r="724" ht="12.75" customHeight="1">
      <c r="A724" s="1">
        <v>1.0</v>
      </c>
      <c r="B724" s="2" t="s">
        <v>1289</v>
      </c>
      <c r="C724" s="1" t="s">
        <v>1290</v>
      </c>
      <c r="D724" s="1" t="s">
        <v>1291</v>
      </c>
      <c r="E724" s="1">
        <v>1.0</v>
      </c>
      <c r="F724" s="1">
        <v>0.0</v>
      </c>
    </row>
    <row r="725" ht="12.75" customHeight="1">
      <c r="A725" s="1">
        <v>1.0</v>
      </c>
      <c r="B725" s="2" t="s">
        <v>1292</v>
      </c>
      <c r="C725" s="1" t="s">
        <v>1293</v>
      </c>
      <c r="D725" s="1" t="s">
        <v>326</v>
      </c>
      <c r="E725" s="1">
        <v>1.0</v>
      </c>
      <c r="F725" s="1">
        <v>0.0</v>
      </c>
    </row>
    <row r="726" ht="12.75" customHeight="1">
      <c r="A726" s="1">
        <v>1.0</v>
      </c>
      <c r="B726" s="2" t="s">
        <v>1294</v>
      </c>
      <c r="C726" s="1" t="s">
        <v>796</v>
      </c>
      <c r="D726" s="1" t="s">
        <v>1295</v>
      </c>
      <c r="E726" s="1">
        <v>1.0</v>
      </c>
      <c r="F726" s="1">
        <v>0.0</v>
      </c>
    </row>
    <row r="727" ht="12.75" customHeight="1">
      <c r="A727" s="1">
        <v>1.0</v>
      </c>
      <c r="B727" s="2">
        <v>600068.0</v>
      </c>
      <c r="C727" s="1" t="s">
        <v>796</v>
      </c>
      <c r="D727" s="1" t="s">
        <v>1296</v>
      </c>
      <c r="E727" s="1">
        <v>1.0</v>
      </c>
      <c r="F727" s="1">
        <v>0.0</v>
      </c>
    </row>
    <row r="728" ht="12.75" customHeight="1">
      <c r="A728" s="1">
        <v>1.0</v>
      </c>
      <c r="B728" s="2" t="s">
        <v>1297</v>
      </c>
      <c r="C728" s="1" t="s">
        <v>1298</v>
      </c>
      <c r="D728" s="1" t="s">
        <v>1296</v>
      </c>
      <c r="E728" s="1">
        <v>1.0</v>
      </c>
      <c r="F728" s="1">
        <v>0.0</v>
      </c>
    </row>
    <row r="729" ht="12.75" customHeight="1">
      <c r="A729" s="1">
        <v>1.0</v>
      </c>
      <c r="B729" s="2" t="s">
        <v>1299</v>
      </c>
      <c r="C729" s="1" t="s">
        <v>1300</v>
      </c>
      <c r="D729" s="1" t="s">
        <v>1296</v>
      </c>
      <c r="E729" s="1">
        <v>1.0</v>
      </c>
      <c r="F729" s="1">
        <v>0.0</v>
      </c>
    </row>
    <row r="730" ht="12.75" customHeight="1">
      <c r="A730" s="1">
        <v>1.0</v>
      </c>
      <c r="B730" s="2" t="s">
        <v>1301</v>
      </c>
      <c r="C730" s="1" t="s">
        <v>1302</v>
      </c>
      <c r="D730" s="1" t="s">
        <v>1296</v>
      </c>
      <c r="E730" s="1">
        <v>1.0</v>
      </c>
      <c r="F730" s="1">
        <v>0.0</v>
      </c>
    </row>
    <row r="731" ht="12.75" customHeight="1">
      <c r="A731" s="1">
        <v>1.0</v>
      </c>
      <c r="B731" s="2" t="s">
        <v>1303</v>
      </c>
      <c r="C731" s="1" t="s">
        <v>1304</v>
      </c>
      <c r="D731" s="1" t="s">
        <v>1296</v>
      </c>
      <c r="E731" s="1">
        <v>1.0</v>
      </c>
      <c r="F731" s="1">
        <v>0.0</v>
      </c>
    </row>
    <row r="732" ht="12.75" customHeight="1">
      <c r="A732" s="1">
        <v>1.0</v>
      </c>
      <c r="B732" s="2" t="s">
        <v>1305</v>
      </c>
      <c r="C732" s="1" t="s">
        <v>1306</v>
      </c>
      <c r="D732" s="1" t="s">
        <v>1307</v>
      </c>
      <c r="E732" s="1">
        <v>1.0</v>
      </c>
      <c r="F732" s="1">
        <v>0.0</v>
      </c>
    </row>
    <row r="733" ht="12.75" customHeight="1">
      <c r="A733" s="1">
        <v>1.0</v>
      </c>
      <c r="B733" s="2">
        <v>1660402.0</v>
      </c>
      <c r="C733" s="1" t="s">
        <v>49</v>
      </c>
      <c r="D733" s="1" t="s">
        <v>1308</v>
      </c>
      <c r="E733" s="1">
        <v>1.0</v>
      </c>
      <c r="F733" s="1">
        <v>0.0</v>
      </c>
    </row>
    <row r="734" ht="12.75" customHeight="1">
      <c r="A734" s="1">
        <v>1.0</v>
      </c>
      <c r="B734" s="2">
        <v>3801939.0</v>
      </c>
      <c r="C734" s="1" t="s">
        <v>25</v>
      </c>
      <c r="D734" s="1" t="s">
        <v>1309</v>
      </c>
      <c r="E734" s="1">
        <v>1.0</v>
      </c>
      <c r="F734" s="1">
        <v>0.0</v>
      </c>
    </row>
    <row r="735" ht="12.75" customHeight="1">
      <c r="A735" s="1">
        <v>1.0</v>
      </c>
      <c r="B735" s="2">
        <v>1660210.0</v>
      </c>
      <c r="C735" s="1" t="s">
        <v>49</v>
      </c>
      <c r="D735" s="1" t="s">
        <v>26</v>
      </c>
      <c r="E735" s="1">
        <v>1.0</v>
      </c>
      <c r="F735" s="1">
        <v>0.0</v>
      </c>
    </row>
    <row r="736" ht="12.75" customHeight="1">
      <c r="A736" s="1">
        <v>1.0</v>
      </c>
      <c r="B736" s="2">
        <v>1660216.0</v>
      </c>
      <c r="C736" s="1" t="s">
        <v>49</v>
      </c>
      <c r="D736" s="1" t="s">
        <v>1310</v>
      </c>
      <c r="E736" s="1">
        <v>1.0</v>
      </c>
      <c r="F736" s="1">
        <v>0.0</v>
      </c>
    </row>
    <row r="737" ht="12.75" customHeight="1">
      <c r="A737" s="1">
        <v>1.0</v>
      </c>
      <c r="B737" s="2">
        <v>3800342.0</v>
      </c>
      <c r="C737" s="1" t="s">
        <v>37</v>
      </c>
      <c r="D737" s="1" t="s">
        <v>1311</v>
      </c>
      <c r="E737" s="1">
        <v>1.0</v>
      </c>
      <c r="F737" s="1">
        <v>0.0</v>
      </c>
    </row>
    <row r="738" ht="12.75" customHeight="1">
      <c r="A738" s="1">
        <v>1.0</v>
      </c>
      <c r="B738" s="2" t="s">
        <v>1312</v>
      </c>
      <c r="C738" s="1" t="s">
        <v>1313</v>
      </c>
      <c r="D738" s="1" t="s">
        <v>1314</v>
      </c>
      <c r="E738" s="1">
        <v>1.0</v>
      </c>
      <c r="F738" s="1">
        <v>0.0</v>
      </c>
    </row>
    <row r="739" ht="12.75" customHeight="1">
      <c r="A739" s="1">
        <v>1.0</v>
      </c>
      <c r="B739" s="2">
        <v>564779.0</v>
      </c>
      <c r="C739" s="1" t="s">
        <v>1315</v>
      </c>
      <c r="D739" s="1" t="s">
        <v>1316</v>
      </c>
      <c r="E739" s="1">
        <v>1.0</v>
      </c>
      <c r="F739" s="1">
        <v>0.0</v>
      </c>
    </row>
    <row r="740" ht="12.75" customHeight="1">
      <c r="A740" s="1">
        <v>1.0</v>
      </c>
      <c r="B740" s="2">
        <v>8320304.0</v>
      </c>
      <c r="C740" s="1" t="s">
        <v>278</v>
      </c>
      <c r="D740" s="1" t="s">
        <v>1317</v>
      </c>
      <c r="E740" s="1">
        <v>1.0</v>
      </c>
      <c r="F740" s="1">
        <v>0.0</v>
      </c>
    </row>
    <row r="741" ht="12.75" customHeight="1">
      <c r="A741" s="1">
        <v>1.0</v>
      </c>
      <c r="B741" s="2" t="s">
        <v>1318</v>
      </c>
      <c r="C741" s="1" t="s">
        <v>1319</v>
      </c>
      <c r="D741" s="1" t="s">
        <v>1320</v>
      </c>
      <c r="E741" s="1">
        <v>1.0</v>
      </c>
      <c r="F741" s="1">
        <v>0.0</v>
      </c>
    </row>
    <row r="742" ht="12.75" customHeight="1">
      <c r="A742" s="1">
        <v>1.0</v>
      </c>
      <c r="B742" s="2">
        <v>8821004.0</v>
      </c>
      <c r="C742" s="1" t="s">
        <v>173</v>
      </c>
      <c r="D742" s="1" t="s">
        <v>1321</v>
      </c>
      <c r="E742" s="1">
        <v>1.0</v>
      </c>
      <c r="F742" s="1">
        <v>0.0</v>
      </c>
    </row>
    <row r="743" ht="12.75" customHeight="1">
      <c r="A743" s="1">
        <v>1.0</v>
      </c>
      <c r="B743" s="2">
        <v>8821651.0</v>
      </c>
      <c r="C743" s="1" t="s">
        <v>178</v>
      </c>
      <c r="D743" s="1" t="s">
        <v>1322</v>
      </c>
      <c r="E743" s="1">
        <v>1.0</v>
      </c>
      <c r="F743" s="1">
        <v>0.0</v>
      </c>
    </row>
    <row r="744" ht="12.75" customHeight="1">
      <c r="A744" s="1">
        <v>1.0</v>
      </c>
      <c r="B744" s="2" t="s">
        <v>1323</v>
      </c>
      <c r="C744" s="1" t="s">
        <v>1324</v>
      </c>
      <c r="D744" s="1" t="s">
        <v>1325</v>
      </c>
      <c r="E744" s="1">
        <v>1.0</v>
      </c>
      <c r="F744" s="1">
        <v>0.0</v>
      </c>
    </row>
    <row r="745" ht="12.75" customHeight="1">
      <c r="A745" s="1">
        <v>1.0</v>
      </c>
      <c r="B745" s="2">
        <v>8821652.0</v>
      </c>
      <c r="C745" s="1" t="s">
        <v>1326</v>
      </c>
      <c r="D745" s="1" t="s">
        <v>1327</v>
      </c>
      <c r="E745" s="1">
        <v>1.0</v>
      </c>
      <c r="F745" s="1">
        <v>0.0</v>
      </c>
    </row>
    <row r="746" ht="12.75" customHeight="1">
      <c r="A746" s="1">
        <v>1.0</v>
      </c>
      <c r="B746" s="2" t="s">
        <v>1328</v>
      </c>
      <c r="C746" s="1" t="s">
        <v>178</v>
      </c>
      <c r="D746" s="1" t="s">
        <v>1329</v>
      </c>
      <c r="E746" s="1">
        <v>1.0</v>
      </c>
      <c r="F746" s="1">
        <v>0.0</v>
      </c>
    </row>
    <row r="747" ht="12.75" customHeight="1">
      <c r="A747" s="1">
        <v>1.0</v>
      </c>
      <c r="B747" s="2">
        <v>8821660.0</v>
      </c>
      <c r="C747" s="1" t="s">
        <v>178</v>
      </c>
      <c r="D747" s="1" t="s">
        <v>1330</v>
      </c>
      <c r="E747" s="1">
        <v>1.0</v>
      </c>
      <c r="F747" s="1">
        <v>0.0</v>
      </c>
    </row>
    <row r="748" ht="12.75" customHeight="1">
      <c r="A748" s="1">
        <v>1.0</v>
      </c>
      <c r="B748" s="2" t="s">
        <v>1331</v>
      </c>
      <c r="C748" s="1" t="s">
        <v>1332</v>
      </c>
      <c r="D748" s="1" t="s">
        <v>1333</v>
      </c>
      <c r="E748" s="1">
        <v>1.0</v>
      </c>
      <c r="F748" s="1">
        <v>0.0</v>
      </c>
    </row>
    <row r="749" ht="12.75" customHeight="1">
      <c r="A749" s="1">
        <v>1.0</v>
      </c>
      <c r="B749" s="2">
        <v>8320150.0</v>
      </c>
      <c r="C749" s="1" t="s">
        <v>278</v>
      </c>
      <c r="D749" s="1" t="s">
        <v>1334</v>
      </c>
      <c r="E749" s="1">
        <v>1.0</v>
      </c>
      <c r="F749" s="1">
        <v>0.0</v>
      </c>
    </row>
    <row r="750" ht="12.75" customHeight="1">
      <c r="A750" s="1">
        <v>1.0</v>
      </c>
      <c r="B750" s="2">
        <v>8320101.0</v>
      </c>
      <c r="C750" s="1" t="s">
        <v>278</v>
      </c>
      <c r="D750" s="1" t="s">
        <v>1335</v>
      </c>
      <c r="E750" s="1">
        <v>1.0</v>
      </c>
      <c r="F750" s="1">
        <v>0.0</v>
      </c>
    </row>
    <row r="751" ht="12.75" customHeight="1">
      <c r="A751" s="1">
        <v>1.0</v>
      </c>
      <c r="B751" s="2">
        <v>8320103.0</v>
      </c>
      <c r="C751" s="1" t="s">
        <v>278</v>
      </c>
      <c r="D751" s="1" t="s">
        <v>1336</v>
      </c>
      <c r="E751" s="1">
        <v>1.0</v>
      </c>
      <c r="F751" s="1">
        <v>0.0</v>
      </c>
    </row>
    <row r="752" ht="12.75" customHeight="1">
      <c r="A752" s="1">
        <v>1.0</v>
      </c>
      <c r="B752" s="2">
        <v>8320160.0</v>
      </c>
      <c r="C752" s="1" t="s">
        <v>631</v>
      </c>
      <c r="D752" s="1" t="s">
        <v>1337</v>
      </c>
      <c r="E752" s="1">
        <v>1.0</v>
      </c>
      <c r="F752" s="1">
        <v>0.0</v>
      </c>
    </row>
    <row r="753" ht="12.75" customHeight="1">
      <c r="A753" s="1">
        <v>1.0</v>
      </c>
      <c r="B753" s="2" t="s">
        <v>1338</v>
      </c>
      <c r="C753" s="1" t="s">
        <v>1339</v>
      </c>
      <c r="D753" s="1" t="s">
        <v>1340</v>
      </c>
      <c r="E753" s="1">
        <v>1.0</v>
      </c>
      <c r="F753" s="1">
        <v>0.0</v>
      </c>
    </row>
    <row r="754" ht="12.75" customHeight="1">
      <c r="A754" s="1">
        <v>1.0</v>
      </c>
      <c r="B754" s="2">
        <v>8050903.0</v>
      </c>
      <c r="C754" s="1" t="s">
        <v>1341</v>
      </c>
      <c r="D754" s="1" t="s">
        <v>201</v>
      </c>
      <c r="E754" s="1">
        <v>1.0</v>
      </c>
      <c r="F754" s="1">
        <v>0.0</v>
      </c>
    </row>
    <row r="755" ht="12.75" customHeight="1">
      <c r="A755" s="1">
        <v>1.0</v>
      </c>
      <c r="B755" s="2">
        <v>8320206.0</v>
      </c>
      <c r="C755" s="1" t="s">
        <v>278</v>
      </c>
      <c r="D755" s="1" t="s">
        <v>1342</v>
      </c>
      <c r="E755" s="1">
        <v>1.0</v>
      </c>
      <c r="F755" s="1">
        <v>0.0</v>
      </c>
    </row>
    <row r="756" ht="12.75" customHeight="1">
      <c r="A756" s="1">
        <v>1.0</v>
      </c>
      <c r="B756" s="2">
        <v>3801958.0</v>
      </c>
      <c r="C756" s="1" t="s">
        <v>1343</v>
      </c>
      <c r="D756" s="1" t="s">
        <v>1344</v>
      </c>
      <c r="E756" s="1">
        <v>1.0</v>
      </c>
      <c r="F756" s="1">
        <v>0.0</v>
      </c>
    </row>
    <row r="757" ht="12.75" customHeight="1">
      <c r="A757" s="1">
        <v>1.0</v>
      </c>
      <c r="B757" s="2">
        <v>3801961.0</v>
      </c>
      <c r="C757" s="1" t="s">
        <v>220</v>
      </c>
      <c r="D757" s="1" t="s">
        <v>1344</v>
      </c>
      <c r="E757" s="1">
        <v>1.0</v>
      </c>
      <c r="F757" s="1">
        <v>0.0</v>
      </c>
    </row>
    <row r="758" ht="12.75" customHeight="1">
      <c r="A758" s="1">
        <v>1.0</v>
      </c>
      <c r="B758" s="2" t="s">
        <v>1345</v>
      </c>
      <c r="C758" s="1" t="s">
        <v>1346</v>
      </c>
      <c r="D758" s="1" t="s">
        <v>1347</v>
      </c>
      <c r="E758" s="1">
        <v>1.0</v>
      </c>
      <c r="F758" s="1">
        <v>0.0</v>
      </c>
    </row>
    <row r="759" ht="12.75" customHeight="1">
      <c r="A759" s="1">
        <v>1.0</v>
      </c>
      <c r="B759" s="2" t="s">
        <v>1348</v>
      </c>
      <c r="C759" s="1" t="s">
        <v>1349</v>
      </c>
      <c r="D759" s="1" t="s">
        <v>1350</v>
      </c>
      <c r="E759" s="1">
        <v>1.0</v>
      </c>
      <c r="F759" s="1">
        <v>0.0</v>
      </c>
    </row>
    <row r="760" ht="12.75" customHeight="1">
      <c r="A760" s="1">
        <v>1.0</v>
      </c>
      <c r="B760" s="2" t="s">
        <v>1351</v>
      </c>
      <c r="C760" s="1" t="s">
        <v>1352</v>
      </c>
      <c r="D760" s="1" t="s">
        <v>1353</v>
      </c>
      <c r="E760" s="1">
        <v>1.0</v>
      </c>
      <c r="F760" s="1">
        <v>0.0</v>
      </c>
    </row>
    <row r="761" ht="12.75" customHeight="1">
      <c r="A761" s="1">
        <v>1.0</v>
      </c>
      <c r="B761" s="2" t="s">
        <v>1354</v>
      </c>
      <c r="C761" s="1" t="s">
        <v>1355</v>
      </c>
      <c r="D761" s="1" t="s">
        <v>1353</v>
      </c>
      <c r="E761" s="1">
        <v>1.0</v>
      </c>
      <c r="F761" s="1">
        <v>0.0</v>
      </c>
    </row>
    <row r="762" ht="12.75" customHeight="1">
      <c r="A762" s="1">
        <v>1.0</v>
      </c>
      <c r="B762" s="2" t="s">
        <v>1356</v>
      </c>
      <c r="C762" s="1" t="s">
        <v>1357</v>
      </c>
      <c r="D762" s="1" t="s">
        <v>1353</v>
      </c>
      <c r="E762" s="1">
        <v>1.0</v>
      </c>
      <c r="F762" s="1">
        <v>0.0</v>
      </c>
    </row>
    <row r="763" ht="12.75" customHeight="1">
      <c r="A763" s="1">
        <v>1.0</v>
      </c>
      <c r="B763" s="2" t="s">
        <v>1358</v>
      </c>
      <c r="C763" s="1" t="s">
        <v>1359</v>
      </c>
      <c r="D763" s="1" t="s">
        <v>1360</v>
      </c>
      <c r="E763" s="1">
        <v>1.0</v>
      </c>
      <c r="F763" s="1">
        <v>0.0</v>
      </c>
    </row>
    <row r="764" ht="12.75" customHeight="1">
      <c r="A764" s="1">
        <v>1.0</v>
      </c>
      <c r="B764" s="2">
        <v>2480124.0</v>
      </c>
      <c r="C764" s="1" t="s">
        <v>561</v>
      </c>
      <c r="D764" s="1" t="s">
        <v>1361</v>
      </c>
      <c r="E764" s="1">
        <v>1.0</v>
      </c>
      <c r="F764" s="1">
        <v>0.0</v>
      </c>
    </row>
    <row r="765" ht="12.75" customHeight="1">
      <c r="A765" s="1">
        <v>1.0</v>
      </c>
      <c r="B765" s="2">
        <v>3801379.0</v>
      </c>
      <c r="C765" s="1" t="s">
        <v>312</v>
      </c>
      <c r="D765" s="1" t="s">
        <v>1362</v>
      </c>
      <c r="E765" s="1">
        <v>1.0</v>
      </c>
      <c r="F765" s="1">
        <v>0.0</v>
      </c>
    </row>
    <row r="766" ht="12.75" customHeight="1">
      <c r="A766" s="1">
        <v>1.0</v>
      </c>
      <c r="B766" s="2">
        <v>130102.0</v>
      </c>
      <c r="C766" s="1" t="s">
        <v>1363</v>
      </c>
      <c r="D766" s="1" t="s">
        <v>375</v>
      </c>
      <c r="E766" s="1">
        <v>1.0</v>
      </c>
      <c r="F766" s="1">
        <v>0.0</v>
      </c>
    </row>
    <row r="767" ht="12.75" customHeight="1">
      <c r="A767" s="1">
        <v>1.0</v>
      </c>
      <c r="B767" s="2" t="s">
        <v>1364</v>
      </c>
      <c r="C767" s="1" t="s">
        <v>1365</v>
      </c>
      <c r="D767" s="1" t="s">
        <v>1366</v>
      </c>
      <c r="E767" s="1">
        <v>1.0</v>
      </c>
      <c r="F767" s="1">
        <v>1.0</v>
      </c>
    </row>
    <row r="768" ht="12.75" customHeight="1">
      <c r="A768" s="1">
        <v>1.0</v>
      </c>
      <c r="B768" s="2">
        <v>563260.0</v>
      </c>
      <c r="C768" s="1" t="s">
        <v>1367</v>
      </c>
      <c r="D768" s="1" t="s">
        <v>1368</v>
      </c>
      <c r="E768" s="1">
        <v>1.0</v>
      </c>
      <c r="F768" s="1">
        <v>1.0</v>
      </c>
    </row>
    <row r="769" ht="12.75" customHeight="1">
      <c r="A769" s="1">
        <v>1.0</v>
      </c>
      <c r="B769" s="2" t="s">
        <v>1369</v>
      </c>
      <c r="C769" s="1" t="s">
        <v>1370</v>
      </c>
      <c r="D769" s="1" t="s">
        <v>1368</v>
      </c>
      <c r="E769" s="1">
        <v>1.0</v>
      </c>
      <c r="F769" s="1">
        <v>1.0</v>
      </c>
    </row>
    <row r="770" ht="12.75" customHeight="1">
      <c r="A770" s="1">
        <v>1.0</v>
      </c>
      <c r="B770" s="2" t="s">
        <v>1371</v>
      </c>
      <c r="C770" s="1" t="s">
        <v>1372</v>
      </c>
      <c r="D770" s="1" t="s">
        <v>1373</v>
      </c>
      <c r="E770" s="1">
        <v>1.0</v>
      </c>
      <c r="F770" s="1">
        <v>1.0</v>
      </c>
    </row>
    <row r="771" ht="12.75" customHeight="1">
      <c r="A771" s="1">
        <v>1.0</v>
      </c>
      <c r="B771" s="2" t="s">
        <v>1374</v>
      </c>
      <c r="C771" s="1" t="s">
        <v>1375</v>
      </c>
      <c r="D771" s="1" t="s">
        <v>653</v>
      </c>
      <c r="E771" s="1">
        <v>1.0</v>
      </c>
      <c r="F771" s="1">
        <v>1.0</v>
      </c>
    </row>
    <row r="772" ht="12.75" customHeight="1">
      <c r="A772" s="1">
        <v>1.0</v>
      </c>
      <c r="B772" s="2">
        <v>3801521.0</v>
      </c>
      <c r="C772" s="1" t="s">
        <v>21</v>
      </c>
      <c r="D772" s="1" t="s">
        <v>1376</v>
      </c>
      <c r="E772" s="1">
        <v>1.0</v>
      </c>
      <c r="F772" s="1">
        <v>1.0</v>
      </c>
    </row>
    <row r="773" ht="12.75" customHeight="1">
      <c r="A773" s="1">
        <v>1.0</v>
      </c>
      <c r="B773" s="2">
        <v>6200102.0</v>
      </c>
      <c r="C773" s="1" t="s">
        <v>1377</v>
      </c>
      <c r="D773" s="1" t="s">
        <v>1378</v>
      </c>
      <c r="E773" s="1">
        <v>1.0</v>
      </c>
      <c r="F773" s="1">
        <v>1.0</v>
      </c>
    </row>
    <row r="774" ht="12.75" customHeight="1">
      <c r="A774" s="1">
        <v>1.0</v>
      </c>
      <c r="B774" s="2">
        <v>564157.0</v>
      </c>
      <c r="C774" s="1" t="s">
        <v>1379</v>
      </c>
      <c r="D774" s="1" t="s">
        <v>1380</v>
      </c>
      <c r="E774" s="1">
        <v>1.0</v>
      </c>
      <c r="F774" s="1">
        <v>1.0</v>
      </c>
    </row>
    <row r="775" ht="12.75" customHeight="1">
      <c r="A775" s="1">
        <v>1.0</v>
      </c>
      <c r="B775" s="2" t="s">
        <v>1381</v>
      </c>
      <c r="C775" s="1" t="s">
        <v>1382</v>
      </c>
      <c r="D775" s="1" t="s">
        <v>1380</v>
      </c>
      <c r="E775" s="1">
        <v>1.0</v>
      </c>
      <c r="F775" s="1">
        <v>1.0</v>
      </c>
    </row>
    <row r="776" ht="12.75" customHeight="1">
      <c r="A776" s="1">
        <v>1.0</v>
      </c>
      <c r="B776" s="2" t="s">
        <v>1383</v>
      </c>
      <c r="C776" s="1" t="s">
        <v>1384</v>
      </c>
      <c r="D776" s="1" t="s">
        <v>1385</v>
      </c>
      <c r="E776" s="1">
        <v>1.0</v>
      </c>
      <c r="F776" s="1">
        <v>1.0</v>
      </c>
    </row>
    <row r="777" ht="12.75" customHeight="1">
      <c r="A777" s="1">
        <v>1.0</v>
      </c>
      <c r="B777" s="2">
        <v>5634.0</v>
      </c>
      <c r="C777" s="1" t="s">
        <v>1386</v>
      </c>
      <c r="D777" s="1" t="s">
        <v>1387</v>
      </c>
      <c r="E777" s="1">
        <v>1.0</v>
      </c>
      <c r="F777" s="1">
        <v>1.0</v>
      </c>
    </row>
    <row r="778" ht="12.75" customHeight="1">
      <c r="A778" s="1">
        <v>1.0</v>
      </c>
      <c r="B778" s="2">
        <v>7020251.0</v>
      </c>
      <c r="C778" s="1" t="s">
        <v>1388</v>
      </c>
      <c r="D778" s="1" t="s">
        <v>575</v>
      </c>
      <c r="E778" s="1">
        <v>1.0</v>
      </c>
      <c r="F778" s="1">
        <v>1.0</v>
      </c>
    </row>
    <row r="779" ht="12.75" customHeight="1">
      <c r="A779" s="1">
        <v>1.0</v>
      </c>
      <c r="B779" s="2">
        <v>8850449.0</v>
      </c>
      <c r="C779" s="1" t="s">
        <v>1389</v>
      </c>
      <c r="D779" s="1" t="s">
        <v>1390</v>
      </c>
      <c r="E779" s="1">
        <v>1.0</v>
      </c>
      <c r="F779" s="1">
        <v>1.0</v>
      </c>
    </row>
    <row r="780" ht="12.75" customHeight="1">
      <c r="A780" s="1">
        <v>1.0</v>
      </c>
      <c r="B780" s="2" t="s">
        <v>1391</v>
      </c>
      <c r="C780" s="1" t="s">
        <v>1392</v>
      </c>
      <c r="D780" s="1" t="s">
        <v>1393</v>
      </c>
      <c r="E780" s="1">
        <v>1.0</v>
      </c>
      <c r="F780" s="1">
        <v>1.0</v>
      </c>
    </row>
    <row r="781" ht="12.75" customHeight="1">
      <c r="A781" s="1">
        <v>1.0</v>
      </c>
      <c r="B781" s="2">
        <v>4480000.0</v>
      </c>
      <c r="C781" s="1" t="s">
        <v>1394</v>
      </c>
      <c r="D781" s="1" t="s">
        <v>1395</v>
      </c>
      <c r="E781" s="1">
        <v>1.0</v>
      </c>
      <c r="F781" s="1">
        <v>1.0</v>
      </c>
    </row>
    <row r="782" ht="12.75" customHeight="1">
      <c r="A782" s="1">
        <v>1.0</v>
      </c>
      <c r="B782" s="2">
        <v>4170003.0</v>
      </c>
      <c r="C782" s="1" t="s">
        <v>203</v>
      </c>
      <c r="D782" s="1" t="s">
        <v>603</v>
      </c>
      <c r="E782" s="1">
        <v>1.0</v>
      </c>
      <c r="F782" s="1">
        <v>1.0</v>
      </c>
    </row>
    <row r="783" ht="12.75" customHeight="1">
      <c r="A783" s="1">
        <v>1.0</v>
      </c>
      <c r="B783" s="2" t="s">
        <v>1396</v>
      </c>
      <c r="C783" s="1" t="s">
        <v>1397</v>
      </c>
      <c r="D783" s="1" t="s">
        <v>1398</v>
      </c>
      <c r="E783" s="1">
        <v>1.0</v>
      </c>
      <c r="F783" s="1">
        <v>1.0</v>
      </c>
    </row>
    <row r="784" ht="12.75" customHeight="1">
      <c r="A784" s="1">
        <v>1.0</v>
      </c>
      <c r="B784" s="2">
        <v>4590498.0</v>
      </c>
      <c r="C784" s="1" t="s">
        <v>1399</v>
      </c>
      <c r="D784" s="1" t="s">
        <v>1400</v>
      </c>
      <c r="E784" s="1">
        <v>1.0</v>
      </c>
      <c r="F784" s="1">
        <v>1.0</v>
      </c>
    </row>
    <row r="785" ht="12.75" customHeight="1">
      <c r="A785" s="1">
        <v>1.0</v>
      </c>
      <c r="B785" s="2">
        <v>1130805.0</v>
      </c>
      <c r="C785" s="1" t="s">
        <v>1401</v>
      </c>
      <c r="D785" s="1" t="s">
        <v>1402</v>
      </c>
      <c r="E785" s="1">
        <v>1.0</v>
      </c>
      <c r="F785" s="1">
        <v>1.0</v>
      </c>
    </row>
    <row r="786" ht="12.75" customHeight="1">
      <c r="A786" s="1">
        <v>1.0</v>
      </c>
      <c r="B786" s="2">
        <v>90101.0</v>
      </c>
      <c r="C786" s="1" t="s">
        <v>438</v>
      </c>
      <c r="D786" s="1" t="s">
        <v>1403</v>
      </c>
      <c r="E786" s="1">
        <v>1.0</v>
      </c>
      <c r="F786" s="1">
        <v>1.0</v>
      </c>
    </row>
    <row r="787" ht="12.75" customHeight="1">
      <c r="A787" s="1">
        <v>1.0</v>
      </c>
      <c r="B787" s="2">
        <v>90102.0</v>
      </c>
      <c r="C787" s="1" t="s">
        <v>1404</v>
      </c>
      <c r="D787" s="1" t="s">
        <v>1405</v>
      </c>
      <c r="E787" s="1">
        <v>1.0</v>
      </c>
      <c r="F787" s="1">
        <v>1.0</v>
      </c>
    </row>
    <row r="788" ht="12.75" customHeight="1">
      <c r="A788" s="1">
        <v>1.0</v>
      </c>
      <c r="B788" s="2" t="s">
        <v>1406</v>
      </c>
      <c r="C788" s="1" t="s">
        <v>1407</v>
      </c>
      <c r="D788" s="1" t="s">
        <v>1408</v>
      </c>
      <c r="E788" s="1">
        <v>1.0</v>
      </c>
      <c r="F788" s="1">
        <v>1.0</v>
      </c>
    </row>
    <row r="789" ht="12.75" customHeight="1">
      <c r="A789" s="1">
        <v>1.0</v>
      </c>
      <c r="B789" s="2">
        <v>1130832.0</v>
      </c>
      <c r="C789" s="1" t="s">
        <v>1409</v>
      </c>
      <c r="D789" s="1" t="s">
        <v>1123</v>
      </c>
      <c r="E789" s="1">
        <v>1.0</v>
      </c>
      <c r="F789" s="1">
        <v>1.0</v>
      </c>
    </row>
    <row r="790" ht="12.75" customHeight="1">
      <c r="A790" s="1">
        <v>1.0</v>
      </c>
      <c r="B790" s="2" t="s">
        <v>1410</v>
      </c>
      <c r="C790" s="1" t="s">
        <v>1411</v>
      </c>
      <c r="D790" s="1" t="s">
        <v>1123</v>
      </c>
      <c r="E790" s="1">
        <v>1.0</v>
      </c>
      <c r="F790" s="1">
        <v>1.0</v>
      </c>
    </row>
    <row r="791" ht="12.75" customHeight="1">
      <c r="A791" s="1">
        <v>1.0</v>
      </c>
      <c r="B791" s="2" t="s">
        <v>1412</v>
      </c>
      <c r="C791" s="1" t="s">
        <v>1413</v>
      </c>
      <c r="D791" s="1" t="s">
        <v>1123</v>
      </c>
      <c r="E791" s="1">
        <v>1.0</v>
      </c>
      <c r="F791" s="1">
        <v>1.0</v>
      </c>
    </row>
    <row r="792" ht="12.75" customHeight="1">
      <c r="A792" s="1">
        <v>1.0</v>
      </c>
      <c r="B792" s="2" t="s">
        <v>1414</v>
      </c>
      <c r="C792" s="1" t="s">
        <v>1415</v>
      </c>
      <c r="D792" s="1" t="s">
        <v>1123</v>
      </c>
      <c r="E792" s="1">
        <v>1.0</v>
      </c>
      <c r="F792" s="1">
        <v>1.0</v>
      </c>
    </row>
    <row r="793" ht="12.75" customHeight="1">
      <c r="A793" s="1">
        <v>1.0</v>
      </c>
      <c r="B793" s="2" t="s">
        <v>1416</v>
      </c>
      <c r="C793" s="1" t="s">
        <v>1417</v>
      </c>
      <c r="D793" s="1" t="s">
        <v>1418</v>
      </c>
      <c r="E793" s="1">
        <v>1.0</v>
      </c>
      <c r="F793" s="1">
        <v>1.0</v>
      </c>
    </row>
    <row r="794" ht="12.75" customHeight="1">
      <c r="A794" s="1">
        <v>1.0</v>
      </c>
      <c r="B794" s="2" t="s">
        <v>1419</v>
      </c>
      <c r="C794" s="1" t="s">
        <v>1420</v>
      </c>
      <c r="D794" s="1" t="s">
        <v>1421</v>
      </c>
      <c r="E794" s="1">
        <v>1.0</v>
      </c>
      <c r="F794" s="1">
        <v>1.0</v>
      </c>
    </row>
    <row r="795" ht="12.75" customHeight="1">
      <c r="A795" s="1">
        <v>1.0</v>
      </c>
      <c r="B795" s="2" t="s">
        <v>1422</v>
      </c>
      <c r="C795" s="1" t="s">
        <v>1423</v>
      </c>
      <c r="D795" s="1" t="s">
        <v>1424</v>
      </c>
      <c r="E795" s="1">
        <v>1.0</v>
      </c>
      <c r="F795" s="1">
        <v>1.0</v>
      </c>
    </row>
    <row r="796" ht="12.75" customHeight="1">
      <c r="A796" s="1">
        <v>1.0</v>
      </c>
      <c r="B796" s="2">
        <v>3801969.0</v>
      </c>
      <c r="C796" s="1" t="s">
        <v>152</v>
      </c>
      <c r="D796" s="1" t="s">
        <v>1425</v>
      </c>
      <c r="E796" s="1">
        <v>1.0</v>
      </c>
      <c r="F796" s="1">
        <v>1.0</v>
      </c>
    </row>
    <row r="797" ht="12.75" customHeight="1">
      <c r="A797" s="1">
        <v>1.0</v>
      </c>
      <c r="B797" s="2">
        <v>3801952.0</v>
      </c>
      <c r="C797" s="1" t="s">
        <v>25</v>
      </c>
      <c r="D797" s="1" t="s">
        <v>1426</v>
      </c>
      <c r="E797" s="1">
        <v>1.0</v>
      </c>
      <c r="F797" s="1">
        <v>1.0</v>
      </c>
    </row>
    <row r="798" ht="12.75" customHeight="1">
      <c r="A798" s="1">
        <v>1.0</v>
      </c>
      <c r="B798" s="2" t="s">
        <v>1427</v>
      </c>
      <c r="C798" s="1" t="s">
        <v>1428</v>
      </c>
      <c r="D798" s="1" t="s">
        <v>1429</v>
      </c>
      <c r="E798" s="1">
        <v>1.0</v>
      </c>
      <c r="F798" s="1">
        <v>1.0</v>
      </c>
    </row>
    <row r="799" ht="12.75" customHeight="1">
      <c r="A799" s="1">
        <v>1.0</v>
      </c>
      <c r="B799" s="2">
        <v>6200304.0</v>
      </c>
      <c r="C799" s="1" t="s">
        <v>1377</v>
      </c>
      <c r="D799" s="1" t="s">
        <v>1430</v>
      </c>
      <c r="E799" s="1">
        <v>1.0</v>
      </c>
      <c r="F799" s="1">
        <v>1.0</v>
      </c>
    </row>
    <row r="800" ht="12.75" customHeight="1">
      <c r="A800" s="1">
        <v>1.0</v>
      </c>
      <c r="B800" s="2">
        <v>8270308.0</v>
      </c>
      <c r="C800" s="1" t="s">
        <v>580</v>
      </c>
      <c r="D800" s="1" t="s">
        <v>182</v>
      </c>
      <c r="E800" s="1">
        <v>1.0</v>
      </c>
      <c r="F800" s="1">
        <v>1.0</v>
      </c>
    </row>
    <row r="801" ht="12.75" customHeight="1">
      <c r="A801" s="1">
        <v>1.0</v>
      </c>
      <c r="B801" s="2" t="s">
        <v>1431</v>
      </c>
      <c r="C801" s="1" t="s">
        <v>1432</v>
      </c>
      <c r="D801" s="1" t="s">
        <v>1433</v>
      </c>
      <c r="E801" s="1">
        <v>1.0</v>
      </c>
      <c r="F801" s="1">
        <v>1.0</v>
      </c>
    </row>
    <row r="802" ht="12.75" customHeight="1">
      <c r="A802" s="1">
        <v>1.0</v>
      </c>
      <c r="B802" s="2" t="s">
        <v>1434</v>
      </c>
      <c r="C802" s="1" t="s">
        <v>1435</v>
      </c>
      <c r="D802" s="1" t="s">
        <v>1436</v>
      </c>
      <c r="E802" s="1">
        <v>1.0</v>
      </c>
      <c r="F802" s="1">
        <v>1.0</v>
      </c>
    </row>
    <row r="803" ht="12.75" customHeight="1">
      <c r="A803" s="1">
        <v>1.0</v>
      </c>
      <c r="B803" s="2" t="s">
        <v>1437</v>
      </c>
      <c r="C803" s="1" t="s">
        <v>312</v>
      </c>
      <c r="D803" s="1" t="s">
        <v>1438</v>
      </c>
      <c r="E803" s="1">
        <v>1.0</v>
      </c>
      <c r="F803" s="1">
        <v>1.0</v>
      </c>
    </row>
    <row r="804" ht="12.75" customHeight="1">
      <c r="A804" s="1">
        <v>1.0</v>
      </c>
      <c r="B804" s="2">
        <v>3801324.0</v>
      </c>
      <c r="C804" s="1" t="s">
        <v>312</v>
      </c>
      <c r="D804" s="1" t="s">
        <v>1439</v>
      </c>
      <c r="E804" s="1">
        <v>1.0</v>
      </c>
      <c r="F804" s="1">
        <v>1.0</v>
      </c>
    </row>
    <row r="805" ht="12.75" customHeight="1">
      <c r="A805" s="1">
        <v>1.0</v>
      </c>
      <c r="B805" s="2">
        <v>3801323.0</v>
      </c>
      <c r="C805" s="1" t="s">
        <v>312</v>
      </c>
      <c r="D805" s="1" t="s">
        <v>1440</v>
      </c>
      <c r="E805" s="1">
        <v>1.0</v>
      </c>
      <c r="F805" s="1">
        <v>1.0</v>
      </c>
    </row>
    <row r="806" ht="12.75" customHeight="1">
      <c r="A806" s="1">
        <v>1.0</v>
      </c>
      <c r="B806" s="2" t="s">
        <v>1441</v>
      </c>
      <c r="C806" s="1" t="s">
        <v>1442</v>
      </c>
      <c r="D806" s="1" t="s">
        <v>1443</v>
      </c>
      <c r="E806" s="1">
        <v>1.0</v>
      </c>
      <c r="F806" s="1">
        <v>1.0</v>
      </c>
    </row>
    <row r="807" ht="12.75" customHeight="1">
      <c r="A807" s="1">
        <v>1.0</v>
      </c>
      <c r="B807" s="2">
        <v>1130824.0</v>
      </c>
      <c r="C807" s="1" t="s">
        <v>1444</v>
      </c>
      <c r="D807" s="1" t="s">
        <v>1445</v>
      </c>
      <c r="E807" s="1">
        <v>1.0</v>
      </c>
      <c r="F807" s="1">
        <v>1.0</v>
      </c>
    </row>
    <row r="808" ht="12.75" customHeight="1">
      <c r="A808" s="1">
        <v>1.0</v>
      </c>
      <c r="B808" s="2" t="s">
        <v>1446</v>
      </c>
      <c r="C808" s="1" t="s">
        <v>1447</v>
      </c>
      <c r="D808" s="1" t="s">
        <v>286</v>
      </c>
      <c r="E808" s="1">
        <v>1.0</v>
      </c>
      <c r="F808" s="1">
        <v>1.0</v>
      </c>
    </row>
    <row r="809" ht="12.75" customHeight="1">
      <c r="A809" s="1">
        <v>1.0</v>
      </c>
      <c r="B809" s="2" t="s">
        <v>1448</v>
      </c>
      <c r="C809" s="1" t="s">
        <v>1449</v>
      </c>
      <c r="D809" s="1" t="s">
        <v>1450</v>
      </c>
      <c r="E809" s="1">
        <v>1.0</v>
      </c>
      <c r="F809" s="1">
        <v>1.0</v>
      </c>
    </row>
    <row r="810" ht="12.75" customHeight="1">
      <c r="A810" s="1">
        <v>1.0</v>
      </c>
      <c r="B810" s="2">
        <v>1130816.0</v>
      </c>
      <c r="C810" s="1" t="s">
        <v>1451</v>
      </c>
      <c r="D810" s="1" t="s">
        <v>1291</v>
      </c>
      <c r="E810" s="1">
        <v>1.0</v>
      </c>
      <c r="F810" s="1">
        <v>1.0</v>
      </c>
    </row>
    <row r="811" ht="12.75" customHeight="1">
      <c r="A811" s="1">
        <v>1.0</v>
      </c>
      <c r="B811" s="2" t="s">
        <v>1452</v>
      </c>
      <c r="C811" s="1" t="s">
        <v>1453</v>
      </c>
      <c r="D811" s="1" t="s">
        <v>1454</v>
      </c>
      <c r="E811" s="1">
        <v>1.0</v>
      </c>
      <c r="F811" s="1">
        <v>1.0</v>
      </c>
    </row>
    <row r="812" ht="12.75" customHeight="1">
      <c r="A812" s="1">
        <v>1.0</v>
      </c>
      <c r="B812" s="2" t="s">
        <v>1455</v>
      </c>
      <c r="C812" s="1" t="s">
        <v>1456</v>
      </c>
      <c r="D812" s="1" t="s">
        <v>1457</v>
      </c>
      <c r="E812" s="1">
        <v>1.0</v>
      </c>
      <c r="F812" s="1">
        <v>1.0</v>
      </c>
    </row>
    <row r="813" ht="12.75" customHeight="1">
      <c r="A813" s="1">
        <v>1.0</v>
      </c>
      <c r="B813" s="2" t="s">
        <v>1458</v>
      </c>
      <c r="C813" s="1" t="s">
        <v>1459</v>
      </c>
      <c r="D813" s="1" t="s">
        <v>1460</v>
      </c>
      <c r="E813" s="1">
        <v>1.0</v>
      </c>
      <c r="F813" s="1">
        <v>1.0</v>
      </c>
    </row>
    <row r="814" ht="12.75" customHeight="1">
      <c r="A814" s="1">
        <v>1.0</v>
      </c>
      <c r="B814" s="2">
        <v>1130845.0</v>
      </c>
      <c r="C814" s="1" t="s">
        <v>1461</v>
      </c>
      <c r="D814" s="1" t="s">
        <v>1462</v>
      </c>
      <c r="E814" s="1">
        <v>1.0</v>
      </c>
      <c r="F814" s="1">
        <v>1.0</v>
      </c>
    </row>
    <row r="815" ht="12.75" customHeight="1">
      <c r="A815" s="1">
        <v>1.0</v>
      </c>
      <c r="B815" s="2" t="s">
        <v>1463</v>
      </c>
      <c r="C815" s="1" t="s">
        <v>384</v>
      </c>
      <c r="D815" s="1" t="s">
        <v>341</v>
      </c>
      <c r="E815" s="1">
        <v>1.0</v>
      </c>
      <c r="F815" s="1">
        <v>1.0</v>
      </c>
    </row>
    <row r="816" ht="12.75" customHeight="1">
      <c r="A816" s="1">
        <v>1.0</v>
      </c>
      <c r="B816" s="2" t="s">
        <v>1464</v>
      </c>
      <c r="C816" s="1" t="s">
        <v>1465</v>
      </c>
      <c r="D816" s="1" t="s">
        <v>1466</v>
      </c>
      <c r="E816" s="1">
        <v>1.0</v>
      </c>
      <c r="F816" s="1">
        <v>1.0</v>
      </c>
    </row>
    <row r="817" ht="12.75" customHeight="1">
      <c r="A817" s="1">
        <v>1.0</v>
      </c>
      <c r="B817" s="2">
        <v>8051008.0</v>
      </c>
      <c r="C817" s="1" t="s">
        <v>6</v>
      </c>
      <c r="D817" s="1" t="s">
        <v>1467</v>
      </c>
      <c r="E817" s="1">
        <v>1.0</v>
      </c>
      <c r="F817" s="1">
        <v>1.0</v>
      </c>
    </row>
    <row r="818" ht="12.75" customHeight="1">
      <c r="A818" s="1">
        <v>1.0</v>
      </c>
      <c r="B818" s="2" t="s">
        <v>1468</v>
      </c>
      <c r="C818" s="1" t="s">
        <v>1469</v>
      </c>
      <c r="D818" s="1" t="s">
        <v>1470</v>
      </c>
      <c r="E818" s="1">
        <v>1.0</v>
      </c>
      <c r="F818" s="1">
        <v>1.0</v>
      </c>
    </row>
    <row r="819" ht="12.75" customHeight="1">
      <c r="A819" s="1">
        <v>1.0</v>
      </c>
      <c r="B819" s="2" t="s">
        <v>1471</v>
      </c>
      <c r="C819" s="1" t="s">
        <v>1472</v>
      </c>
      <c r="D819" s="1" t="s">
        <v>1473</v>
      </c>
      <c r="E819" s="1">
        <v>1.0</v>
      </c>
      <c r="F819" s="1">
        <v>1.0</v>
      </c>
    </row>
    <row r="820" ht="12.75" customHeight="1">
      <c r="A820" s="1">
        <v>1.0</v>
      </c>
      <c r="B820" s="2" t="s">
        <v>1474</v>
      </c>
      <c r="C820" s="1" t="s">
        <v>1475</v>
      </c>
      <c r="D820" s="1" t="s">
        <v>1476</v>
      </c>
      <c r="E820" s="1">
        <v>1.0</v>
      </c>
      <c r="F820" s="1">
        <v>1.0</v>
      </c>
    </row>
    <row r="821" ht="12.75" customHeight="1">
      <c r="A821" s="1">
        <v>1.0</v>
      </c>
      <c r="B821" s="2" t="s">
        <v>1477</v>
      </c>
      <c r="C821" s="1" t="s">
        <v>1478</v>
      </c>
      <c r="D821" s="1" t="s">
        <v>1479</v>
      </c>
      <c r="E821" s="1">
        <v>1.0</v>
      </c>
      <c r="F821" s="1">
        <v>1.0</v>
      </c>
    </row>
    <row r="822" ht="12.75" customHeight="1">
      <c r="A822" s="1">
        <v>1.0</v>
      </c>
      <c r="B822" s="2" t="s">
        <v>1480</v>
      </c>
      <c r="C822" s="1" t="s">
        <v>1481</v>
      </c>
      <c r="D822" s="1" t="s">
        <v>1482</v>
      </c>
      <c r="E822" s="1">
        <v>1.0</v>
      </c>
      <c r="F822" s="1">
        <v>1.0</v>
      </c>
    </row>
    <row r="823" ht="12.75" customHeight="1">
      <c r="A823" s="1">
        <v>1.0</v>
      </c>
      <c r="B823" s="2" t="s">
        <v>1483</v>
      </c>
      <c r="C823" s="1" t="s">
        <v>1484</v>
      </c>
      <c r="D823" s="1" t="s">
        <v>1353</v>
      </c>
      <c r="E823" s="1">
        <v>1.0</v>
      </c>
      <c r="F823" s="1">
        <v>1.0</v>
      </c>
    </row>
    <row r="824" ht="12.75" customHeight="1">
      <c r="A824" s="1">
        <v>1.0</v>
      </c>
      <c r="B824" s="2" t="s">
        <v>1485</v>
      </c>
      <c r="C824" s="1" t="s">
        <v>1486</v>
      </c>
      <c r="D824" s="1" t="s">
        <v>1360</v>
      </c>
      <c r="E824" s="1">
        <v>1.0</v>
      </c>
      <c r="F824" s="1">
        <v>1.0</v>
      </c>
    </row>
    <row r="825" ht="12.75" customHeight="1">
      <c r="A825" s="1">
        <v>1.0</v>
      </c>
      <c r="B825" s="2" t="s">
        <v>1487</v>
      </c>
      <c r="C825" s="1" t="s">
        <v>1488</v>
      </c>
      <c r="D825" s="1" t="s">
        <v>1360</v>
      </c>
      <c r="E825" s="1">
        <v>1.0</v>
      </c>
      <c r="F825" s="1">
        <v>1.0</v>
      </c>
    </row>
    <row r="826" ht="12.75" customHeight="1">
      <c r="A826" s="1">
        <v>1.0</v>
      </c>
      <c r="B826" s="2" t="s">
        <v>1489</v>
      </c>
      <c r="C826" s="1" t="s">
        <v>1490</v>
      </c>
      <c r="D826" s="1" t="s">
        <v>1360</v>
      </c>
      <c r="E826" s="1">
        <v>1.0</v>
      </c>
      <c r="F826" s="1">
        <v>1.0</v>
      </c>
    </row>
    <row r="827" ht="12.75" customHeight="1">
      <c r="A827" s="1">
        <v>1.0</v>
      </c>
      <c r="B827" s="2" t="s">
        <v>1491</v>
      </c>
      <c r="C827" s="1" t="s">
        <v>1492</v>
      </c>
      <c r="D827" s="1" t="s">
        <v>1360</v>
      </c>
      <c r="E827" s="1">
        <v>1.0</v>
      </c>
      <c r="F827" s="1">
        <v>1.0</v>
      </c>
    </row>
    <row r="828" ht="12.75" customHeight="1">
      <c r="A828" s="1">
        <v>1.0</v>
      </c>
      <c r="B828" s="2" t="s">
        <v>1493</v>
      </c>
      <c r="C828" s="1" t="s">
        <v>1494</v>
      </c>
      <c r="D828" s="1" t="s">
        <v>1360</v>
      </c>
      <c r="E828" s="1">
        <v>1.0</v>
      </c>
      <c r="F828" s="1">
        <v>1.0</v>
      </c>
    </row>
    <row r="829" ht="12.75" customHeight="1">
      <c r="A829" s="1">
        <v>1.0</v>
      </c>
      <c r="B829" s="2" t="s">
        <v>1495</v>
      </c>
      <c r="C829" s="1" t="s">
        <v>1496</v>
      </c>
      <c r="D829" s="1" t="s">
        <v>1497</v>
      </c>
      <c r="E829" s="1">
        <v>1.0</v>
      </c>
      <c r="F829" s="1">
        <v>1.0</v>
      </c>
    </row>
    <row r="830" ht="12.75" customHeight="1">
      <c r="A830" s="1">
        <v>1.0</v>
      </c>
      <c r="B830" s="2" t="s">
        <v>1498</v>
      </c>
      <c r="C830" s="1" t="s">
        <v>1499</v>
      </c>
      <c r="D830" s="1" t="s">
        <v>1500</v>
      </c>
      <c r="E830" s="1">
        <v>1.0</v>
      </c>
      <c r="F830" s="1">
        <v>1.0</v>
      </c>
    </row>
    <row r="831" ht="12.75" customHeight="1">
      <c r="A831" s="1">
        <v>1.0</v>
      </c>
      <c r="B831" s="2" t="s">
        <v>1501</v>
      </c>
      <c r="C831" s="1" t="s">
        <v>1502</v>
      </c>
      <c r="D831" s="1" t="s">
        <v>1503</v>
      </c>
      <c r="E831" s="1">
        <v>1.0</v>
      </c>
      <c r="F831" s="1">
        <v>1.0</v>
      </c>
    </row>
    <row r="832" ht="12.75" customHeight="1">
      <c r="A832" s="1">
        <v>1.0</v>
      </c>
      <c r="B832" s="2" t="s">
        <v>1504</v>
      </c>
      <c r="C832" s="1" t="s">
        <v>1505</v>
      </c>
      <c r="D832" s="1" t="s">
        <v>1503</v>
      </c>
      <c r="E832" s="1">
        <v>1.0</v>
      </c>
      <c r="F832" s="1">
        <v>1.0</v>
      </c>
    </row>
    <row r="833" ht="12.75" customHeight="1">
      <c r="A833" s="1">
        <v>1.0</v>
      </c>
      <c r="B833" s="2" t="s">
        <v>1506</v>
      </c>
      <c r="C833" s="1" t="s">
        <v>1507</v>
      </c>
      <c r="D833" s="1" t="s">
        <v>1503</v>
      </c>
      <c r="E833" s="1">
        <v>1.0</v>
      </c>
      <c r="F833" s="1">
        <v>1.0</v>
      </c>
    </row>
    <row r="834" ht="12.75" customHeight="1">
      <c r="A834" s="1">
        <v>1.0</v>
      </c>
      <c r="B834" s="2" t="s">
        <v>1508</v>
      </c>
      <c r="C834" s="1" t="s">
        <v>1509</v>
      </c>
      <c r="D834" s="1" t="s">
        <v>1503</v>
      </c>
      <c r="E834" s="1">
        <v>1.0</v>
      </c>
      <c r="F834" s="1">
        <v>1.0</v>
      </c>
    </row>
    <row r="835" ht="12.75" customHeight="1">
      <c r="A835" s="1">
        <v>1.0</v>
      </c>
      <c r="B835" s="2" t="s">
        <v>1510</v>
      </c>
      <c r="C835" s="1" t="s">
        <v>1511</v>
      </c>
      <c r="D835" s="1" t="s">
        <v>1503</v>
      </c>
      <c r="E835" s="1">
        <v>1.0</v>
      </c>
      <c r="F835" s="1">
        <v>1.0</v>
      </c>
    </row>
    <row r="836" ht="12.75" customHeight="1">
      <c r="A836" s="1">
        <v>1.0</v>
      </c>
      <c r="B836" s="2">
        <v>3802066.0</v>
      </c>
      <c r="C836" s="1" t="s">
        <v>25</v>
      </c>
      <c r="D836" s="1" t="s">
        <v>1512</v>
      </c>
      <c r="E836" s="1">
        <v>1.0</v>
      </c>
      <c r="F836" s="1">
        <v>2.0</v>
      </c>
    </row>
    <row r="837" ht="12.75" customHeight="1">
      <c r="A837" s="1">
        <v>1.0</v>
      </c>
      <c r="B837" s="2">
        <v>3801990.0</v>
      </c>
      <c r="C837" s="1" t="s">
        <v>1513</v>
      </c>
      <c r="D837" s="1" t="s">
        <v>388</v>
      </c>
      <c r="E837" s="1">
        <v>1.0</v>
      </c>
      <c r="F837" s="1">
        <v>4.0</v>
      </c>
    </row>
    <row r="838" ht="12.75" customHeight="1">
      <c r="A838" s="1">
        <v>1.0</v>
      </c>
      <c r="B838" s="2" t="s">
        <v>1514</v>
      </c>
      <c r="C838" s="1" t="s">
        <v>848</v>
      </c>
      <c r="D838" s="1" t="s">
        <v>1515</v>
      </c>
      <c r="E838" s="1">
        <v>1.0</v>
      </c>
      <c r="F838" s="1">
        <v>4.0</v>
      </c>
    </row>
    <row r="839" ht="12.75" customHeight="1">
      <c r="A839" s="1">
        <v>1.0</v>
      </c>
      <c r="B839" s="2" t="s">
        <v>1516</v>
      </c>
      <c r="C839" s="1" t="s">
        <v>1517</v>
      </c>
      <c r="D839" s="1" t="s">
        <v>1518</v>
      </c>
      <c r="E839" s="1">
        <v>1.0</v>
      </c>
      <c r="F839" s="1">
        <v>4.0</v>
      </c>
    </row>
    <row r="840" ht="12.75" customHeight="1">
      <c r="A840" s="1">
        <v>1.0</v>
      </c>
      <c r="B840" s="2" t="s">
        <v>1519</v>
      </c>
      <c r="C840" s="1" t="s">
        <v>143</v>
      </c>
      <c r="D840" s="1" t="s">
        <v>1014</v>
      </c>
      <c r="E840" s="1">
        <v>1.0</v>
      </c>
      <c r="F840" s="1">
        <v>4.0</v>
      </c>
    </row>
    <row r="841" ht="12.75" customHeight="1">
      <c r="A841" s="1">
        <v>1.0</v>
      </c>
      <c r="B841" s="2" t="s">
        <v>1520</v>
      </c>
      <c r="C841" s="1" t="s">
        <v>1521</v>
      </c>
      <c r="D841" s="1" t="s">
        <v>1522</v>
      </c>
      <c r="E841" s="1">
        <v>1.0</v>
      </c>
      <c r="F841" s="1">
        <v>4.0</v>
      </c>
    </row>
    <row r="842" ht="12.75" customHeight="1">
      <c r="A842" s="1">
        <v>1.0</v>
      </c>
      <c r="B842" s="2" t="s">
        <v>1523</v>
      </c>
      <c r="C842" s="1" t="s">
        <v>1524</v>
      </c>
      <c r="D842" s="1" t="s">
        <v>156</v>
      </c>
      <c r="E842" s="1">
        <v>1.0</v>
      </c>
      <c r="F842" s="1">
        <v>7.0</v>
      </c>
    </row>
    <row r="843" ht="12.75" customHeight="1">
      <c r="A843" s="1">
        <v>1.0</v>
      </c>
      <c r="B843" s="2" t="s">
        <v>1525</v>
      </c>
      <c r="C843" s="1" t="s">
        <v>447</v>
      </c>
      <c r="D843" s="1" t="s">
        <v>1526</v>
      </c>
      <c r="E843" s="1">
        <v>1.0</v>
      </c>
      <c r="F843" s="1">
        <v>7.0</v>
      </c>
    </row>
    <row r="844" ht="12.75" customHeight="1">
      <c r="A844" s="1">
        <v>1.0</v>
      </c>
      <c r="B844" s="2">
        <v>3801531.0</v>
      </c>
      <c r="C844" s="1" t="s">
        <v>47</v>
      </c>
      <c r="D844" s="1" t="s">
        <v>1527</v>
      </c>
      <c r="E844" s="1">
        <v>1.0</v>
      </c>
      <c r="F844" s="1">
        <v>7.0</v>
      </c>
    </row>
    <row r="845" ht="12.75" customHeight="1">
      <c r="A845" s="1">
        <v>1.0</v>
      </c>
      <c r="B845" s="2">
        <v>3801912.0</v>
      </c>
      <c r="C845" s="1" t="s">
        <v>1528</v>
      </c>
      <c r="D845" s="1" t="s">
        <v>480</v>
      </c>
      <c r="E845" s="1">
        <v>1.0</v>
      </c>
      <c r="F845" s="1">
        <v>7.0</v>
      </c>
    </row>
    <row r="846" ht="12.75" customHeight="1">
      <c r="A846" s="1">
        <v>1.0</v>
      </c>
      <c r="B846" s="2" t="s">
        <v>1529</v>
      </c>
      <c r="C846" s="1" t="s">
        <v>1530</v>
      </c>
      <c r="D846" s="1" t="s">
        <v>1531</v>
      </c>
      <c r="E846" s="1">
        <v>1.0</v>
      </c>
      <c r="F846" s="1">
        <v>7.0</v>
      </c>
    </row>
    <row r="847" ht="12.75" customHeight="1">
      <c r="A847" s="1">
        <v>1.0</v>
      </c>
      <c r="B847" s="2">
        <v>3802067.0</v>
      </c>
      <c r="C847" s="1" t="s">
        <v>25</v>
      </c>
      <c r="D847" s="1" t="s">
        <v>1532</v>
      </c>
      <c r="E847" s="1">
        <v>1.0</v>
      </c>
      <c r="F847" s="1">
        <v>7.0</v>
      </c>
    </row>
    <row r="848" ht="12.75" customHeight="1">
      <c r="A848" s="1">
        <v>1.0</v>
      </c>
      <c r="B848" s="2" t="s">
        <v>1533</v>
      </c>
      <c r="C848" s="1" t="s">
        <v>62</v>
      </c>
      <c r="D848" s="1" t="s">
        <v>1534</v>
      </c>
      <c r="E848" s="1">
        <v>1.0</v>
      </c>
      <c r="F848" s="1">
        <v>7.0</v>
      </c>
    </row>
    <row r="849" ht="12.75" customHeight="1">
      <c r="A849" s="1">
        <v>1.0</v>
      </c>
      <c r="B849" s="2" t="s">
        <v>1535</v>
      </c>
      <c r="C849" s="1" t="s">
        <v>1536</v>
      </c>
      <c r="D849" s="1" t="s">
        <v>1097</v>
      </c>
      <c r="E849" s="1">
        <v>1.0</v>
      </c>
      <c r="F849" s="1">
        <v>7.0</v>
      </c>
    </row>
    <row r="850" ht="12.75" customHeight="1">
      <c r="A850" s="1">
        <v>1.0</v>
      </c>
      <c r="B850" s="2" t="s">
        <v>1537</v>
      </c>
      <c r="C850" s="1" t="s">
        <v>1538</v>
      </c>
      <c r="D850" s="1" t="s">
        <v>1123</v>
      </c>
      <c r="E850" s="1">
        <v>1.0</v>
      </c>
      <c r="F850" s="1">
        <v>7.0</v>
      </c>
    </row>
    <row r="851" ht="12.75" customHeight="1">
      <c r="A851" s="1">
        <v>1.0</v>
      </c>
      <c r="B851" s="2" t="s">
        <v>1539</v>
      </c>
      <c r="C851" s="1" t="s">
        <v>1540</v>
      </c>
      <c r="D851" s="1" t="s">
        <v>1123</v>
      </c>
      <c r="E851" s="1">
        <v>1.0</v>
      </c>
      <c r="F851" s="1">
        <v>7.0</v>
      </c>
    </row>
    <row r="852" ht="12.75" customHeight="1">
      <c r="A852" s="1">
        <v>1.0</v>
      </c>
      <c r="B852" s="2">
        <v>3801967.0</v>
      </c>
      <c r="C852" s="1" t="s">
        <v>25</v>
      </c>
      <c r="D852" s="1" t="s">
        <v>1541</v>
      </c>
      <c r="E852" s="1">
        <v>1.0</v>
      </c>
      <c r="F852" s="1">
        <v>7.0</v>
      </c>
    </row>
    <row r="853" ht="12.75" customHeight="1">
      <c r="A853" s="1">
        <v>1.0</v>
      </c>
      <c r="B853" s="2" t="s">
        <v>1542</v>
      </c>
      <c r="C853" s="1" t="s">
        <v>325</v>
      </c>
      <c r="D853" s="1" t="s">
        <v>1429</v>
      </c>
      <c r="E853" s="1">
        <v>1.0</v>
      </c>
      <c r="F853" s="1">
        <v>7.0</v>
      </c>
    </row>
    <row r="854" ht="12.75" customHeight="1">
      <c r="A854" s="1">
        <v>1.0</v>
      </c>
      <c r="B854" s="2" t="s">
        <v>1543</v>
      </c>
      <c r="C854" s="1" t="s">
        <v>1544</v>
      </c>
      <c r="D854" s="1" t="s">
        <v>1545</v>
      </c>
      <c r="E854" s="1">
        <v>1.0</v>
      </c>
      <c r="F854" s="1">
        <v>7.0</v>
      </c>
    </row>
    <row r="855" ht="12.75" customHeight="1">
      <c r="A855" s="1">
        <v>1.0</v>
      </c>
      <c r="B855" s="2" t="s">
        <v>1546</v>
      </c>
      <c r="C855" s="1" t="s">
        <v>1547</v>
      </c>
      <c r="D855" s="1" t="s">
        <v>1436</v>
      </c>
      <c r="E855" s="1">
        <v>1.0</v>
      </c>
      <c r="F855" s="1">
        <v>7.0</v>
      </c>
    </row>
    <row r="856" ht="12.75" customHeight="1">
      <c r="A856" s="1">
        <v>1.0</v>
      </c>
      <c r="B856" s="2" t="s">
        <v>1548</v>
      </c>
      <c r="C856" s="1" t="s">
        <v>158</v>
      </c>
      <c r="D856" s="1" t="s">
        <v>588</v>
      </c>
      <c r="E856" s="1">
        <v>1.0</v>
      </c>
      <c r="F856" s="1">
        <v>7.0</v>
      </c>
    </row>
    <row r="857" ht="12.75" customHeight="1">
      <c r="A857" s="1">
        <v>1.0</v>
      </c>
      <c r="B857" s="2" t="s">
        <v>1549</v>
      </c>
      <c r="C857" s="1" t="s">
        <v>288</v>
      </c>
      <c r="D857" s="1" t="s">
        <v>1550</v>
      </c>
      <c r="E857" s="1">
        <v>1.0</v>
      </c>
      <c r="F857" s="1">
        <v>7.0</v>
      </c>
    </row>
    <row r="858" ht="12.75" customHeight="1">
      <c r="A858" s="1">
        <v>1.0</v>
      </c>
      <c r="B858" s="2" t="s">
        <v>1551</v>
      </c>
      <c r="C858" s="1" t="s">
        <v>384</v>
      </c>
      <c r="D858" s="1" t="s">
        <v>1552</v>
      </c>
      <c r="E858" s="1">
        <v>1.0</v>
      </c>
      <c r="F858" s="1">
        <v>7.0</v>
      </c>
    </row>
    <row r="859" ht="12.75" customHeight="1">
      <c r="A859" s="1">
        <v>1.0</v>
      </c>
      <c r="B859" s="2" t="s">
        <v>1553</v>
      </c>
      <c r="C859" s="1" t="s">
        <v>1554</v>
      </c>
      <c r="D859" s="1" t="s">
        <v>1555</v>
      </c>
      <c r="E859" s="1">
        <v>1.0</v>
      </c>
      <c r="F859" s="1">
        <v>7.0</v>
      </c>
    </row>
    <row r="860" ht="12.75" customHeight="1">
      <c r="A860" s="1">
        <v>1.0</v>
      </c>
      <c r="B860" s="2" t="s">
        <v>1556</v>
      </c>
      <c r="C860" s="1" t="s">
        <v>1557</v>
      </c>
      <c r="D860" s="1" t="s">
        <v>1558</v>
      </c>
      <c r="E860" s="1">
        <v>1.0</v>
      </c>
      <c r="F860" s="1">
        <v>7.0</v>
      </c>
    </row>
    <row r="861" ht="12.75" customHeight="1">
      <c r="A861" s="1">
        <v>1.0</v>
      </c>
      <c r="B861" s="2" t="s">
        <v>1559</v>
      </c>
      <c r="C861" s="1" t="s">
        <v>1560</v>
      </c>
      <c r="D861" s="1" t="s">
        <v>1561</v>
      </c>
      <c r="E861" s="1">
        <v>1.0</v>
      </c>
      <c r="F861" s="1">
        <v>7.0</v>
      </c>
    </row>
    <row r="862" ht="12.75" customHeight="1">
      <c r="A862" s="1">
        <v>1.0</v>
      </c>
      <c r="B862" s="2">
        <v>3801909.0</v>
      </c>
      <c r="C862" s="1" t="s">
        <v>1562</v>
      </c>
      <c r="D862" s="1" t="s">
        <v>1563</v>
      </c>
      <c r="E862" s="1">
        <v>1.0</v>
      </c>
      <c r="F862" s="1">
        <v>7.0</v>
      </c>
    </row>
    <row r="863" ht="12.75" customHeight="1">
      <c r="A863" s="1">
        <v>1.0</v>
      </c>
      <c r="B863" s="2" t="s">
        <v>1564</v>
      </c>
      <c r="C863" s="1" t="s">
        <v>25</v>
      </c>
      <c r="D863" s="1" t="s">
        <v>248</v>
      </c>
      <c r="E863" s="1">
        <v>1.0</v>
      </c>
      <c r="F863" s="1">
        <v>7.0</v>
      </c>
    </row>
    <row r="864" ht="12.75" customHeight="1">
      <c r="A864" s="1">
        <v>1.0</v>
      </c>
      <c r="B864" s="2" t="s">
        <v>1565</v>
      </c>
      <c r="C864" s="1" t="s">
        <v>1566</v>
      </c>
      <c r="D864" s="1" t="s">
        <v>1567</v>
      </c>
      <c r="E864" s="1">
        <v>1.0</v>
      </c>
      <c r="F864" s="1">
        <v>8.0</v>
      </c>
    </row>
    <row r="865" ht="12.75" customHeight="1">
      <c r="A865" s="1">
        <v>1.0</v>
      </c>
      <c r="B865" s="2" t="s">
        <v>1568</v>
      </c>
      <c r="C865" s="1" t="s">
        <v>1569</v>
      </c>
      <c r="D865" s="1" t="s">
        <v>1570</v>
      </c>
      <c r="E865" s="1">
        <v>1.0</v>
      </c>
      <c r="F865" s="1">
        <v>8.0</v>
      </c>
    </row>
    <row r="866" ht="12.75" customHeight="1">
      <c r="A866" s="1">
        <v>1.0</v>
      </c>
      <c r="B866" s="2" t="s">
        <v>1571</v>
      </c>
      <c r="C866" s="1" t="s">
        <v>1572</v>
      </c>
      <c r="D866" s="1" t="s">
        <v>1573</v>
      </c>
      <c r="E866" s="1">
        <v>1.0</v>
      </c>
      <c r="F866" s="1">
        <v>8.0</v>
      </c>
    </row>
    <row r="867" ht="12.75" customHeight="1">
      <c r="A867" s="1">
        <v>1.0</v>
      </c>
      <c r="B867" s="2" t="s">
        <v>1574</v>
      </c>
      <c r="C867" s="1" t="s">
        <v>1575</v>
      </c>
      <c r="D867" s="1" t="s">
        <v>1576</v>
      </c>
      <c r="E867" s="1">
        <v>1.0</v>
      </c>
      <c r="F867" s="1">
        <v>8.0</v>
      </c>
    </row>
    <row r="868" ht="12.75" customHeight="1">
      <c r="A868" s="1">
        <v>1.0</v>
      </c>
      <c r="B868" s="2">
        <v>1440310.0</v>
      </c>
      <c r="C868" s="1" t="s">
        <v>597</v>
      </c>
      <c r="D868" s="1" t="s">
        <v>1577</v>
      </c>
      <c r="E868" s="1">
        <v>1.0</v>
      </c>
      <c r="F868" s="1">
        <v>8.0</v>
      </c>
    </row>
    <row r="869" ht="12.75" customHeight="1">
      <c r="A869" s="1">
        <v>1.0</v>
      </c>
      <c r="B869" s="2" t="s">
        <v>1578</v>
      </c>
      <c r="C869" s="1" t="s">
        <v>1579</v>
      </c>
      <c r="D869" s="1" t="s">
        <v>1580</v>
      </c>
      <c r="E869" s="1">
        <v>1.0</v>
      </c>
      <c r="F869" s="1">
        <v>8.0</v>
      </c>
    </row>
    <row r="870" ht="12.75" customHeight="1">
      <c r="A870" s="1">
        <v>1.0</v>
      </c>
      <c r="B870" s="2" t="s">
        <v>1581</v>
      </c>
      <c r="C870" s="1" t="s">
        <v>1582</v>
      </c>
      <c r="D870" s="1" t="s">
        <v>1583</v>
      </c>
      <c r="E870" s="1">
        <v>1.0</v>
      </c>
      <c r="F870" s="1">
        <v>8.0</v>
      </c>
    </row>
    <row r="871" ht="12.75" customHeight="1">
      <c r="A871" s="1">
        <v>1.0</v>
      </c>
      <c r="B871" s="2">
        <v>2990005.0</v>
      </c>
      <c r="C871" s="1" t="s">
        <v>333</v>
      </c>
      <c r="D871" s="1" t="s">
        <v>1584</v>
      </c>
      <c r="E871" s="1">
        <v>1.0</v>
      </c>
      <c r="F871" s="1">
        <v>8.0</v>
      </c>
    </row>
    <row r="872" ht="12.75" customHeight="1">
      <c r="A872" s="1">
        <v>1.0</v>
      </c>
      <c r="B872" s="2" t="s">
        <v>1585</v>
      </c>
      <c r="C872" s="1" t="s">
        <v>1586</v>
      </c>
      <c r="D872" s="1" t="s">
        <v>1587</v>
      </c>
      <c r="E872" s="1">
        <v>1.0</v>
      </c>
      <c r="F872" s="1">
        <v>8.0</v>
      </c>
    </row>
    <row r="873" ht="12.75" customHeight="1">
      <c r="A873" s="1">
        <v>1.0</v>
      </c>
      <c r="B873" s="2" t="s">
        <v>1588</v>
      </c>
      <c r="C873" s="1" t="s">
        <v>1589</v>
      </c>
      <c r="D873" s="1" t="s">
        <v>1590</v>
      </c>
      <c r="E873" s="1">
        <v>1.0</v>
      </c>
      <c r="F873" s="1">
        <v>8.0</v>
      </c>
    </row>
    <row r="874" ht="12.75" customHeight="1">
      <c r="A874" s="1">
        <v>1.0</v>
      </c>
      <c r="B874" s="2">
        <v>562854.0</v>
      </c>
      <c r="C874" s="1" t="s">
        <v>1591</v>
      </c>
      <c r="D874" s="1" t="s">
        <v>1592</v>
      </c>
      <c r="E874" s="1">
        <v>1.0</v>
      </c>
      <c r="F874" s="1">
        <v>8.0</v>
      </c>
    </row>
    <row r="875" ht="12.75" customHeight="1">
      <c r="A875" s="1">
        <v>1.0</v>
      </c>
      <c r="B875" s="2" t="s">
        <v>1593</v>
      </c>
      <c r="C875" s="1" t="s">
        <v>1594</v>
      </c>
      <c r="D875" s="1" t="s">
        <v>1592</v>
      </c>
      <c r="E875" s="1">
        <v>1.0</v>
      </c>
      <c r="F875" s="1">
        <v>8.0</v>
      </c>
    </row>
    <row r="876" ht="12.75" customHeight="1">
      <c r="A876" s="1">
        <v>1.0</v>
      </c>
      <c r="B876" s="2" t="s">
        <v>1595</v>
      </c>
      <c r="C876" s="1" t="s">
        <v>1596</v>
      </c>
      <c r="D876" s="1" t="s">
        <v>1597</v>
      </c>
      <c r="E876" s="1">
        <v>1.0</v>
      </c>
      <c r="F876" s="1">
        <v>8.0</v>
      </c>
    </row>
    <row r="877" ht="12.75" customHeight="1">
      <c r="A877" s="1">
        <v>1.0</v>
      </c>
      <c r="B877" s="2" t="s">
        <v>1598</v>
      </c>
      <c r="C877" s="1" t="s">
        <v>87</v>
      </c>
      <c r="D877" s="1" t="s">
        <v>1599</v>
      </c>
      <c r="E877" s="1">
        <v>1.0</v>
      </c>
      <c r="F877" s="1">
        <v>8.0</v>
      </c>
    </row>
    <row r="878" ht="12.75" customHeight="1">
      <c r="A878" s="1">
        <v>1.0</v>
      </c>
      <c r="B878" s="2" t="s">
        <v>1600</v>
      </c>
      <c r="C878" s="1" t="s">
        <v>1601</v>
      </c>
      <c r="D878" s="1" t="s">
        <v>286</v>
      </c>
      <c r="E878" s="1">
        <v>1.0</v>
      </c>
      <c r="F878" s="1">
        <v>8.0</v>
      </c>
    </row>
    <row r="879" ht="12.75" customHeight="1">
      <c r="A879" s="1">
        <v>1.0</v>
      </c>
      <c r="B879" s="2">
        <v>1130876.0</v>
      </c>
      <c r="C879" s="1" t="s">
        <v>87</v>
      </c>
      <c r="D879" s="1" t="s">
        <v>253</v>
      </c>
      <c r="E879" s="1">
        <v>1.0</v>
      </c>
      <c r="F879" s="1">
        <v>8.0</v>
      </c>
    </row>
    <row r="880" ht="12.75" customHeight="1">
      <c r="A880" s="1">
        <v>1.0</v>
      </c>
      <c r="B880" s="2">
        <v>1130880.0</v>
      </c>
      <c r="C880" s="1" t="s">
        <v>59</v>
      </c>
      <c r="D880" s="1" t="s">
        <v>88</v>
      </c>
      <c r="E880" s="1">
        <v>1.0</v>
      </c>
      <c r="F880" s="1">
        <v>8.0</v>
      </c>
    </row>
    <row r="881" ht="12.75" customHeight="1">
      <c r="A881" s="1">
        <v>1.0</v>
      </c>
      <c r="B881" s="2" t="s">
        <v>1602</v>
      </c>
      <c r="C881" s="1" t="s">
        <v>631</v>
      </c>
      <c r="D881" s="1" t="s">
        <v>1603</v>
      </c>
      <c r="E881" s="1">
        <v>1.0</v>
      </c>
      <c r="F881" s="1">
        <v>8.0</v>
      </c>
    </row>
    <row r="882" ht="12.75" customHeight="1">
      <c r="A882" s="1">
        <v>1.0</v>
      </c>
      <c r="B882" s="2" t="s">
        <v>1604</v>
      </c>
      <c r="C882" s="1" t="s">
        <v>1605</v>
      </c>
      <c r="D882" s="1" t="s">
        <v>1606</v>
      </c>
      <c r="E882" s="1">
        <v>1.0</v>
      </c>
      <c r="F882" s="1">
        <v>8.0</v>
      </c>
    </row>
    <row r="883" ht="12.75" customHeight="1">
      <c r="A883" s="1">
        <v>1.0</v>
      </c>
      <c r="B883" s="2" t="s">
        <v>1607</v>
      </c>
      <c r="C883" s="1" t="s">
        <v>1608</v>
      </c>
      <c r="D883" s="1" t="s">
        <v>1609</v>
      </c>
      <c r="E883" s="1">
        <v>1.0</v>
      </c>
      <c r="F883" s="1">
        <v>8.0</v>
      </c>
    </row>
    <row r="884" ht="12.75" customHeight="1">
      <c r="A884" s="1">
        <v>1.0</v>
      </c>
      <c r="B884" s="2" t="s">
        <v>1610</v>
      </c>
      <c r="C884" s="1" t="s">
        <v>1611</v>
      </c>
      <c r="D884" s="1" t="s">
        <v>1612</v>
      </c>
      <c r="E884" s="1">
        <v>1.0</v>
      </c>
      <c r="F884" s="1">
        <v>8.0</v>
      </c>
    </row>
    <row r="885" ht="12.75" customHeight="1">
      <c r="A885" s="1">
        <v>1.0</v>
      </c>
      <c r="B885" s="2" t="s">
        <v>1613</v>
      </c>
      <c r="C885" s="1" t="s">
        <v>1614</v>
      </c>
      <c r="D885" s="1" t="s">
        <v>1615</v>
      </c>
      <c r="E885" s="1">
        <v>1.0</v>
      </c>
      <c r="F885" s="1">
        <v>10.0</v>
      </c>
    </row>
    <row r="886" ht="12.75" customHeight="1">
      <c r="A886" s="1">
        <v>1.0</v>
      </c>
      <c r="B886" s="2" t="s">
        <v>1616</v>
      </c>
      <c r="C886" s="1" t="s">
        <v>155</v>
      </c>
      <c r="D886" s="1" t="s">
        <v>156</v>
      </c>
      <c r="E886" s="1">
        <v>1.0</v>
      </c>
      <c r="F886" s="1">
        <v>10.0</v>
      </c>
    </row>
    <row r="887" ht="12.75" customHeight="1">
      <c r="A887" s="1">
        <v>1.0</v>
      </c>
      <c r="B887" s="2" t="s">
        <v>1617</v>
      </c>
      <c r="C887" s="1" t="s">
        <v>1618</v>
      </c>
      <c r="D887" s="1" t="s">
        <v>1619</v>
      </c>
      <c r="E887" s="1">
        <v>1.0</v>
      </c>
      <c r="F887" s="1">
        <v>10.0</v>
      </c>
    </row>
    <row r="888" ht="12.75" customHeight="1">
      <c r="A888" s="1">
        <v>1.0</v>
      </c>
      <c r="B888" s="2" t="s">
        <v>1620</v>
      </c>
      <c r="C888" s="1" t="s">
        <v>796</v>
      </c>
      <c r="D888" s="1" t="s">
        <v>1621</v>
      </c>
      <c r="E888" s="1">
        <v>1.0</v>
      </c>
      <c r="F888" s="1">
        <v>10.0</v>
      </c>
    </row>
    <row r="889" ht="12.75" customHeight="1">
      <c r="A889" s="1">
        <v>1.0</v>
      </c>
      <c r="B889" s="2" t="s">
        <v>1622</v>
      </c>
      <c r="C889" s="1" t="s">
        <v>1623</v>
      </c>
      <c r="D889" s="1" t="s">
        <v>1624</v>
      </c>
      <c r="E889" s="1">
        <v>1.0</v>
      </c>
      <c r="F889" s="1">
        <v>10.0</v>
      </c>
    </row>
    <row r="890" ht="12.75" customHeight="1">
      <c r="A890" s="1">
        <v>1.0</v>
      </c>
      <c r="B890" s="2" t="s">
        <v>1625</v>
      </c>
      <c r="C890" s="1" t="s">
        <v>447</v>
      </c>
      <c r="D890" s="1" t="s">
        <v>1626</v>
      </c>
      <c r="E890" s="1">
        <v>1.0</v>
      </c>
      <c r="F890" s="1">
        <v>10.0</v>
      </c>
    </row>
    <row r="891" ht="12.75" customHeight="1">
      <c r="A891" s="1">
        <v>1.0</v>
      </c>
      <c r="B891" s="2" t="s">
        <v>1627</v>
      </c>
      <c r="C891" s="1" t="s">
        <v>384</v>
      </c>
      <c r="D891" s="1" t="s">
        <v>1626</v>
      </c>
      <c r="E891" s="1">
        <v>1.0</v>
      </c>
      <c r="F891" s="1">
        <v>10.0</v>
      </c>
    </row>
    <row r="892" ht="12.75" customHeight="1">
      <c r="A892" s="1">
        <v>1.0</v>
      </c>
      <c r="B892" s="2" t="s">
        <v>1628</v>
      </c>
      <c r="C892" s="1" t="s">
        <v>285</v>
      </c>
      <c r="D892" s="1" t="s">
        <v>607</v>
      </c>
      <c r="E892" s="1">
        <v>1.0</v>
      </c>
      <c r="F892" s="1">
        <v>10.0</v>
      </c>
    </row>
    <row r="893" ht="12.75" customHeight="1">
      <c r="A893" s="1">
        <v>1.0</v>
      </c>
      <c r="B893" s="2" t="s">
        <v>1629</v>
      </c>
      <c r="C893" s="1" t="s">
        <v>384</v>
      </c>
      <c r="D893" s="1" t="s">
        <v>1630</v>
      </c>
      <c r="E893" s="1">
        <v>1.0</v>
      </c>
      <c r="F893" s="1">
        <v>10.0</v>
      </c>
    </row>
    <row r="894" ht="12.75" customHeight="1">
      <c r="A894" s="1">
        <v>1.0</v>
      </c>
      <c r="B894" s="2" t="s">
        <v>1631</v>
      </c>
      <c r="C894" s="1" t="s">
        <v>1091</v>
      </c>
      <c r="D894" s="1" t="s">
        <v>1632</v>
      </c>
      <c r="E894" s="1">
        <v>1.0</v>
      </c>
      <c r="F894" s="1">
        <v>10.0</v>
      </c>
    </row>
    <row r="895" ht="12.75" customHeight="1">
      <c r="A895" s="1">
        <v>1.0</v>
      </c>
      <c r="B895" s="2">
        <v>3801911.0</v>
      </c>
      <c r="C895" s="1" t="s">
        <v>346</v>
      </c>
      <c r="D895" s="1" t="s">
        <v>1633</v>
      </c>
      <c r="E895" s="1">
        <v>1.0</v>
      </c>
      <c r="F895" s="1">
        <v>10.0</v>
      </c>
    </row>
    <row r="896" ht="12.75" customHeight="1">
      <c r="A896" s="1">
        <v>1.0</v>
      </c>
      <c r="B896" s="2">
        <v>3801556.0</v>
      </c>
      <c r="C896" s="1" t="s">
        <v>47</v>
      </c>
      <c r="D896" s="1" t="s">
        <v>1634</v>
      </c>
      <c r="E896" s="1">
        <v>1.0</v>
      </c>
      <c r="F896" s="1">
        <v>11.0</v>
      </c>
    </row>
    <row r="897" ht="12.75" customHeight="1">
      <c r="A897" s="1">
        <v>1.0</v>
      </c>
      <c r="B897" s="2" t="s">
        <v>1635</v>
      </c>
      <c r="C897" s="1" t="s">
        <v>1636</v>
      </c>
      <c r="D897" s="1" t="s">
        <v>1637</v>
      </c>
      <c r="E897" s="1">
        <v>1.0</v>
      </c>
      <c r="F897" s="1">
        <v>11.0</v>
      </c>
    </row>
    <row r="898" ht="12.75" customHeight="1">
      <c r="A898" s="1">
        <v>0.0</v>
      </c>
      <c r="B898" s="2" t="s">
        <v>1638</v>
      </c>
      <c r="C898" s="1" t="s">
        <v>1639</v>
      </c>
      <c r="D898" s="6">
        <v>1.0</v>
      </c>
      <c r="E898" s="1">
        <v>1.0</v>
      </c>
      <c r="F898" s="1">
        <v>0.0</v>
      </c>
    </row>
    <row r="899" ht="12.75" customHeight="1">
      <c r="A899" s="1">
        <v>0.0</v>
      </c>
      <c r="B899" s="2" t="s">
        <v>1640</v>
      </c>
      <c r="C899" s="1" t="s">
        <v>1641</v>
      </c>
      <c r="D899" s="6">
        <v>1.0</v>
      </c>
      <c r="E899" s="1">
        <v>1.0</v>
      </c>
      <c r="F899" s="1">
        <v>0.0</v>
      </c>
    </row>
    <row r="900" ht="12.75" customHeight="1">
      <c r="A900" s="1">
        <v>0.0</v>
      </c>
      <c r="B900" s="2" t="s">
        <v>1642</v>
      </c>
      <c r="C900" s="1" t="s">
        <v>1643</v>
      </c>
      <c r="D900" s="6">
        <v>6.0</v>
      </c>
      <c r="E900" s="1">
        <v>1.0</v>
      </c>
      <c r="F900" s="1">
        <v>0.0</v>
      </c>
    </row>
    <row r="901" ht="12.75" customHeight="1">
      <c r="A901" s="1">
        <v>0.0</v>
      </c>
      <c r="B901" s="2" t="s">
        <v>1644</v>
      </c>
      <c r="C901" s="1" t="s">
        <v>1645</v>
      </c>
      <c r="D901" s="6">
        <v>10.0</v>
      </c>
      <c r="E901" s="1">
        <v>1.0</v>
      </c>
      <c r="F901" s="1">
        <v>0.0</v>
      </c>
    </row>
    <row r="902" ht="12.75" customHeight="1">
      <c r="A902" s="1">
        <v>0.0</v>
      </c>
      <c r="B902" s="2" t="s">
        <v>1646</v>
      </c>
      <c r="C902" s="1" t="s">
        <v>1647</v>
      </c>
      <c r="D902" s="6">
        <v>19.0</v>
      </c>
      <c r="E902" s="1">
        <v>1.0</v>
      </c>
      <c r="F902" s="1">
        <v>0.0</v>
      </c>
    </row>
    <row r="903" ht="12.75" customHeight="1">
      <c r="A903" s="1">
        <v>0.0</v>
      </c>
      <c r="B903" s="2" t="s">
        <v>1648</v>
      </c>
      <c r="C903" s="1" t="s">
        <v>1649</v>
      </c>
      <c r="D903" s="6">
        <v>100.0</v>
      </c>
      <c r="E903" s="1">
        <v>1.0</v>
      </c>
      <c r="F903" s="1">
        <v>0.0</v>
      </c>
    </row>
    <row r="904" ht="12.75" customHeight="1">
      <c r="A904" s="1">
        <v>0.0</v>
      </c>
      <c r="B904" s="2" t="s">
        <v>1650</v>
      </c>
      <c r="C904" s="1" t="s">
        <v>1651</v>
      </c>
      <c r="D904" s="6">
        <v>160.0</v>
      </c>
      <c r="E904" s="1">
        <v>1.0</v>
      </c>
      <c r="F904" s="1">
        <v>0.0</v>
      </c>
    </row>
    <row r="905" ht="12.75" customHeight="1">
      <c r="A905" s="1">
        <v>0.0</v>
      </c>
      <c r="B905" s="2" t="s">
        <v>1652</v>
      </c>
      <c r="C905" s="1" t="s">
        <v>627</v>
      </c>
      <c r="D905" s="6">
        <v>215.0</v>
      </c>
      <c r="E905" s="1">
        <v>1.0</v>
      </c>
      <c r="F905" s="1">
        <v>0.0</v>
      </c>
    </row>
    <row r="906" ht="12.75" customHeight="1">
      <c r="A906" s="1">
        <v>0.0</v>
      </c>
      <c r="B906" s="2" t="s">
        <v>1653</v>
      </c>
      <c r="C906" s="1" t="s">
        <v>1654</v>
      </c>
      <c r="D906" s="6">
        <v>278.0</v>
      </c>
      <c r="E906" s="1">
        <v>1.0</v>
      </c>
      <c r="F906" s="1">
        <v>0.0</v>
      </c>
    </row>
    <row r="907" ht="12.75" customHeight="1">
      <c r="A907" s="1">
        <v>0.0</v>
      </c>
      <c r="B907" s="2">
        <v>6380103.0</v>
      </c>
      <c r="C907" s="1" t="s">
        <v>1655</v>
      </c>
      <c r="D907" s="6">
        <v>2000.0</v>
      </c>
      <c r="E907" s="1">
        <v>1.0</v>
      </c>
      <c r="F907" s="1">
        <v>0.0</v>
      </c>
    </row>
    <row r="908" ht="12.75" customHeight="1">
      <c r="A908" s="1">
        <v>0.0</v>
      </c>
      <c r="B908" s="2" t="s">
        <v>1656</v>
      </c>
      <c r="C908" s="1" t="s">
        <v>1657</v>
      </c>
      <c r="D908" s="1" t="s">
        <v>1658</v>
      </c>
      <c r="E908" s="1">
        <v>1.0</v>
      </c>
      <c r="F908" s="1">
        <v>0.0</v>
      </c>
    </row>
    <row r="909" ht="12.75" customHeight="1">
      <c r="A909" s="1">
        <v>0.0</v>
      </c>
      <c r="B909" s="2">
        <v>8050140.0</v>
      </c>
      <c r="C909" s="1" t="s">
        <v>6</v>
      </c>
      <c r="D909" s="1" t="s">
        <v>1659</v>
      </c>
      <c r="E909" s="1">
        <v>1.0</v>
      </c>
      <c r="F909" s="1">
        <v>0.0</v>
      </c>
    </row>
    <row r="910" ht="12.75" customHeight="1">
      <c r="A910" s="1">
        <v>0.0</v>
      </c>
      <c r="B910" s="2">
        <v>2000103.0</v>
      </c>
      <c r="C910" s="1" t="s">
        <v>117</v>
      </c>
      <c r="D910" s="1" t="s">
        <v>1660</v>
      </c>
      <c r="E910" s="1">
        <v>1.0</v>
      </c>
      <c r="F910" s="1">
        <v>0.0</v>
      </c>
    </row>
    <row r="911" ht="12.75" customHeight="1">
      <c r="A911" s="1">
        <v>0.0</v>
      </c>
      <c r="B911" s="2">
        <v>1990112.0</v>
      </c>
      <c r="C911" s="1" t="s">
        <v>1661</v>
      </c>
      <c r="D911" s="1" t="s">
        <v>1662</v>
      </c>
      <c r="E911" s="1">
        <v>1.0</v>
      </c>
      <c r="F911" s="1">
        <v>0.0</v>
      </c>
    </row>
    <row r="912" ht="12.75" customHeight="1">
      <c r="A912" s="1">
        <v>0.0</v>
      </c>
      <c r="B912" s="2">
        <v>1990105.0</v>
      </c>
      <c r="C912" s="1" t="s">
        <v>117</v>
      </c>
      <c r="D912" s="1" t="s">
        <v>1663</v>
      </c>
      <c r="E912" s="1">
        <v>1.0</v>
      </c>
      <c r="F912" s="1">
        <v>0.0</v>
      </c>
    </row>
    <row r="913" ht="12.75" customHeight="1">
      <c r="A913" s="1">
        <v>0.0</v>
      </c>
      <c r="B913" s="2">
        <v>1990109.0</v>
      </c>
      <c r="C913" s="1" t="s">
        <v>117</v>
      </c>
      <c r="D913" s="1" t="s">
        <v>1664</v>
      </c>
      <c r="E913" s="1">
        <v>1.0</v>
      </c>
      <c r="F913" s="1">
        <v>0.0</v>
      </c>
    </row>
    <row r="914" ht="12.75" customHeight="1">
      <c r="A914" s="1">
        <v>0.0</v>
      </c>
      <c r="B914" s="2" t="s">
        <v>1665</v>
      </c>
      <c r="C914" s="1" t="s">
        <v>1666</v>
      </c>
      <c r="D914" s="1" t="s">
        <v>1667</v>
      </c>
      <c r="E914" s="1">
        <v>1.0</v>
      </c>
      <c r="F914" s="1">
        <v>0.0</v>
      </c>
    </row>
    <row r="915" ht="12.75" customHeight="1">
      <c r="A915" s="1">
        <v>0.0</v>
      </c>
      <c r="B915" s="2" t="s">
        <v>1668</v>
      </c>
      <c r="C915" s="1" t="s">
        <v>1669</v>
      </c>
      <c r="D915" s="1" t="s">
        <v>1670</v>
      </c>
      <c r="E915" s="1">
        <v>1.0</v>
      </c>
      <c r="F915" s="1">
        <v>0.0</v>
      </c>
    </row>
    <row r="916" ht="12.75" customHeight="1">
      <c r="A916" s="1">
        <v>0.0</v>
      </c>
      <c r="B916" s="2">
        <v>1130867.0</v>
      </c>
      <c r="C916" s="1" t="s">
        <v>1671</v>
      </c>
      <c r="D916" s="1" t="s">
        <v>1672</v>
      </c>
      <c r="E916" s="1">
        <v>1.0</v>
      </c>
      <c r="F916" s="1">
        <v>0.0</v>
      </c>
    </row>
    <row r="917" ht="12.75" customHeight="1">
      <c r="A917" s="1">
        <v>0.0</v>
      </c>
      <c r="B917" s="2">
        <v>564712.0</v>
      </c>
      <c r="C917" s="1" t="s">
        <v>1673</v>
      </c>
      <c r="D917" s="1" t="s">
        <v>1674</v>
      </c>
      <c r="E917" s="1">
        <v>1.0</v>
      </c>
      <c r="F917" s="1">
        <v>0.0</v>
      </c>
    </row>
    <row r="918" ht="12.75" customHeight="1">
      <c r="A918" s="1">
        <v>0.0</v>
      </c>
      <c r="B918" s="2">
        <v>2000105.0</v>
      </c>
      <c r="C918" s="1" t="s">
        <v>117</v>
      </c>
      <c r="D918" s="1" t="s">
        <v>626</v>
      </c>
      <c r="E918" s="1">
        <v>1.0</v>
      </c>
      <c r="F918" s="1">
        <v>0.0</v>
      </c>
    </row>
    <row r="919" ht="12.75" customHeight="1">
      <c r="A919" s="1">
        <v>0.0</v>
      </c>
      <c r="B919" s="2" t="s">
        <v>1675</v>
      </c>
      <c r="C919" s="1" t="s">
        <v>1676</v>
      </c>
      <c r="D919" s="1" t="s">
        <v>1677</v>
      </c>
      <c r="E919" s="1">
        <v>1.0</v>
      </c>
      <c r="F919" s="1">
        <v>0.0</v>
      </c>
    </row>
    <row r="920" ht="12.75" customHeight="1">
      <c r="A920" s="1">
        <v>0.0</v>
      </c>
      <c r="B920" s="2" t="s">
        <v>1678</v>
      </c>
      <c r="C920" s="1" t="s">
        <v>1679</v>
      </c>
      <c r="D920" s="1" t="s">
        <v>1680</v>
      </c>
      <c r="E920" s="1">
        <v>1.0</v>
      </c>
      <c r="F920" s="1">
        <v>0.0</v>
      </c>
    </row>
    <row r="921" ht="12.75" customHeight="1">
      <c r="A921" s="1">
        <v>0.0</v>
      </c>
      <c r="B921" s="2" t="s">
        <v>1681</v>
      </c>
      <c r="C921" s="1" t="s">
        <v>1682</v>
      </c>
      <c r="D921" s="1" t="s">
        <v>1683</v>
      </c>
      <c r="E921" s="1">
        <v>1.0</v>
      </c>
      <c r="F921" s="1">
        <v>0.0</v>
      </c>
    </row>
    <row r="922" ht="12.75" customHeight="1">
      <c r="A922" s="1">
        <v>0.0</v>
      </c>
      <c r="B922" s="2" t="s">
        <v>1684</v>
      </c>
      <c r="C922" s="1" t="s">
        <v>1685</v>
      </c>
      <c r="D922" s="1" t="s">
        <v>1686</v>
      </c>
      <c r="E922" s="1">
        <v>1.0</v>
      </c>
      <c r="F922" s="1">
        <v>0.0</v>
      </c>
    </row>
    <row r="923" ht="12.75" customHeight="1">
      <c r="A923" s="1">
        <v>0.0</v>
      </c>
      <c r="B923" s="2" t="s">
        <v>1687</v>
      </c>
      <c r="C923" s="1" t="s">
        <v>1688</v>
      </c>
      <c r="D923" s="1" t="s">
        <v>1689</v>
      </c>
      <c r="E923" s="1">
        <v>1.0</v>
      </c>
      <c r="F923" s="1">
        <v>0.0</v>
      </c>
    </row>
    <row r="924" ht="12.75" customHeight="1">
      <c r="A924" s="1">
        <v>0.0</v>
      </c>
      <c r="B924" s="2" t="s">
        <v>1690</v>
      </c>
      <c r="C924" s="1" t="s">
        <v>363</v>
      </c>
      <c r="D924" s="1" t="s">
        <v>1691</v>
      </c>
      <c r="E924" s="1">
        <v>1.0</v>
      </c>
      <c r="F924" s="1">
        <v>0.0</v>
      </c>
    </row>
    <row r="925" ht="12.75" customHeight="1">
      <c r="A925" s="1">
        <v>0.0</v>
      </c>
      <c r="B925" s="2" t="s">
        <v>1692</v>
      </c>
      <c r="C925" s="1" t="s">
        <v>1693</v>
      </c>
      <c r="D925" s="1" t="s">
        <v>291</v>
      </c>
      <c r="E925" s="1">
        <v>1.0</v>
      </c>
      <c r="F925" s="1">
        <v>0.0</v>
      </c>
    </row>
    <row r="926" ht="12.75" customHeight="1">
      <c r="A926" s="1">
        <v>0.0</v>
      </c>
      <c r="B926" s="2" t="s">
        <v>1694</v>
      </c>
      <c r="C926" s="1" t="s">
        <v>94</v>
      </c>
      <c r="D926" s="1" t="s">
        <v>291</v>
      </c>
      <c r="E926" s="1">
        <v>1.0</v>
      </c>
      <c r="F926" s="1">
        <v>0.0</v>
      </c>
    </row>
    <row r="927" ht="12.75" customHeight="1">
      <c r="A927" s="1">
        <v>0.0</v>
      </c>
      <c r="B927" s="2" t="s">
        <v>1695</v>
      </c>
      <c r="C927" s="1" t="s">
        <v>1696</v>
      </c>
      <c r="D927" s="1" t="s">
        <v>1697</v>
      </c>
      <c r="E927" s="1">
        <v>1.0</v>
      </c>
      <c r="F927" s="1">
        <v>0.0</v>
      </c>
    </row>
    <row r="928" ht="12.75" customHeight="1">
      <c r="A928" s="1">
        <v>0.0</v>
      </c>
      <c r="B928" s="2" t="s">
        <v>1698</v>
      </c>
      <c r="C928" s="1" t="s">
        <v>1699</v>
      </c>
      <c r="D928" s="1" t="s">
        <v>1700</v>
      </c>
      <c r="E928" s="1">
        <v>1.0</v>
      </c>
      <c r="F928" s="1">
        <v>0.0</v>
      </c>
    </row>
    <row r="929" ht="12.75" customHeight="1">
      <c r="A929" s="1">
        <v>0.0</v>
      </c>
      <c r="B929" s="2" t="s">
        <v>1701</v>
      </c>
      <c r="C929" s="1" t="s">
        <v>1702</v>
      </c>
      <c r="D929" s="1" t="s">
        <v>1703</v>
      </c>
      <c r="E929" s="1">
        <v>1.0</v>
      </c>
      <c r="F929" s="1">
        <v>0.0</v>
      </c>
    </row>
    <row r="930" ht="12.75" customHeight="1">
      <c r="A930" s="1">
        <v>0.0</v>
      </c>
      <c r="B930" s="2" t="s">
        <v>1704</v>
      </c>
      <c r="C930" s="1" t="s">
        <v>1705</v>
      </c>
      <c r="D930" s="1" t="s">
        <v>1706</v>
      </c>
      <c r="E930" s="1">
        <v>1.0</v>
      </c>
      <c r="F930" s="1">
        <v>0.0</v>
      </c>
    </row>
    <row r="931" ht="12.75" customHeight="1">
      <c r="A931" s="1">
        <v>0.0</v>
      </c>
      <c r="B931" s="2" t="s">
        <v>1707</v>
      </c>
      <c r="C931" s="1" t="s">
        <v>1708</v>
      </c>
      <c r="D931" s="1" t="s">
        <v>1709</v>
      </c>
      <c r="E931" s="1">
        <v>1.0</v>
      </c>
      <c r="F931" s="1">
        <v>0.0</v>
      </c>
    </row>
    <row r="932" ht="12.75" customHeight="1">
      <c r="A932" s="1">
        <v>0.0</v>
      </c>
      <c r="B932" s="2">
        <v>562804.0</v>
      </c>
      <c r="C932" s="1" t="s">
        <v>1710</v>
      </c>
      <c r="D932" s="1" t="s">
        <v>1711</v>
      </c>
      <c r="E932" s="1">
        <v>1.0</v>
      </c>
      <c r="F932" s="1">
        <v>0.0</v>
      </c>
    </row>
    <row r="933" ht="12.75" customHeight="1">
      <c r="A933" s="1">
        <v>0.0</v>
      </c>
      <c r="B933" s="2" t="s">
        <v>1712</v>
      </c>
      <c r="C933" s="1" t="s">
        <v>984</v>
      </c>
      <c r="D933" s="1" t="s">
        <v>1713</v>
      </c>
      <c r="E933" s="1">
        <v>1.0</v>
      </c>
      <c r="F933" s="1">
        <v>0.0</v>
      </c>
    </row>
    <row r="934" ht="12.75" customHeight="1">
      <c r="A934" s="1">
        <v>0.0</v>
      </c>
      <c r="B934" s="2" t="s">
        <v>1714</v>
      </c>
      <c r="C934" s="1" t="s">
        <v>1715</v>
      </c>
      <c r="D934" s="1" t="s">
        <v>1373</v>
      </c>
      <c r="E934" s="1">
        <v>1.0</v>
      </c>
      <c r="F934" s="1">
        <v>0.0</v>
      </c>
    </row>
    <row r="935" ht="12.75" customHeight="1">
      <c r="A935" s="1">
        <v>0.0</v>
      </c>
      <c r="B935" s="2" t="s">
        <v>1716</v>
      </c>
      <c r="C935" s="1" t="s">
        <v>1717</v>
      </c>
      <c r="D935" s="1" t="s">
        <v>1373</v>
      </c>
      <c r="E935" s="1">
        <v>1.0</v>
      </c>
      <c r="F935" s="1">
        <v>0.0</v>
      </c>
    </row>
    <row r="936" ht="12.75" customHeight="1">
      <c r="A936" s="1">
        <v>0.0</v>
      </c>
      <c r="B936" s="2" t="s">
        <v>1718</v>
      </c>
      <c r="C936" s="1" t="s">
        <v>1719</v>
      </c>
      <c r="D936" s="1" t="s">
        <v>1720</v>
      </c>
      <c r="E936" s="1">
        <v>1.0</v>
      </c>
      <c r="F936" s="1">
        <v>0.0</v>
      </c>
    </row>
    <row r="937" ht="12.75" customHeight="1">
      <c r="A937" s="1">
        <v>0.0</v>
      </c>
      <c r="B937" s="2" t="s">
        <v>1721</v>
      </c>
      <c r="C937" s="1" t="s">
        <v>1722</v>
      </c>
      <c r="D937" s="1" t="s">
        <v>650</v>
      </c>
      <c r="E937" s="1">
        <v>1.0</v>
      </c>
      <c r="F937" s="1">
        <v>0.0</v>
      </c>
    </row>
    <row r="938" ht="12.75" customHeight="1">
      <c r="A938" s="1">
        <v>0.0</v>
      </c>
      <c r="B938" s="2" t="s">
        <v>1723</v>
      </c>
      <c r="C938" s="1" t="s">
        <v>1724</v>
      </c>
      <c r="D938" s="1" t="s">
        <v>650</v>
      </c>
      <c r="E938" s="1">
        <v>1.0</v>
      </c>
      <c r="F938" s="1">
        <v>0.0</v>
      </c>
    </row>
    <row r="939" ht="12.75" customHeight="1">
      <c r="A939" s="1">
        <v>0.0</v>
      </c>
      <c r="B939" s="2" t="s">
        <v>1725</v>
      </c>
      <c r="C939" s="1" t="s">
        <v>1726</v>
      </c>
      <c r="D939" s="1" t="s">
        <v>650</v>
      </c>
      <c r="E939" s="1">
        <v>1.0</v>
      </c>
      <c r="F939" s="1">
        <v>0.0</v>
      </c>
    </row>
    <row r="940" ht="12.75" customHeight="1">
      <c r="A940" s="1">
        <v>0.0</v>
      </c>
      <c r="B940" s="2">
        <v>1130869.0</v>
      </c>
      <c r="C940" s="1" t="s">
        <v>1722</v>
      </c>
      <c r="D940" s="1" t="s">
        <v>653</v>
      </c>
      <c r="E940" s="1">
        <v>1.0</v>
      </c>
      <c r="F940" s="1">
        <v>0.0</v>
      </c>
    </row>
    <row r="941" ht="12.75" customHeight="1">
      <c r="A941" s="1">
        <v>0.0</v>
      </c>
      <c r="B941" s="2" t="s">
        <v>1727</v>
      </c>
      <c r="C941" s="1" t="s">
        <v>1728</v>
      </c>
      <c r="D941" s="1" t="s">
        <v>653</v>
      </c>
      <c r="E941" s="1">
        <v>1.0</v>
      </c>
      <c r="F941" s="1">
        <v>0.0</v>
      </c>
    </row>
    <row r="942" ht="12.75" customHeight="1">
      <c r="A942" s="1">
        <v>0.0</v>
      </c>
      <c r="B942" s="2" t="s">
        <v>1729</v>
      </c>
      <c r="C942" s="1" t="s">
        <v>1730</v>
      </c>
      <c r="D942" s="1" t="s">
        <v>653</v>
      </c>
      <c r="E942" s="1">
        <v>1.0</v>
      </c>
      <c r="F942" s="1">
        <v>0.0</v>
      </c>
    </row>
    <row r="943" ht="12.75" customHeight="1">
      <c r="A943" s="1">
        <v>0.0</v>
      </c>
      <c r="B943" s="2" t="s">
        <v>1731</v>
      </c>
      <c r="C943" s="1" t="s">
        <v>1732</v>
      </c>
      <c r="D943" s="1" t="s">
        <v>1733</v>
      </c>
      <c r="E943" s="1">
        <v>1.0</v>
      </c>
      <c r="F943" s="1">
        <v>0.0</v>
      </c>
    </row>
    <row r="944" ht="12.75" customHeight="1">
      <c r="A944" s="1">
        <v>0.0</v>
      </c>
      <c r="B944" s="2" t="s">
        <v>1734</v>
      </c>
      <c r="C944" s="1" t="s">
        <v>1735</v>
      </c>
      <c r="D944" s="1" t="s">
        <v>1736</v>
      </c>
      <c r="E944" s="1">
        <v>1.0</v>
      </c>
      <c r="F944" s="1">
        <v>0.0</v>
      </c>
    </row>
    <row r="945" ht="12.75" customHeight="1">
      <c r="A945" s="1">
        <v>0.0</v>
      </c>
      <c r="B945" s="2" t="s">
        <v>1737</v>
      </c>
      <c r="C945" s="1" t="s">
        <v>1738</v>
      </c>
      <c r="D945" s="1" t="s">
        <v>1739</v>
      </c>
      <c r="E945" s="1">
        <v>1.0</v>
      </c>
      <c r="F945" s="1">
        <v>0.0</v>
      </c>
    </row>
    <row r="946" ht="12.75" customHeight="1">
      <c r="A946" s="1">
        <v>0.0</v>
      </c>
      <c r="B946" s="2" t="s">
        <v>1740</v>
      </c>
      <c r="C946" s="1" t="s">
        <v>1741</v>
      </c>
      <c r="D946" s="1" t="s">
        <v>1742</v>
      </c>
      <c r="E946" s="1">
        <v>1.0</v>
      </c>
      <c r="F946" s="1">
        <v>0.0</v>
      </c>
    </row>
    <row r="947" ht="12.75" customHeight="1">
      <c r="A947" s="1">
        <v>0.0</v>
      </c>
      <c r="B947" s="2" t="s">
        <v>1743</v>
      </c>
      <c r="C947" s="1" t="s">
        <v>780</v>
      </c>
      <c r="D947" s="1" t="s">
        <v>1526</v>
      </c>
      <c r="E947" s="1">
        <v>1.0</v>
      </c>
      <c r="F947" s="1">
        <v>0.0</v>
      </c>
    </row>
    <row r="948" ht="12.75" customHeight="1">
      <c r="A948" s="1">
        <v>0.0</v>
      </c>
      <c r="B948" s="2" t="s">
        <v>1744</v>
      </c>
      <c r="C948" s="1" t="s">
        <v>1745</v>
      </c>
      <c r="D948" s="1" t="s">
        <v>673</v>
      </c>
      <c r="E948" s="1">
        <v>1.0</v>
      </c>
      <c r="F948" s="1">
        <v>0.0</v>
      </c>
    </row>
    <row r="949" ht="12.75" customHeight="1">
      <c r="A949" s="1">
        <v>0.0</v>
      </c>
      <c r="B949" s="2" t="s">
        <v>1746</v>
      </c>
      <c r="C949" s="1" t="s">
        <v>1747</v>
      </c>
      <c r="D949" s="1" t="s">
        <v>1748</v>
      </c>
      <c r="E949" s="1">
        <v>1.0</v>
      </c>
      <c r="F949" s="1">
        <v>0.0</v>
      </c>
    </row>
    <row r="950" ht="12.75" customHeight="1">
      <c r="A950" s="1">
        <v>0.0</v>
      </c>
      <c r="B950" s="2" t="s">
        <v>1749</v>
      </c>
      <c r="C950" s="1" t="s">
        <v>1750</v>
      </c>
      <c r="D950" s="1" t="s">
        <v>1751</v>
      </c>
      <c r="E950" s="1">
        <v>1.0</v>
      </c>
      <c r="F950" s="1">
        <v>0.0</v>
      </c>
    </row>
    <row r="951" ht="12.75" customHeight="1">
      <c r="A951" s="1">
        <v>0.0</v>
      </c>
      <c r="B951" s="2">
        <v>560321.0</v>
      </c>
      <c r="C951" s="1" t="s">
        <v>1752</v>
      </c>
      <c r="D951" s="1" t="s">
        <v>1753</v>
      </c>
      <c r="E951" s="1">
        <v>1.0</v>
      </c>
      <c r="F951" s="1">
        <v>0.0</v>
      </c>
    </row>
    <row r="952" ht="12.75" customHeight="1">
      <c r="A952" s="1">
        <v>0.0</v>
      </c>
      <c r="B952" s="2">
        <v>3801584.0</v>
      </c>
      <c r="C952" s="1" t="s">
        <v>21</v>
      </c>
      <c r="D952" s="1" t="s">
        <v>1754</v>
      </c>
      <c r="E952" s="1">
        <v>1.0</v>
      </c>
      <c r="F952" s="1">
        <v>0.0</v>
      </c>
    </row>
    <row r="953" ht="12.75" customHeight="1">
      <c r="A953" s="1">
        <v>0.0</v>
      </c>
      <c r="B953" s="2" t="s">
        <v>1755</v>
      </c>
      <c r="C953" s="1" t="s">
        <v>1756</v>
      </c>
      <c r="D953" s="1" t="s">
        <v>1757</v>
      </c>
      <c r="E953" s="1">
        <v>1.0</v>
      </c>
      <c r="F953" s="1">
        <v>0.0</v>
      </c>
    </row>
    <row r="954" ht="12.75" customHeight="1">
      <c r="A954" s="1">
        <v>0.0</v>
      </c>
      <c r="B954" s="2">
        <v>3801546.0</v>
      </c>
      <c r="C954" s="1" t="s">
        <v>47</v>
      </c>
      <c r="D954" s="1" t="s">
        <v>1758</v>
      </c>
      <c r="E954" s="1">
        <v>1.0</v>
      </c>
      <c r="F954" s="1">
        <v>0.0</v>
      </c>
    </row>
    <row r="955" ht="12.75" customHeight="1">
      <c r="A955" s="1">
        <v>0.0</v>
      </c>
      <c r="B955" s="2">
        <v>3801553.0</v>
      </c>
      <c r="C955" s="1" t="s">
        <v>47</v>
      </c>
      <c r="D955" s="1" t="s">
        <v>451</v>
      </c>
      <c r="E955" s="1">
        <v>1.0</v>
      </c>
      <c r="F955" s="1">
        <v>0.0</v>
      </c>
    </row>
    <row r="956" ht="12.75" customHeight="1">
      <c r="A956" s="1">
        <v>0.0</v>
      </c>
      <c r="B956" s="2">
        <v>3801555.0</v>
      </c>
      <c r="C956" s="1" t="s">
        <v>47</v>
      </c>
      <c r="D956" s="1" t="s">
        <v>1759</v>
      </c>
      <c r="E956" s="1">
        <v>1.0</v>
      </c>
      <c r="F956" s="1">
        <v>0.0</v>
      </c>
    </row>
    <row r="957" ht="12.75" customHeight="1">
      <c r="A957" s="1">
        <v>0.0</v>
      </c>
      <c r="B957" s="2">
        <v>3801504.0</v>
      </c>
      <c r="C957" s="1" t="s">
        <v>21</v>
      </c>
      <c r="D957" s="1" t="s">
        <v>1760</v>
      </c>
      <c r="E957" s="1">
        <v>1.0</v>
      </c>
      <c r="F957" s="1">
        <v>0.0</v>
      </c>
    </row>
    <row r="958" ht="12.75" customHeight="1">
      <c r="A958" s="1">
        <v>0.0</v>
      </c>
      <c r="B958" s="2">
        <v>3801513.0</v>
      </c>
      <c r="C958" s="1" t="s">
        <v>21</v>
      </c>
      <c r="D958" s="1" t="s">
        <v>1761</v>
      </c>
      <c r="E958" s="1">
        <v>1.0</v>
      </c>
      <c r="F958" s="1">
        <v>0.0</v>
      </c>
    </row>
    <row r="959" ht="12.75" customHeight="1">
      <c r="A959" s="1">
        <v>0.0</v>
      </c>
      <c r="B959" s="2">
        <v>1990201.0</v>
      </c>
      <c r="C959" s="1" t="s">
        <v>117</v>
      </c>
      <c r="D959" s="1" t="s">
        <v>1762</v>
      </c>
      <c r="E959" s="1">
        <v>1.0</v>
      </c>
      <c r="F959" s="1">
        <v>0.0</v>
      </c>
    </row>
    <row r="960" ht="12.75" customHeight="1">
      <c r="A960" s="1">
        <v>0.0</v>
      </c>
      <c r="B960" s="2" t="s">
        <v>1763</v>
      </c>
      <c r="C960" s="1" t="s">
        <v>1764</v>
      </c>
      <c r="D960" s="1" t="s">
        <v>1765</v>
      </c>
      <c r="E960" s="1">
        <v>1.0</v>
      </c>
      <c r="F960" s="1">
        <v>0.0</v>
      </c>
    </row>
    <row r="961" ht="12.75" customHeight="1">
      <c r="A961" s="1">
        <v>0.0</v>
      </c>
      <c r="B961" s="2" t="s">
        <v>1766</v>
      </c>
      <c r="C961" s="1" t="s">
        <v>1767</v>
      </c>
      <c r="D961" s="1" t="s">
        <v>1768</v>
      </c>
      <c r="E961" s="1">
        <v>1.0</v>
      </c>
      <c r="F961" s="1">
        <v>0.0</v>
      </c>
    </row>
    <row r="962" ht="12.75" customHeight="1">
      <c r="A962" s="1">
        <v>0.0</v>
      </c>
      <c r="B962" s="2" t="s">
        <v>1769</v>
      </c>
      <c r="C962" s="1" t="s">
        <v>1770</v>
      </c>
      <c r="D962" s="1" t="s">
        <v>1771</v>
      </c>
      <c r="E962" s="1">
        <v>1.0</v>
      </c>
      <c r="F962" s="1">
        <v>0.0</v>
      </c>
    </row>
    <row r="963" ht="12.75" customHeight="1">
      <c r="A963" s="1">
        <v>0.0</v>
      </c>
      <c r="B963" s="2" t="s">
        <v>1772</v>
      </c>
      <c r="C963" s="1" t="s">
        <v>1773</v>
      </c>
      <c r="D963" s="1" t="s">
        <v>1774</v>
      </c>
      <c r="E963" s="1">
        <v>1.0</v>
      </c>
      <c r="F963" s="1">
        <v>0.0</v>
      </c>
    </row>
    <row r="964" ht="12.75" customHeight="1">
      <c r="A964" s="1">
        <v>0.0</v>
      </c>
      <c r="B964" s="2" t="s">
        <v>1775</v>
      </c>
      <c r="C964" s="1" t="s">
        <v>1776</v>
      </c>
      <c r="D964" s="1" t="s">
        <v>1777</v>
      </c>
      <c r="E964" s="1">
        <v>1.0</v>
      </c>
      <c r="F964" s="1">
        <v>0.0</v>
      </c>
    </row>
    <row r="965" ht="12.75" customHeight="1">
      <c r="A965" s="1">
        <v>0.0</v>
      </c>
      <c r="B965" s="2" t="s">
        <v>1778</v>
      </c>
      <c r="C965" s="1" t="s">
        <v>1779</v>
      </c>
      <c r="D965" s="1" t="s">
        <v>1780</v>
      </c>
      <c r="E965" s="1">
        <v>1.0</v>
      </c>
      <c r="F965" s="1">
        <v>0.0</v>
      </c>
    </row>
    <row r="966" ht="12.75" customHeight="1">
      <c r="A966" s="1">
        <v>0.0</v>
      </c>
      <c r="B966" s="2" t="s">
        <v>1781</v>
      </c>
      <c r="C966" s="1" t="s">
        <v>1782</v>
      </c>
      <c r="D966" s="1" t="s">
        <v>1783</v>
      </c>
      <c r="E966" s="1">
        <v>1.0</v>
      </c>
      <c r="F966" s="1">
        <v>0.0</v>
      </c>
    </row>
    <row r="967" ht="12.75" customHeight="1">
      <c r="A967" s="1">
        <v>0.0</v>
      </c>
      <c r="B967" s="2">
        <v>7090500.0</v>
      </c>
      <c r="C967" s="1" t="s">
        <v>112</v>
      </c>
      <c r="D967" s="1" t="s">
        <v>1784</v>
      </c>
      <c r="E967" s="1">
        <v>1.0</v>
      </c>
      <c r="F967" s="1">
        <v>0.0</v>
      </c>
    </row>
    <row r="968" ht="12.75" customHeight="1">
      <c r="A968" s="1">
        <v>0.0</v>
      </c>
      <c r="B968" s="2" t="s">
        <v>1785</v>
      </c>
      <c r="C968" s="1" t="s">
        <v>261</v>
      </c>
      <c r="D968" s="1" t="s">
        <v>262</v>
      </c>
      <c r="E968" s="1">
        <v>1.0</v>
      </c>
      <c r="F968" s="1">
        <v>0.0</v>
      </c>
    </row>
    <row r="969" ht="12.75" customHeight="1">
      <c r="A969" s="1">
        <v>0.0</v>
      </c>
      <c r="B969" s="2" t="s">
        <v>1786</v>
      </c>
      <c r="C969" s="1" t="s">
        <v>261</v>
      </c>
      <c r="D969" s="1" t="s">
        <v>1787</v>
      </c>
      <c r="E969" s="1">
        <v>1.0</v>
      </c>
      <c r="F969" s="1">
        <v>0.0</v>
      </c>
    </row>
    <row r="970" ht="12.75" customHeight="1">
      <c r="A970" s="1">
        <v>0.0</v>
      </c>
      <c r="B970" s="2" t="s">
        <v>1788</v>
      </c>
      <c r="C970" s="1" t="s">
        <v>1789</v>
      </c>
      <c r="D970" s="1" t="s">
        <v>1790</v>
      </c>
      <c r="E970" s="1">
        <v>1.0</v>
      </c>
      <c r="F970" s="1">
        <v>0.0</v>
      </c>
    </row>
    <row r="971" ht="12.75" customHeight="1">
      <c r="A971" s="1">
        <v>0.0</v>
      </c>
      <c r="B971" s="2" t="s">
        <v>1791</v>
      </c>
      <c r="C971" s="1" t="s">
        <v>757</v>
      </c>
      <c r="D971" s="1" t="s">
        <v>1792</v>
      </c>
      <c r="E971" s="1">
        <v>1.0</v>
      </c>
      <c r="F971" s="1">
        <v>0.0</v>
      </c>
    </row>
    <row r="972" ht="12.75" customHeight="1">
      <c r="A972" s="1">
        <v>0.0</v>
      </c>
      <c r="B972" s="2" t="s">
        <v>1793</v>
      </c>
      <c r="C972" s="1" t="s">
        <v>1794</v>
      </c>
      <c r="D972" s="1" t="s">
        <v>1795</v>
      </c>
      <c r="E972" s="1">
        <v>1.0</v>
      </c>
      <c r="F972" s="1">
        <v>0.0</v>
      </c>
    </row>
    <row r="973" ht="12.75" customHeight="1">
      <c r="A973" s="1">
        <v>0.0</v>
      </c>
      <c r="B973" s="2">
        <v>1130865.0</v>
      </c>
      <c r="C973" s="1" t="s">
        <v>1796</v>
      </c>
      <c r="D973" s="1" t="s">
        <v>1797</v>
      </c>
      <c r="E973" s="1">
        <v>1.0</v>
      </c>
      <c r="F973" s="1">
        <v>0.0</v>
      </c>
    </row>
    <row r="974" ht="12.75" customHeight="1">
      <c r="A974" s="1">
        <v>0.0</v>
      </c>
      <c r="B974" s="2" t="s">
        <v>1798</v>
      </c>
      <c r="C974" s="1" t="s">
        <v>1799</v>
      </c>
      <c r="D974" s="1" t="s">
        <v>1800</v>
      </c>
      <c r="E974" s="1">
        <v>1.0</v>
      </c>
      <c r="F974" s="1">
        <v>0.0</v>
      </c>
    </row>
    <row r="975" ht="12.75" customHeight="1">
      <c r="A975" s="1">
        <v>0.0</v>
      </c>
      <c r="B975" s="2">
        <v>562377.0</v>
      </c>
      <c r="C975" s="1" t="s">
        <v>1801</v>
      </c>
      <c r="D975" s="1" t="s">
        <v>1802</v>
      </c>
      <c r="E975" s="1">
        <v>1.0</v>
      </c>
      <c r="F975" s="1">
        <v>0.0</v>
      </c>
    </row>
    <row r="976" ht="12.75" customHeight="1">
      <c r="A976" s="1">
        <v>0.0</v>
      </c>
      <c r="B976" s="2">
        <v>3801311.0</v>
      </c>
      <c r="C976" s="1" t="s">
        <v>312</v>
      </c>
      <c r="D976" s="1" t="s">
        <v>1803</v>
      </c>
      <c r="E976" s="1">
        <v>1.0</v>
      </c>
      <c r="F976" s="1">
        <v>0.0</v>
      </c>
    </row>
    <row r="977" ht="12.75" customHeight="1">
      <c r="A977" s="1">
        <v>0.0</v>
      </c>
      <c r="B977" s="2">
        <v>562647.0</v>
      </c>
      <c r="C977" s="1" t="s">
        <v>1804</v>
      </c>
      <c r="D977" s="1" t="s">
        <v>1805</v>
      </c>
      <c r="E977" s="1">
        <v>1.0</v>
      </c>
      <c r="F977" s="1">
        <v>0.0</v>
      </c>
    </row>
    <row r="978" ht="12.75" customHeight="1">
      <c r="A978" s="1">
        <v>0.0</v>
      </c>
      <c r="B978" s="2">
        <v>564749.0</v>
      </c>
      <c r="C978" s="1" t="s">
        <v>1806</v>
      </c>
      <c r="D978" s="1" t="s">
        <v>695</v>
      </c>
      <c r="E978" s="1">
        <v>1.0</v>
      </c>
      <c r="F978" s="1">
        <v>0.0</v>
      </c>
    </row>
    <row r="979" ht="12.75" customHeight="1">
      <c r="A979" s="1">
        <v>0.0</v>
      </c>
      <c r="B979" s="2">
        <v>1130802.0</v>
      </c>
      <c r="C979" s="1" t="s">
        <v>1807</v>
      </c>
      <c r="D979" s="1" t="s">
        <v>695</v>
      </c>
      <c r="E979" s="1">
        <v>1.0</v>
      </c>
      <c r="F979" s="1">
        <v>0.0</v>
      </c>
    </row>
    <row r="980" ht="12.75" customHeight="1">
      <c r="A980" s="1">
        <v>0.0</v>
      </c>
      <c r="B980" s="2" t="s">
        <v>1808</v>
      </c>
      <c r="C980" s="1" t="s">
        <v>921</v>
      </c>
      <c r="D980" s="1" t="s">
        <v>1809</v>
      </c>
      <c r="E980" s="1">
        <v>1.0</v>
      </c>
      <c r="F980" s="1">
        <v>0.0</v>
      </c>
    </row>
    <row r="981" ht="12.75" customHeight="1">
      <c r="A981" s="1">
        <v>0.0</v>
      </c>
      <c r="B981" s="2">
        <v>564731.0</v>
      </c>
      <c r="C981" s="1" t="s">
        <v>1810</v>
      </c>
      <c r="D981" s="1" t="s">
        <v>1811</v>
      </c>
      <c r="E981" s="1">
        <v>1.0</v>
      </c>
      <c r="F981" s="1">
        <v>0.0</v>
      </c>
    </row>
    <row r="982" ht="12.75" customHeight="1">
      <c r="A982" s="1">
        <v>0.0</v>
      </c>
      <c r="B982" s="2" t="s">
        <v>1812</v>
      </c>
      <c r="C982" s="1" t="s">
        <v>1813</v>
      </c>
      <c r="D982" s="1" t="s">
        <v>697</v>
      </c>
      <c r="E982" s="1">
        <v>1.0</v>
      </c>
      <c r="F982" s="1">
        <v>0.0</v>
      </c>
    </row>
    <row r="983" ht="12.75" customHeight="1">
      <c r="A983" s="1">
        <v>0.0</v>
      </c>
      <c r="B983" s="2">
        <v>7900110.0</v>
      </c>
      <c r="C983" s="1" t="s">
        <v>916</v>
      </c>
      <c r="D983" s="1" t="s">
        <v>1814</v>
      </c>
      <c r="E983" s="1">
        <v>1.0</v>
      </c>
      <c r="F983" s="1">
        <v>0.0</v>
      </c>
    </row>
    <row r="984" ht="12.75" customHeight="1">
      <c r="A984" s="1">
        <v>0.0</v>
      </c>
      <c r="B984" s="2" t="s">
        <v>1815</v>
      </c>
      <c r="C984" s="1" t="s">
        <v>1816</v>
      </c>
      <c r="D984" s="1" t="s">
        <v>1814</v>
      </c>
      <c r="E984" s="1">
        <v>1.0</v>
      </c>
      <c r="F984" s="1">
        <v>0.0</v>
      </c>
    </row>
    <row r="985" ht="12.75" customHeight="1">
      <c r="A985" s="1">
        <v>0.0</v>
      </c>
      <c r="B985" s="2" t="s">
        <v>1817</v>
      </c>
      <c r="C985" s="1" t="s">
        <v>1818</v>
      </c>
      <c r="D985" s="1" t="s">
        <v>1819</v>
      </c>
      <c r="E985" s="1">
        <v>1.0</v>
      </c>
      <c r="F985" s="1">
        <v>0.0</v>
      </c>
    </row>
    <row r="986" ht="12.75" customHeight="1">
      <c r="A986" s="1">
        <v>0.0</v>
      </c>
      <c r="B986" s="2" t="s">
        <v>1820</v>
      </c>
      <c r="C986" s="1" t="s">
        <v>466</v>
      </c>
      <c r="D986" s="1" t="s">
        <v>1821</v>
      </c>
      <c r="E986" s="1">
        <v>1.0</v>
      </c>
      <c r="F986" s="1">
        <v>0.0</v>
      </c>
    </row>
    <row r="987" ht="12.75" customHeight="1">
      <c r="A987" s="1">
        <v>0.0</v>
      </c>
      <c r="B987" s="2">
        <v>562383.0</v>
      </c>
      <c r="C987" s="1" t="s">
        <v>1822</v>
      </c>
      <c r="D987" s="1" t="s">
        <v>1823</v>
      </c>
      <c r="E987" s="1">
        <v>1.0</v>
      </c>
      <c r="F987" s="1">
        <v>0.0</v>
      </c>
    </row>
    <row r="988" ht="12.75" customHeight="1">
      <c r="A988" s="1">
        <v>0.0</v>
      </c>
      <c r="B988" s="2">
        <v>7900112.0</v>
      </c>
      <c r="C988" s="1" t="s">
        <v>916</v>
      </c>
      <c r="D988" s="1" t="s">
        <v>467</v>
      </c>
      <c r="E988" s="1">
        <v>1.0</v>
      </c>
      <c r="F988" s="1">
        <v>0.0</v>
      </c>
    </row>
    <row r="989" ht="12.75" customHeight="1">
      <c r="A989" s="1">
        <v>0.0</v>
      </c>
      <c r="B989" s="2" t="s">
        <v>1824</v>
      </c>
      <c r="C989" s="1" t="s">
        <v>1825</v>
      </c>
      <c r="D989" s="1" t="s">
        <v>467</v>
      </c>
      <c r="E989" s="1">
        <v>1.0</v>
      </c>
      <c r="F989" s="1">
        <v>0.0</v>
      </c>
    </row>
    <row r="990" ht="12.75" customHeight="1">
      <c r="A990" s="1">
        <v>0.0</v>
      </c>
      <c r="B990" s="2" t="s">
        <v>1826</v>
      </c>
      <c r="C990" s="1" t="s">
        <v>1827</v>
      </c>
      <c r="D990" s="1" t="s">
        <v>467</v>
      </c>
      <c r="E990" s="1">
        <v>1.0</v>
      </c>
      <c r="F990" s="1">
        <v>0.0</v>
      </c>
    </row>
    <row r="991" ht="12.75" customHeight="1">
      <c r="A991" s="1">
        <v>0.0</v>
      </c>
      <c r="B991" s="2" t="s">
        <v>1828</v>
      </c>
      <c r="C991" s="1" t="s">
        <v>1829</v>
      </c>
      <c r="D991" s="1" t="s">
        <v>467</v>
      </c>
      <c r="E991" s="1">
        <v>1.0</v>
      </c>
      <c r="F991" s="1">
        <v>0.0</v>
      </c>
    </row>
    <row r="992" ht="12.75" customHeight="1">
      <c r="A992" s="1">
        <v>0.0</v>
      </c>
      <c r="B992" s="2" t="s">
        <v>1830</v>
      </c>
      <c r="C992" s="1" t="s">
        <v>1831</v>
      </c>
      <c r="D992" s="1" t="s">
        <v>467</v>
      </c>
      <c r="E992" s="1">
        <v>1.0</v>
      </c>
      <c r="F992" s="1">
        <v>0.0</v>
      </c>
    </row>
    <row r="993" ht="12.75" customHeight="1">
      <c r="A993" s="1">
        <v>0.0</v>
      </c>
      <c r="B993" s="2" t="s">
        <v>1832</v>
      </c>
      <c r="C993" s="1" t="s">
        <v>1833</v>
      </c>
      <c r="D993" s="1" t="s">
        <v>467</v>
      </c>
      <c r="E993" s="1">
        <v>1.0</v>
      </c>
      <c r="F993" s="1">
        <v>0.0</v>
      </c>
    </row>
    <row r="994" ht="12.75" customHeight="1">
      <c r="A994" s="1">
        <v>0.0</v>
      </c>
      <c r="B994" s="2" t="s">
        <v>1834</v>
      </c>
      <c r="C994" s="1" t="s">
        <v>1835</v>
      </c>
      <c r="D994" s="1" t="s">
        <v>467</v>
      </c>
      <c r="E994" s="1">
        <v>1.0</v>
      </c>
      <c r="F994" s="1">
        <v>0.0</v>
      </c>
    </row>
    <row r="995" ht="12.75" customHeight="1">
      <c r="A995" s="1">
        <v>0.0</v>
      </c>
      <c r="B995" s="2" t="s">
        <v>1836</v>
      </c>
      <c r="C995" s="1" t="s">
        <v>1837</v>
      </c>
      <c r="D995" s="1" t="s">
        <v>467</v>
      </c>
      <c r="E995" s="1">
        <v>1.0</v>
      </c>
      <c r="F995" s="1">
        <v>0.0</v>
      </c>
    </row>
    <row r="996" ht="12.75" customHeight="1">
      <c r="A996" s="1">
        <v>0.0</v>
      </c>
      <c r="B996" s="2" t="s">
        <v>1838</v>
      </c>
      <c r="C996" s="1" t="s">
        <v>1839</v>
      </c>
      <c r="D996" s="1" t="s">
        <v>467</v>
      </c>
      <c r="E996" s="1">
        <v>1.0</v>
      </c>
      <c r="F996" s="1">
        <v>0.0</v>
      </c>
    </row>
    <row r="997" ht="12.75" customHeight="1">
      <c r="A997" s="1">
        <v>0.0</v>
      </c>
      <c r="B997" s="2" t="s">
        <v>1840</v>
      </c>
      <c r="C997" s="1" t="s">
        <v>1841</v>
      </c>
      <c r="D997" s="1" t="s">
        <v>467</v>
      </c>
      <c r="E997" s="1">
        <v>1.0</v>
      </c>
      <c r="F997" s="1">
        <v>0.0</v>
      </c>
    </row>
    <row r="998" ht="12.75" customHeight="1">
      <c r="A998" s="1">
        <v>0.0</v>
      </c>
      <c r="B998" s="2">
        <v>7900114.0</v>
      </c>
      <c r="C998" s="1" t="s">
        <v>916</v>
      </c>
      <c r="D998" s="1" t="s">
        <v>700</v>
      </c>
      <c r="E998" s="1">
        <v>1.0</v>
      </c>
      <c r="F998" s="1">
        <v>0.0</v>
      </c>
    </row>
    <row r="999" ht="12.75" customHeight="1">
      <c r="A999" s="1">
        <v>0.0</v>
      </c>
      <c r="B999" s="2">
        <v>7.9001E8</v>
      </c>
      <c r="C999" s="1" t="s">
        <v>466</v>
      </c>
      <c r="D999" s="1" t="s">
        <v>700</v>
      </c>
      <c r="E999" s="1">
        <v>1.0</v>
      </c>
      <c r="F999" s="1">
        <v>0.0</v>
      </c>
    </row>
    <row r="1000" ht="12.75" customHeight="1">
      <c r="A1000" s="1">
        <v>0.0</v>
      </c>
      <c r="B1000" s="2" t="s">
        <v>1842</v>
      </c>
      <c r="C1000" s="1" t="s">
        <v>1843</v>
      </c>
      <c r="D1000" s="1" t="s">
        <v>700</v>
      </c>
      <c r="E1000" s="1">
        <v>1.0</v>
      </c>
      <c r="F1000" s="1">
        <v>0.0</v>
      </c>
    </row>
    <row r="1001" ht="12.75" customHeight="1">
      <c r="A1001" s="1">
        <v>0.0</v>
      </c>
      <c r="B1001" s="2" t="s">
        <v>1844</v>
      </c>
      <c r="C1001" s="1" t="s">
        <v>1831</v>
      </c>
      <c r="D1001" s="1" t="s">
        <v>700</v>
      </c>
      <c r="E1001" s="1">
        <v>1.0</v>
      </c>
      <c r="F1001" s="1">
        <v>0.0</v>
      </c>
    </row>
    <row r="1002" ht="12.75" customHeight="1">
      <c r="A1002" s="1">
        <v>0.0</v>
      </c>
      <c r="B1002" s="2" t="s">
        <v>1845</v>
      </c>
      <c r="C1002" s="1" t="s">
        <v>1846</v>
      </c>
      <c r="D1002" s="1" t="s">
        <v>700</v>
      </c>
      <c r="E1002" s="1">
        <v>1.0</v>
      </c>
      <c r="F1002" s="1">
        <v>0.0</v>
      </c>
    </row>
    <row r="1003" ht="12.75" customHeight="1">
      <c r="A1003" s="1">
        <v>0.0</v>
      </c>
      <c r="B1003" s="2" t="s">
        <v>1847</v>
      </c>
      <c r="C1003" s="1" t="s">
        <v>921</v>
      </c>
      <c r="D1003" s="1" t="s">
        <v>700</v>
      </c>
      <c r="E1003" s="1">
        <v>1.0</v>
      </c>
      <c r="F1003" s="1">
        <v>0.0</v>
      </c>
    </row>
    <row r="1004" ht="12.75" customHeight="1">
      <c r="A1004" s="1">
        <v>0.0</v>
      </c>
      <c r="B1004" s="2" t="s">
        <v>1848</v>
      </c>
      <c r="C1004" s="1" t="s">
        <v>1849</v>
      </c>
      <c r="D1004" s="1" t="s">
        <v>700</v>
      </c>
      <c r="E1004" s="1">
        <v>1.0</v>
      </c>
      <c r="F1004" s="1">
        <v>0.0</v>
      </c>
    </row>
    <row r="1005" ht="12.75" customHeight="1">
      <c r="A1005" s="1">
        <v>0.0</v>
      </c>
      <c r="B1005" s="2" t="s">
        <v>1850</v>
      </c>
      <c r="C1005" s="1" t="s">
        <v>1851</v>
      </c>
      <c r="D1005" s="1" t="s">
        <v>700</v>
      </c>
      <c r="E1005" s="1">
        <v>1.0</v>
      </c>
      <c r="F1005" s="1">
        <v>0.0</v>
      </c>
    </row>
    <row r="1006" ht="12.75" customHeight="1">
      <c r="A1006" s="1">
        <v>0.0</v>
      </c>
      <c r="B1006" s="2" t="s">
        <v>1852</v>
      </c>
      <c r="C1006" s="1" t="s">
        <v>1853</v>
      </c>
      <c r="D1006" s="1" t="s">
        <v>700</v>
      </c>
      <c r="E1006" s="1">
        <v>1.0</v>
      </c>
      <c r="F1006" s="1">
        <v>0.0</v>
      </c>
    </row>
    <row r="1007" ht="12.75" customHeight="1">
      <c r="A1007" s="1">
        <v>0.0</v>
      </c>
      <c r="B1007" s="2" t="s">
        <v>1854</v>
      </c>
      <c r="C1007" s="1" t="s">
        <v>1855</v>
      </c>
      <c r="D1007" s="1" t="s">
        <v>700</v>
      </c>
      <c r="E1007" s="1">
        <v>1.0</v>
      </c>
      <c r="F1007" s="1">
        <v>0.0</v>
      </c>
    </row>
    <row r="1008" ht="12.75" customHeight="1">
      <c r="A1008" s="1">
        <v>0.0</v>
      </c>
      <c r="B1008" s="2" t="s">
        <v>1856</v>
      </c>
      <c r="C1008" s="1" t="s">
        <v>1857</v>
      </c>
      <c r="D1008" s="1" t="s">
        <v>1858</v>
      </c>
      <c r="E1008" s="1">
        <v>1.0</v>
      </c>
      <c r="F1008" s="1">
        <v>0.0</v>
      </c>
    </row>
    <row r="1009" ht="12.75" customHeight="1">
      <c r="A1009" s="1">
        <v>0.0</v>
      </c>
      <c r="B1009" s="2" t="s">
        <v>1859</v>
      </c>
      <c r="C1009" s="1" t="s">
        <v>921</v>
      </c>
      <c r="D1009" s="1" t="s">
        <v>1860</v>
      </c>
      <c r="E1009" s="1">
        <v>1.0</v>
      </c>
      <c r="F1009" s="1">
        <v>0.0</v>
      </c>
    </row>
    <row r="1010" ht="12.75" customHeight="1">
      <c r="A1010" s="1">
        <v>0.0</v>
      </c>
      <c r="B1010" s="2" t="s">
        <v>1861</v>
      </c>
      <c r="C1010" s="1" t="s">
        <v>1862</v>
      </c>
      <c r="D1010" s="1" t="s">
        <v>1860</v>
      </c>
      <c r="E1010" s="1">
        <v>1.0</v>
      </c>
      <c r="F1010" s="1">
        <v>0.0</v>
      </c>
    </row>
    <row r="1011" ht="12.75" customHeight="1">
      <c r="A1011" s="1">
        <v>0.0</v>
      </c>
      <c r="B1011" s="2" t="s">
        <v>1863</v>
      </c>
      <c r="C1011" s="1" t="s">
        <v>1864</v>
      </c>
      <c r="D1011" s="1" t="s">
        <v>1860</v>
      </c>
      <c r="E1011" s="1">
        <v>1.0</v>
      </c>
      <c r="F1011" s="1">
        <v>0.0</v>
      </c>
    </row>
    <row r="1012" ht="12.75" customHeight="1">
      <c r="A1012" s="1">
        <v>0.0</v>
      </c>
      <c r="B1012" s="2" t="s">
        <v>1865</v>
      </c>
      <c r="C1012" s="1" t="s">
        <v>466</v>
      </c>
      <c r="D1012" s="1" t="s">
        <v>1860</v>
      </c>
      <c r="E1012" s="1">
        <v>1.0</v>
      </c>
      <c r="F1012" s="1">
        <v>0.0</v>
      </c>
    </row>
    <row r="1013" ht="12.75" customHeight="1">
      <c r="A1013" s="1">
        <v>0.0</v>
      </c>
      <c r="B1013" s="2" t="s">
        <v>1866</v>
      </c>
      <c r="C1013" s="1" t="s">
        <v>699</v>
      </c>
      <c r="D1013" s="1" t="s">
        <v>1860</v>
      </c>
      <c r="E1013" s="1">
        <v>1.0</v>
      </c>
      <c r="F1013" s="1">
        <v>0.0</v>
      </c>
    </row>
    <row r="1014" ht="12.75" customHeight="1">
      <c r="A1014" s="1">
        <v>0.0</v>
      </c>
      <c r="B1014" s="2" t="s">
        <v>1867</v>
      </c>
      <c r="C1014" s="1" t="s">
        <v>1868</v>
      </c>
      <c r="D1014" s="1" t="s">
        <v>1860</v>
      </c>
      <c r="E1014" s="1">
        <v>1.0</v>
      </c>
      <c r="F1014" s="1">
        <v>0.0</v>
      </c>
    </row>
    <row r="1015" ht="12.75" customHeight="1">
      <c r="A1015" s="1">
        <v>0.0</v>
      </c>
      <c r="B1015" s="2" t="s">
        <v>1869</v>
      </c>
      <c r="C1015" s="1" t="s">
        <v>1870</v>
      </c>
      <c r="D1015" s="1" t="s">
        <v>1860</v>
      </c>
      <c r="E1015" s="1">
        <v>1.0</v>
      </c>
      <c r="F1015" s="1">
        <v>0.0</v>
      </c>
    </row>
    <row r="1016" ht="12.75" customHeight="1">
      <c r="A1016" s="1">
        <v>0.0</v>
      </c>
      <c r="B1016" s="2" t="s">
        <v>1871</v>
      </c>
      <c r="C1016" s="1" t="s">
        <v>1872</v>
      </c>
      <c r="D1016" s="1" t="s">
        <v>1860</v>
      </c>
      <c r="E1016" s="1">
        <v>1.0</v>
      </c>
      <c r="F1016" s="1">
        <v>0.0</v>
      </c>
    </row>
    <row r="1017" ht="12.75" customHeight="1">
      <c r="A1017" s="1">
        <v>0.0</v>
      </c>
      <c r="B1017" s="2" t="s">
        <v>1873</v>
      </c>
      <c r="C1017" s="1" t="s">
        <v>1874</v>
      </c>
      <c r="D1017" s="1" t="s">
        <v>1860</v>
      </c>
      <c r="E1017" s="1">
        <v>1.0</v>
      </c>
      <c r="F1017" s="1">
        <v>0.0</v>
      </c>
    </row>
    <row r="1018" ht="12.75" customHeight="1">
      <c r="A1018" s="1">
        <v>0.0</v>
      </c>
      <c r="B1018" s="2" t="s">
        <v>1875</v>
      </c>
      <c r="C1018" s="1" t="s">
        <v>1876</v>
      </c>
      <c r="D1018" s="1" t="s">
        <v>1860</v>
      </c>
      <c r="E1018" s="1">
        <v>1.0</v>
      </c>
      <c r="F1018" s="1">
        <v>0.0</v>
      </c>
    </row>
    <row r="1019" ht="12.75" customHeight="1">
      <c r="A1019" s="1">
        <v>0.0</v>
      </c>
      <c r="B1019" s="2" t="s">
        <v>1877</v>
      </c>
      <c r="C1019" s="1" t="s">
        <v>1878</v>
      </c>
      <c r="D1019" s="1" t="s">
        <v>1879</v>
      </c>
      <c r="E1019" s="1">
        <v>1.0</v>
      </c>
      <c r="F1019" s="1">
        <v>0.0</v>
      </c>
    </row>
    <row r="1020" ht="12.75" customHeight="1">
      <c r="A1020" s="1">
        <v>0.0</v>
      </c>
      <c r="B1020" s="2" t="s">
        <v>1880</v>
      </c>
      <c r="C1020" s="1" t="s">
        <v>1881</v>
      </c>
      <c r="D1020" s="1" t="s">
        <v>1882</v>
      </c>
      <c r="E1020" s="1">
        <v>1.0</v>
      </c>
      <c r="F1020" s="1">
        <v>0.0</v>
      </c>
    </row>
    <row r="1021" ht="12.75" customHeight="1">
      <c r="A1021" s="1">
        <v>0.0</v>
      </c>
      <c r="B1021" s="2" t="s">
        <v>1883</v>
      </c>
      <c r="C1021" s="1" t="s">
        <v>466</v>
      </c>
      <c r="D1021" s="1" t="s">
        <v>1884</v>
      </c>
      <c r="E1021" s="1">
        <v>1.0</v>
      </c>
      <c r="F1021" s="1">
        <v>0.0</v>
      </c>
    </row>
    <row r="1022" ht="12.75" customHeight="1">
      <c r="A1022" s="1">
        <v>0.0</v>
      </c>
      <c r="B1022" s="2" t="s">
        <v>1885</v>
      </c>
      <c r="C1022" s="1" t="s">
        <v>466</v>
      </c>
      <c r="D1022" s="1" t="s">
        <v>1886</v>
      </c>
      <c r="E1022" s="1">
        <v>1.0</v>
      </c>
      <c r="F1022" s="1">
        <v>0.0</v>
      </c>
    </row>
    <row r="1023" ht="12.75" customHeight="1">
      <c r="A1023" s="1">
        <v>0.0</v>
      </c>
      <c r="B1023" s="2" t="s">
        <v>1887</v>
      </c>
      <c r="C1023" s="1" t="s">
        <v>1888</v>
      </c>
      <c r="D1023" s="1" t="s">
        <v>1889</v>
      </c>
      <c r="E1023" s="1">
        <v>1.0</v>
      </c>
      <c r="F1023" s="1">
        <v>0.0</v>
      </c>
    </row>
    <row r="1024" ht="12.75" customHeight="1">
      <c r="A1024" s="1">
        <v>0.0</v>
      </c>
      <c r="B1024" s="2" t="s">
        <v>1890</v>
      </c>
      <c r="C1024" s="1" t="s">
        <v>466</v>
      </c>
      <c r="D1024" s="1" t="s">
        <v>1891</v>
      </c>
      <c r="E1024" s="1">
        <v>1.0</v>
      </c>
      <c r="F1024" s="1">
        <v>0.0</v>
      </c>
    </row>
    <row r="1025" ht="12.75" customHeight="1">
      <c r="A1025" s="1">
        <v>0.0</v>
      </c>
      <c r="B1025" s="2">
        <v>7900102.0</v>
      </c>
      <c r="C1025" s="1" t="s">
        <v>916</v>
      </c>
      <c r="D1025" s="1" t="s">
        <v>703</v>
      </c>
      <c r="E1025" s="1">
        <v>1.0</v>
      </c>
      <c r="F1025" s="1">
        <v>0.0</v>
      </c>
    </row>
    <row r="1026" ht="12.75" customHeight="1">
      <c r="A1026" s="1">
        <v>0.0</v>
      </c>
      <c r="B1026" s="2" t="s">
        <v>1892</v>
      </c>
      <c r="C1026" s="1" t="s">
        <v>466</v>
      </c>
      <c r="D1026" s="1" t="s">
        <v>703</v>
      </c>
      <c r="E1026" s="1">
        <v>1.0</v>
      </c>
      <c r="F1026" s="1">
        <v>0.0</v>
      </c>
    </row>
    <row r="1027" ht="12.75" customHeight="1">
      <c r="A1027" s="1">
        <v>0.0</v>
      </c>
      <c r="B1027" s="2" t="s">
        <v>1893</v>
      </c>
      <c r="C1027" s="1" t="s">
        <v>1831</v>
      </c>
      <c r="D1027" s="1" t="s">
        <v>703</v>
      </c>
      <c r="E1027" s="1">
        <v>1.0</v>
      </c>
      <c r="F1027" s="1">
        <v>0.0</v>
      </c>
    </row>
    <row r="1028" ht="12.75" customHeight="1">
      <c r="A1028" s="1">
        <v>0.0</v>
      </c>
      <c r="B1028" s="2">
        <v>7900108.0</v>
      </c>
      <c r="C1028" s="1" t="s">
        <v>916</v>
      </c>
      <c r="D1028" s="1" t="s">
        <v>705</v>
      </c>
      <c r="E1028" s="1">
        <v>1.0</v>
      </c>
      <c r="F1028" s="1">
        <v>0.0</v>
      </c>
    </row>
    <row r="1029" ht="12.75" customHeight="1">
      <c r="A1029" s="1">
        <v>0.0</v>
      </c>
      <c r="B1029" s="2">
        <v>7900202.0</v>
      </c>
      <c r="C1029" s="1" t="s">
        <v>916</v>
      </c>
      <c r="D1029" s="1" t="s">
        <v>1894</v>
      </c>
      <c r="E1029" s="1">
        <v>1.0</v>
      </c>
      <c r="F1029" s="1">
        <v>0.0</v>
      </c>
    </row>
    <row r="1030" ht="12.75" customHeight="1">
      <c r="A1030" s="1">
        <v>0.0</v>
      </c>
      <c r="B1030" s="2">
        <v>564723.0</v>
      </c>
      <c r="C1030" s="1" t="s">
        <v>1895</v>
      </c>
      <c r="D1030" s="1" t="s">
        <v>1896</v>
      </c>
      <c r="E1030" s="1">
        <v>1.0</v>
      </c>
      <c r="F1030" s="1">
        <v>0.0</v>
      </c>
    </row>
    <row r="1031" ht="12.75" customHeight="1">
      <c r="A1031" s="1">
        <v>0.0</v>
      </c>
      <c r="B1031" s="2">
        <v>564795.0</v>
      </c>
      <c r="C1031" s="1" t="s">
        <v>1897</v>
      </c>
      <c r="D1031" s="1" t="s">
        <v>708</v>
      </c>
      <c r="E1031" s="1">
        <v>1.0</v>
      </c>
      <c r="F1031" s="1">
        <v>0.0</v>
      </c>
    </row>
    <row r="1032" ht="12.75" customHeight="1">
      <c r="A1032" s="1">
        <v>0.0</v>
      </c>
      <c r="B1032" s="2" t="s">
        <v>1898</v>
      </c>
      <c r="C1032" s="1" t="s">
        <v>466</v>
      </c>
      <c r="D1032" s="1" t="s">
        <v>708</v>
      </c>
      <c r="E1032" s="1">
        <v>1.0</v>
      </c>
      <c r="F1032" s="1">
        <v>0.0</v>
      </c>
    </row>
    <row r="1033" ht="12.75" customHeight="1">
      <c r="A1033" s="1">
        <v>0.0</v>
      </c>
      <c r="B1033" s="2">
        <v>564777.0</v>
      </c>
      <c r="C1033" s="1" t="s">
        <v>1899</v>
      </c>
      <c r="D1033" s="1" t="s">
        <v>710</v>
      </c>
      <c r="E1033" s="1">
        <v>1.0</v>
      </c>
      <c r="F1033" s="1">
        <v>0.0</v>
      </c>
    </row>
    <row r="1034" ht="12.75" customHeight="1">
      <c r="A1034" s="1">
        <v>0.0</v>
      </c>
      <c r="B1034" s="2" t="s">
        <v>1900</v>
      </c>
      <c r="C1034" s="1" t="s">
        <v>466</v>
      </c>
      <c r="D1034" s="1" t="s">
        <v>1901</v>
      </c>
      <c r="E1034" s="1">
        <v>1.0</v>
      </c>
      <c r="F1034" s="1">
        <v>0.0</v>
      </c>
    </row>
    <row r="1035" ht="12.75" customHeight="1">
      <c r="A1035" s="1">
        <v>0.0</v>
      </c>
      <c r="B1035" s="2">
        <v>562105.0</v>
      </c>
      <c r="C1035" s="1" t="s">
        <v>1902</v>
      </c>
      <c r="D1035" s="1" t="s">
        <v>716</v>
      </c>
      <c r="E1035" s="1">
        <v>1.0</v>
      </c>
      <c r="F1035" s="1">
        <v>0.0</v>
      </c>
    </row>
    <row r="1036" ht="12.75" customHeight="1">
      <c r="A1036" s="1">
        <v>0.0</v>
      </c>
      <c r="B1036" s="2">
        <v>564776.0</v>
      </c>
      <c r="C1036" s="1" t="s">
        <v>1903</v>
      </c>
      <c r="D1036" s="1" t="s">
        <v>716</v>
      </c>
      <c r="E1036" s="1">
        <v>1.0</v>
      </c>
      <c r="F1036" s="1">
        <v>0.0</v>
      </c>
    </row>
    <row r="1037" ht="12.75" customHeight="1">
      <c r="A1037" s="1">
        <v>0.0</v>
      </c>
      <c r="B1037" s="2" t="s">
        <v>1904</v>
      </c>
      <c r="C1037" s="1" t="s">
        <v>1905</v>
      </c>
      <c r="D1037" s="1" t="s">
        <v>716</v>
      </c>
      <c r="E1037" s="1">
        <v>1.0</v>
      </c>
      <c r="F1037" s="1">
        <v>0.0</v>
      </c>
    </row>
    <row r="1038" ht="12.75" customHeight="1">
      <c r="A1038" s="1">
        <v>0.0</v>
      </c>
      <c r="B1038" s="2">
        <v>563326.0</v>
      </c>
      <c r="C1038" s="1" t="s">
        <v>1843</v>
      </c>
      <c r="D1038" s="1" t="s">
        <v>718</v>
      </c>
      <c r="E1038" s="1">
        <v>1.0</v>
      </c>
      <c r="F1038" s="1">
        <v>0.0</v>
      </c>
    </row>
    <row r="1039" ht="12.75" customHeight="1">
      <c r="A1039" s="1">
        <v>0.0</v>
      </c>
      <c r="B1039" s="2">
        <v>564760.0</v>
      </c>
      <c r="C1039" s="1" t="s">
        <v>1183</v>
      </c>
      <c r="D1039" s="1" t="s">
        <v>718</v>
      </c>
      <c r="E1039" s="1">
        <v>1.0</v>
      </c>
      <c r="F1039" s="1">
        <v>0.0</v>
      </c>
    </row>
    <row r="1040" ht="12.75" customHeight="1">
      <c r="A1040" s="1">
        <v>0.0</v>
      </c>
      <c r="B1040" s="2" t="s">
        <v>1906</v>
      </c>
      <c r="C1040" s="1" t="s">
        <v>1907</v>
      </c>
      <c r="D1040" s="1" t="s">
        <v>718</v>
      </c>
      <c r="E1040" s="1">
        <v>1.0</v>
      </c>
      <c r="F1040" s="1">
        <v>0.0</v>
      </c>
    </row>
    <row r="1041" ht="12.75" customHeight="1">
      <c r="A1041" s="1">
        <v>0.0</v>
      </c>
      <c r="B1041" s="2" t="s">
        <v>1908</v>
      </c>
      <c r="C1041" s="1" t="s">
        <v>1909</v>
      </c>
      <c r="D1041" s="1" t="s">
        <v>718</v>
      </c>
      <c r="E1041" s="1">
        <v>1.0</v>
      </c>
      <c r="F1041" s="1">
        <v>0.0</v>
      </c>
    </row>
    <row r="1042" ht="12.75" customHeight="1">
      <c r="A1042" s="1">
        <v>0.0</v>
      </c>
      <c r="B1042" s="2" t="s">
        <v>1910</v>
      </c>
      <c r="C1042" s="1" t="s">
        <v>1911</v>
      </c>
      <c r="D1042" s="1" t="s">
        <v>718</v>
      </c>
      <c r="E1042" s="1">
        <v>1.0</v>
      </c>
      <c r="F1042" s="1">
        <v>0.0</v>
      </c>
    </row>
    <row r="1043" ht="12.75" customHeight="1">
      <c r="A1043" s="1">
        <v>0.0</v>
      </c>
      <c r="B1043" s="2" t="s">
        <v>1912</v>
      </c>
      <c r="C1043" s="1" t="s">
        <v>1913</v>
      </c>
      <c r="D1043" s="1" t="s">
        <v>718</v>
      </c>
      <c r="E1043" s="1">
        <v>1.0</v>
      </c>
      <c r="F1043" s="1">
        <v>0.0</v>
      </c>
    </row>
    <row r="1044" ht="12.75" customHeight="1">
      <c r="A1044" s="1">
        <v>0.0</v>
      </c>
      <c r="B1044" s="2" t="s">
        <v>1914</v>
      </c>
      <c r="C1044" s="1" t="s">
        <v>1915</v>
      </c>
      <c r="D1044" s="1" t="s">
        <v>718</v>
      </c>
      <c r="E1044" s="1">
        <v>1.0</v>
      </c>
      <c r="F1044" s="1">
        <v>0.0</v>
      </c>
    </row>
    <row r="1045" ht="12.75" customHeight="1">
      <c r="A1045" s="1">
        <v>0.0</v>
      </c>
      <c r="B1045" s="2" t="s">
        <v>1916</v>
      </c>
      <c r="C1045" s="1" t="s">
        <v>1917</v>
      </c>
      <c r="D1045" s="1" t="s">
        <v>718</v>
      </c>
      <c r="E1045" s="1">
        <v>1.0</v>
      </c>
      <c r="F1045" s="1">
        <v>0.0</v>
      </c>
    </row>
    <row r="1046" ht="12.75" customHeight="1">
      <c r="A1046" s="1">
        <v>0.0</v>
      </c>
      <c r="B1046" s="2" t="s">
        <v>1918</v>
      </c>
      <c r="C1046" s="1" t="s">
        <v>1919</v>
      </c>
      <c r="D1046" s="1" t="s">
        <v>718</v>
      </c>
      <c r="E1046" s="1">
        <v>1.0</v>
      </c>
      <c r="F1046" s="1">
        <v>0.0</v>
      </c>
    </row>
    <row r="1047" ht="12.75" customHeight="1">
      <c r="A1047" s="1">
        <v>0.0</v>
      </c>
      <c r="B1047" s="2" t="s">
        <v>1920</v>
      </c>
      <c r="C1047" s="1" t="s">
        <v>1921</v>
      </c>
      <c r="D1047" s="1" t="s">
        <v>718</v>
      </c>
      <c r="E1047" s="1">
        <v>1.0</v>
      </c>
      <c r="F1047" s="1">
        <v>0.0</v>
      </c>
    </row>
    <row r="1048" ht="12.75" customHeight="1">
      <c r="A1048" s="1">
        <v>0.0</v>
      </c>
      <c r="B1048" s="2" t="s">
        <v>1922</v>
      </c>
      <c r="C1048" s="1" t="s">
        <v>1923</v>
      </c>
      <c r="D1048" s="1" t="s">
        <v>730</v>
      </c>
      <c r="E1048" s="1">
        <v>1.0</v>
      </c>
      <c r="F1048" s="1">
        <v>0.0</v>
      </c>
    </row>
    <row r="1049" ht="12.75" customHeight="1">
      <c r="A1049" s="1">
        <v>0.0</v>
      </c>
      <c r="B1049" s="2" t="s">
        <v>1924</v>
      </c>
      <c r="C1049" s="1" t="s">
        <v>1925</v>
      </c>
      <c r="D1049" s="1" t="s">
        <v>736</v>
      </c>
      <c r="E1049" s="1">
        <v>1.0</v>
      </c>
      <c r="F1049" s="1">
        <v>0.0</v>
      </c>
    </row>
    <row r="1050" ht="12.75" customHeight="1">
      <c r="A1050" s="1">
        <v>0.0</v>
      </c>
      <c r="B1050" s="2" t="s">
        <v>1926</v>
      </c>
      <c r="C1050" s="1" t="s">
        <v>1927</v>
      </c>
      <c r="D1050" s="1" t="s">
        <v>736</v>
      </c>
      <c r="E1050" s="1">
        <v>1.0</v>
      </c>
      <c r="F1050" s="1">
        <v>0.0</v>
      </c>
    </row>
    <row r="1051" ht="12.75" customHeight="1">
      <c r="A1051" s="1">
        <v>0.0</v>
      </c>
      <c r="B1051" s="2">
        <v>564769.0</v>
      </c>
      <c r="C1051" s="1" t="s">
        <v>1928</v>
      </c>
      <c r="D1051" s="1" t="s">
        <v>1929</v>
      </c>
      <c r="E1051" s="1">
        <v>1.0</v>
      </c>
      <c r="F1051" s="1">
        <v>0.0</v>
      </c>
    </row>
    <row r="1052" ht="12.75" customHeight="1">
      <c r="A1052" s="1">
        <v>0.0</v>
      </c>
      <c r="B1052" s="2" t="s">
        <v>1930</v>
      </c>
      <c r="C1052" s="1" t="s">
        <v>1931</v>
      </c>
      <c r="D1052" s="1" t="s">
        <v>1932</v>
      </c>
      <c r="E1052" s="1">
        <v>1.0</v>
      </c>
      <c r="F1052" s="1">
        <v>0.0</v>
      </c>
    </row>
    <row r="1053" ht="12.75" customHeight="1">
      <c r="A1053" s="1">
        <v>0.0</v>
      </c>
      <c r="B1053" s="2" t="s">
        <v>1933</v>
      </c>
      <c r="C1053" s="1" t="s">
        <v>1934</v>
      </c>
      <c r="D1053" s="1" t="s">
        <v>1935</v>
      </c>
      <c r="E1053" s="1">
        <v>1.0</v>
      </c>
      <c r="F1053" s="1">
        <v>0.0</v>
      </c>
    </row>
    <row r="1054" ht="12.75" customHeight="1">
      <c r="A1054" s="1">
        <v>0.0</v>
      </c>
      <c r="B1054" s="2" t="s">
        <v>1936</v>
      </c>
      <c r="C1054" s="1" t="s">
        <v>1937</v>
      </c>
      <c r="D1054" s="1" t="s">
        <v>1938</v>
      </c>
      <c r="E1054" s="1">
        <v>1.0</v>
      </c>
      <c r="F1054" s="1">
        <v>0.0</v>
      </c>
    </row>
    <row r="1055" ht="12.75" customHeight="1">
      <c r="A1055" s="1">
        <v>0.0</v>
      </c>
      <c r="B1055" s="2">
        <v>5090229.0</v>
      </c>
      <c r="C1055" s="1" t="s">
        <v>1939</v>
      </c>
      <c r="D1055" s="1" t="s">
        <v>1940</v>
      </c>
      <c r="E1055" s="1">
        <v>1.0</v>
      </c>
      <c r="F1055" s="1">
        <v>0.0</v>
      </c>
    </row>
    <row r="1056" ht="12.75" customHeight="1">
      <c r="A1056" s="1">
        <v>0.0</v>
      </c>
      <c r="B1056" s="2" t="s">
        <v>1941</v>
      </c>
      <c r="C1056" s="1" t="s">
        <v>1942</v>
      </c>
      <c r="D1056" s="1" t="s">
        <v>1943</v>
      </c>
      <c r="E1056" s="1">
        <v>1.0</v>
      </c>
      <c r="F1056" s="1">
        <v>0.0</v>
      </c>
    </row>
    <row r="1057" ht="12.75" customHeight="1">
      <c r="A1057" s="1">
        <v>0.0</v>
      </c>
      <c r="B1057" s="2">
        <v>5090030.0</v>
      </c>
      <c r="C1057" s="1" t="s">
        <v>1944</v>
      </c>
      <c r="D1057" s="1" t="s">
        <v>1945</v>
      </c>
      <c r="E1057" s="1">
        <v>1.0</v>
      </c>
      <c r="F1057" s="1">
        <v>0.0</v>
      </c>
    </row>
    <row r="1058" ht="12.75" customHeight="1">
      <c r="A1058" s="1">
        <v>0.0</v>
      </c>
      <c r="B1058" s="2">
        <v>3803622.0</v>
      </c>
      <c r="C1058" s="1" t="s">
        <v>1946</v>
      </c>
      <c r="D1058" s="1" t="s">
        <v>1947</v>
      </c>
      <c r="E1058" s="1">
        <v>1.0</v>
      </c>
      <c r="F1058" s="1">
        <v>0.0</v>
      </c>
    </row>
    <row r="1059" ht="12.75" customHeight="1">
      <c r="A1059" s="1">
        <v>0.0</v>
      </c>
      <c r="B1059" s="2" t="s">
        <v>1948</v>
      </c>
      <c r="C1059" s="1" t="s">
        <v>1949</v>
      </c>
      <c r="D1059" s="1" t="s">
        <v>1950</v>
      </c>
      <c r="E1059" s="1">
        <v>1.0</v>
      </c>
      <c r="F1059" s="1">
        <v>0.0</v>
      </c>
    </row>
    <row r="1060" ht="12.75" customHeight="1">
      <c r="A1060" s="1">
        <v>0.0</v>
      </c>
      <c r="B1060" s="2" t="s">
        <v>1951</v>
      </c>
      <c r="C1060" s="1" t="s">
        <v>1952</v>
      </c>
      <c r="D1060" s="1" t="s">
        <v>1953</v>
      </c>
      <c r="E1060" s="1">
        <v>1.0</v>
      </c>
      <c r="F1060" s="1">
        <v>0.0</v>
      </c>
    </row>
    <row r="1061" ht="12.75" customHeight="1">
      <c r="A1061" s="1">
        <v>0.0</v>
      </c>
      <c r="B1061" s="2">
        <v>564706.0</v>
      </c>
      <c r="C1061" s="1" t="s">
        <v>1954</v>
      </c>
      <c r="D1061" s="1" t="s">
        <v>1955</v>
      </c>
      <c r="E1061" s="1">
        <v>1.0</v>
      </c>
      <c r="F1061" s="1">
        <v>0.0</v>
      </c>
    </row>
    <row r="1062" ht="12.75" customHeight="1">
      <c r="A1062" s="1">
        <v>0.0</v>
      </c>
      <c r="B1062" s="2">
        <v>563323.0</v>
      </c>
      <c r="C1062" s="1" t="s">
        <v>1956</v>
      </c>
      <c r="D1062" s="1" t="s">
        <v>1957</v>
      </c>
      <c r="E1062" s="1">
        <v>1.0</v>
      </c>
      <c r="F1062" s="1">
        <v>0.0</v>
      </c>
    </row>
    <row r="1063" ht="12.75" customHeight="1">
      <c r="A1063" s="1">
        <v>0.0</v>
      </c>
      <c r="B1063" s="2">
        <v>564772.0</v>
      </c>
      <c r="C1063" s="1" t="s">
        <v>1958</v>
      </c>
      <c r="D1063" s="1" t="s">
        <v>1959</v>
      </c>
      <c r="E1063" s="1">
        <v>1.0</v>
      </c>
      <c r="F1063" s="1">
        <v>0.0</v>
      </c>
    </row>
    <row r="1064" ht="12.75" customHeight="1">
      <c r="A1064" s="1">
        <v>0.0</v>
      </c>
      <c r="B1064" s="2" t="s">
        <v>1960</v>
      </c>
      <c r="C1064" s="1" t="s">
        <v>1961</v>
      </c>
      <c r="D1064" s="1" t="s">
        <v>1962</v>
      </c>
      <c r="E1064" s="1">
        <v>1.0</v>
      </c>
      <c r="F1064" s="1">
        <v>0.0</v>
      </c>
    </row>
    <row r="1065" ht="12.75" customHeight="1">
      <c r="A1065" s="1">
        <v>0.0</v>
      </c>
      <c r="B1065" s="2" t="s">
        <v>1963</v>
      </c>
      <c r="C1065" s="1" t="s">
        <v>1964</v>
      </c>
      <c r="D1065" s="1" t="s">
        <v>1962</v>
      </c>
      <c r="E1065" s="1">
        <v>1.0</v>
      </c>
      <c r="F1065" s="1">
        <v>0.0</v>
      </c>
    </row>
    <row r="1066" ht="12.75" customHeight="1">
      <c r="A1066" s="1">
        <v>0.0</v>
      </c>
      <c r="B1066" s="2">
        <v>564715.0</v>
      </c>
      <c r="C1066" s="1" t="s">
        <v>1965</v>
      </c>
      <c r="D1066" s="1" t="s">
        <v>745</v>
      </c>
      <c r="E1066" s="1">
        <v>1.0</v>
      </c>
      <c r="F1066" s="1">
        <v>0.0</v>
      </c>
    </row>
    <row r="1067" ht="12.75" customHeight="1">
      <c r="A1067" s="1">
        <v>0.0</v>
      </c>
      <c r="B1067" s="2" t="s">
        <v>1966</v>
      </c>
      <c r="C1067" s="1" t="s">
        <v>1967</v>
      </c>
      <c r="D1067" s="1" t="s">
        <v>745</v>
      </c>
      <c r="E1067" s="1">
        <v>1.0</v>
      </c>
      <c r="F1067" s="1">
        <v>0.0</v>
      </c>
    </row>
    <row r="1068" ht="12.75" customHeight="1">
      <c r="A1068" s="1">
        <v>0.0</v>
      </c>
      <c r="B1068" s="2" t="s">
        <v>1968</v>
      </c>
      <c r="C1068" s="1" t="s">
        <v>1969</v>
      </c>
      <c r="D1068" s="1" t="s">
        <v>745</v>
      </c>
      <c r="E1068" s="1">
        <v>1.0</v>
      </c>
      <c r="F1068" s="1">
        <v>0.0</v>
      </c>
    </row>
    <row r="1069" ht="12.75" customHeight="1">
      <c r="A1069" s="1">
        <v>0.0</v>
      </c>
      <c r="B1069" s="2" t="s">
        <v>1970</v>
      </c>
      <c r="C1069" s="1" t="s">
        <v>1971</v>
      </c>
      <c r="D1069" s="1" t="s">
        <v>1972</v>
      </c>
      <c r="E1069" s="1">
        <v>1.0</v>
      </c>
      <c r="F1069" s="1">
        <v>0.0</v>
      </c>
    </row>
    <row r="1070" ht="12.75" customHeight="1">
      <c r="A1070" s="1">
        <v>0.0</v>
      </c>
      <c r="B1070" s="2" t="s">
        <v>1973</v>
      </c>
      <c r="C1070" s="1" t="s">
        <v>1974</v>
      </c>
      <c r="D1070" s="1" t="s">
        <v>1975</v>
      </c>
      <c r="E1070" s="1">
        <v>1.0</v>
      </c>
      <c r="F1070" s="1">
        <v>0.0</v>
      </c>
    </row>
    <row r="1071" ht="12.75" customHeight="1">
      <c r="A1071" s="1">
        <v>0.0</v>
      </c>
      <c r="B1071" s="2" t="s">
        <v>1976</v>
      </c>
      <c r="C1071" s="1" t="s">
        <v>1977</v>
      </c>
      <c r="D1071" s="1" t="s">
        <v>1975</v>
      </c>
      <c r="E1071" s="1">
        <v>1.0</v>
      </c>
      <c r="F1071" s="1">
        <v>0.0</v>
      </c>
    </row>
    <row r="1072" ht="12.75" customHeight="1">
      <c r="A1072" s="1">
        <v>0.0</v>
      </c>
      <c r="B1072" s="2">
        <v>563864.0</v>
      </c>
      <c r="C1072" s="1" t="s">
        <v>1978</v>
      </c>
      <c r="D1072" s="1" t="s">
        <v>1829</v>
      </c>
      <c r="E1072" s="1">
        <v>1.0</v>
      </c>
      <c r="F1072" s="1">
        <v>0.0</v>
      </c>
    </row>
    <row r="1073" ht="12.75" customHeight="1">
      <c r="A1073" s="1">
        <v>0.0</v>
      </c>
      <c r="B1073" s="2" t="s">
        <v>1979</v>
      </c>
      <c r="C1073" s="1" t="s">
        <v>1980</v>
      </c>
      <c r="D1073" s="1" t="s">
        <v>1831</v>
      </c>
      <c r="E1073" s="1">
        <v>1.0</v>
      </c>
      <c r="F1073" s="1">
        <v>0.0</v>
      </c>
    </row>
    <row r="1074" ht="12.75" customHeight="1">
      <c r="A1074" s="1">
        <v>0.0</v>
      </c>
      <c r="B1074" s="2" t="s">
        <v>1981</v>
      </c>
      <c r="C1074" s="1" t="s">
        <v>1982</v>
      </c>
      <c r="D1074" s="1" t="s">
        <v>1983</v>
      </c>
      <c r="E1074" s="1">
        <v>1.0</v>
      </c>
      <c r="F1074" s="1">
        <v>0.0</v>
      </c>
    </row>
    <row r="1075" ht="12.75" customHeight="1">
      <c r="A1075" s="1">
        <v>0.0</v>
      </c>
      <c r="B1075" s="2" t="s">
        <v>1984</v>
      </c>
      <c r="C1075" s="1" t="s">
        <v>1985</v>
      </c>
      <c r="D1075" s="1" t="s">
        <v>1986</v>
      </c>
      <c r="E1075" s="1">
        <v>1.0</v>
      </c>
      <c r="F1075" s="1">
        <v>0.0</v>
      </c>
    </row>
    <row r="1076" ht="12.75" customHeight="1">
      <c r="A1076" s="1">
        <v>0.0</v>
      </c>
      <c r="B1076" s="2">
        <v>562337.0</v>
      </c>
      <c r="C1076" s="1" t="s">
        <v>1987</v>
      </c>
      <c r="D1076" s="1" t="s">
        <v>1988</v>
      </c>
      <c r="E1076" s="1">
        <v>1.0</v>
      </c>
      <c r="F1076" s="1">
        <v>0.0</v>
      </c>
    </row>
    <row r="1077" ht="12.75" customHeight="1">
      <c r="A1077" s="1">
        <v>0.0</v>
      </c>
      <c r="B1077" s="2">
        <v>564736.0</v>
      </c>
      <c r="C1077" s="1" t="s">
        <v>1989</v>
      </c>
      <c r="D1077" s="1" t="s">
        <v>1988</v>
      </c>
      <c r="E1077" s="1">
        <v>1.0</v>
      </c>
      <c r="F1077" s="1">
        <v>0.0</v>
      </c>
    </row>
    <row r="1078" ht="12.75" customHeight="1">
      <c r="A1078" s="1">
        <v>0.0</v>
      </c>
      <c r="B1078" s="2" t="s">
        <v>1990</v>
      </c>
      <c r="C1078" s="1" t="s">
        <v>1991</v>
      </c>
      <c r="D1078" s="1" t="s">
        <v>1992</v>
      </c>
      <c r="E1078" s="1">
        <v>1.0</v>
      </c>
      <c r="F1078" s="1">
        <v>0.0</v>
      </c>
    </row>
    <row r="1079" ht="12.75" customHeight="1">
      <c r="A1079" s="1">
        <v>0.0</v>
      </c>
      <c r="B1079" s="2" t="s">
        <v>1993</v>
      </c>
      <c r="C1079" s="1" t="s">
        <v>261</v>
      </c>
      <c r="D1079" s="1" t="s">
        <v>1994</v>
      </c>
      <c r="E1079" s="1">
        <v>1.0</v>
      </c>
      <c r="F1079" s="1">
        <v>0.0</v>
      </c>
    </row>
    <row r="1080" ht="12.75" customHeight="1">
      <c r="A1080" s="1">
        <v>0.0</v>
      </c>
      <c r="B1080" s="2">
        <v>5090329.0</v>
      </c>
      <c r="C1080" s="1" t="s">
        <v>261</v>
      </c>
      <c r="D1080" s="1" t="s">
        <v>1995</v>
      </c>
      <c r="E1080" s="1">
        <v>1.0</v>
      </c>
      <c r="F1080" s="1">
        <v>0.0</v>
      </c>
    </row>
    <row r="1081" ht="12.75" customHeight="1">
      <c r="A1081" s="1">
        <v>0.0</v>
      </c>
      <c r="B1081" s="2">
        <v>5090330.0</v>
      </c>
      <c r="C1081" s="1" t="s">
        <v>261</v>
      </c>
      <c r="D1081" s="1" t="s">
        <v>1996</v>
      </c>
      <c r="E1081" s="1">
        <v>1.0</v>
      </c>
      <c r="F1081" s="1">
        <v>0.0</v>
      </c>
    </row>
    <row r="1082" ht="12.75" customHeight="1">
      <c r="A1082" s="1">
        <v>0.0</v>
      </c>
      <c r="B1082" s="2" t="s">
        <v>1997</v>
      </c>
      <c r="C1082" s="1" t="s">
        <v>1998</v>
      </c>
      <c r="D1082" s="1" t="s">
        <v>1999</v>
      </c>
      <c r="E1082" s="1">
        <v>1.0</v>
      </c>
      <c r="F1082" s="1">
        <v>0.0</v>
      </c>
    </row>
    <row r="1083" ht="12.75" customHeight="1">
      <c r="A1083" s="1">
        <v>0.0</v>
      </c>
      <c r="B1083" s="2" t="s">
        <v>2000</v>
      </c>
      <c r="C1083" s="1" t="s">
        <v>2001</v>
      </c>
      <c r="D1083" s="1" t="s">
        <v>2002</v>
      </c>
      <c r="E1083" s="1">
        <v>1.0</v>
      </c>
      <c r="F1083" s="1">
        <v>0.0</v>
      </c>
    </row>
    <row r="1084" ht="12.75" customHeight="1">
      <c r="A1084" s="1">
        <v>0.0</v>
      </c>
      <c r="B1084" s="2">
        <v>560358.0</v>
      </c>
      <c r="C1084" s="1" t="s">
        <v>2003</v>
      </c>
      <c r="D1084" s="1" t="s">
        <v>2004</v>
      </c>
      <c r="E1084" s="1">
        <v>1.0</v>
      </c>
      <c r="F1084" s="1">
        <v>0.0</v>
      </c>
    </row>
    <row r="1085" ht="12.75" customHeight="1">
      <c r="A1085" s="1">
        <v>0.0</v>
      </c>
      <c r="B1085" s="2" t="s">
        <v>2005</v>
      </c>
      <c r="C1085" s="1" t="s">
        <v>757</v>
      </c>
      <c r="D1085" s="1" t="s">
        <v>2006</v>
      </c>
      <c r="E1085" s="1">
        <v>1.0</v>
      </c>
      <c r="F1085" s="1">
        <v>0.0</v>
      </c>
    </row>
    <row r="1086" ht="12.75" customHeight="1">
      <c r="A1086" s="1">
        <v>0.0</v>
      </c>
      <c r="B1086" s="2">
        <v>1000102.0</v>
      </c>
      <c r="C1086" s="1" t="s">
        <v>753</v>
      </c>
      <c r="D1086" s="1" t="s">
        <v>2007</v>
      </c>
      <c r="E1086" s="1">
        <v>1.0</v>
      </c>
      <c r="F1086" s="1">
        <v>0.0</v>
      </c>
    </row>
    <row r="1087" ht="12.75" customHeight="1">
      <c r="A1087" s="1">
        <v>0.0</v>
      </c>
      <c r="B1087" s="2">
        <v>1870107.0</v>
      </c>
      <c r="C1087" s="1" t="s">
        <v>473</v>
      </c>
      <c r="D1087" s="1" t="s">
        <v>2008</v>
      </c>
      <c r="E1087" s="1">
        <v>1.0</v>
      </c>
      <c r="F1087" s="1">
        <v>0.0</v>
      </c>
    </row>
    <row r="1088" ht="12.75" customHeight="1">
      <c r="A1088" s="1">
        <v>0.0</v>
      </c>
      <c r="B1088" s="2">
        <v>8321008.0</v>
      </c>
      <c r="C1088" s="1" t="s">
        <v>278</v>
      </c>
      <c r="D1088" s="1" t="s">
        <v>2009</v>
      </c>
      <c r="E1088" s="1">
        <v>1.0</v>
      </c>
      <c r="F1088" s="1">
        <v>0.0</v>
      </c>
    </row>
    <row r="1089" ht="12.75" customHeight="1">
      <c r="A1089" s="1">
        <v>0.0</v>
      </c>
      <c r="B1089" s="2" t="s">
        <v>2010</v>
      </c>
      <c r="C1089" s="1" t="s">
        <v>2011</v>
      </c>
      <c r="D1089" s="1" t="s">
        <v>2012</v>
      </c>
      <c r="E1089" s="1">
        <v>1.0</v>
      </c>
      <c r="F1089" s="1">
        <v>0.0</v>
      </c>
    </row>
    <row r="1090" ht="12.75" customHeight="1">
      <c r="A1090" s="1">
        <v>0.0</v>
      </c>
      <c r="B1090" s="2" t="s">
        <v>2013</v>
      </c>
      <c r="C1090" s="1" t="s">
        <v>2014</v>
      </c>
      <c r="D1090" s="1" t="s">
        <v>2015</v>
      </c>
      <c r="E1090" s="1">
        <v>1.0</v>
      </c>
      <c r="F1090" s="1">
        <v>0.0</v>
      </c>
    </row>
    <row r="1091" ht="12.75" customHeight="1">
      <c r="A1091" s="1">
        <v>0.0</v>
      </c>
      <c r="B1091" s="2">
        <v>3720204.0</v>
      </c>
      <c r="C1091" s="1" t="s">
        <v>2016</v>
      </c>
      <c r="D1091" s="1" t="s">
        <v>2017</v>
      </c>
      <c r="E1091" s="1">
        <v>1.0</v>
      </c>
      <c r="F1091" s="1">
        <v>0.0</v>
      </c>
    </row>
    <row r="1092" ht="12.75" customHeight="1">
      <c r="A1092" s="1">
        <v>0.0</v>
      </c>
      <c r="B1092" s="2">
        <v>9600204.0</v>
      </c>
      <c r="C1092" s="1" t="s">
        <v>2018</v>
      </c>
      <c r="D1092" s="1" t="s">
        <v>2019</v>
      </c>
      <c r="E1092" s="1">
        <v>1.0</v>
      </c>
      <c r="F1092" s="1">
        <v>0.0</v>
      </c>
    </row>
    <row r="1093" ht="12.75" customHeight="1">
      <c r="A1093" s="1">
        <v>0.0</v>
      </c>
      <c r="B1093" s="2" t="s">
        <v>2020</v>
      </c>
      <c r="C1093" s="1" t="s">
        <v>2021</v>
      </c>
      <c r="D1093" s="1" t="s">
        <v>2022</v>
      </c>
      <c r="E1093" s="1">
        <v>1.0</v>
      </c>
      <c r="F1093" s="1">
        <v>0.0</v>
      </c>
    </row>
    <row r="1094" ht="12.75" customHeight="1">
      <c r="A1094" s="1">
        <v>0.0</v>
      </c>
      <c r="B1094" s="2">
        <v>564737.0</v>
      </c>
      <c r="C1094" s="1" t="s">
        <v>2003</v>
      </c>
      <c r="D1094" s="1" t="s">
        <v>2023</v>
      </c>
      <c r="E1094" s="1">
        <v>1.0</v>
      </c>
      <c r="F1094" s="1">
        <v>0.0</v>
      </c>
    </row>
    <row r="1095" ht="12.75" customHeight="1">
      <c r="A1095" s="1">
        <v>0.0</v>
      </c>
      <c r="B1095" s="2">
        <v>4060193.0</v>
      </c>
      <c r="C1095" s="1" t="s">
        <v>2024</v>
      </c>
      <c r="D1095" s="1" t="s">
        <v>2025</v>
      </c>
      <c r="E1095" s="1">
        <v>1.0</v>
      </c>
      <c r="F1095" s="1">
        <v>0.0</v>
      </c>
    </row>
    <row r="1096" ht="12.75" customHeight="1">
      <c r="A1096" s="1">
        <v>0.0</v>
      </c>
      <c r="B1096" s="2">
        <v>4060110.0</v>
      </c>
      <c r="C1096" s="1" t="s">
        <v>2026</v>
      </c>
      <c r="D1096" s="1" t="s">
        <v>2027</v>
      </c>
      <c r="E1096" s="1">
        <v>1.0</v>
      </c>
      <c r="F1096" s="1">
        <v>0.0</v>
      </c>
    </row>
    <row r="1097" ht="12.75" customHeight="1">
      <c r="A1097" s="1">
        <v>0.0</v>
      </c>
      <c r="B1097" s="2">
        <v>562257.0</v>
      </c>
      <c r="C1097" s="1" t="s">
        <v>2028</v>
      </c>
      <c r="D1097" s="1" t="s">
        <v>757</v>
      </c>
      <c r="E1097" s="1">
        <v>1.0</v>
      </c>
      <c r="F1097" s="1">
        <v>0.0</v>
      </c>
    </row>
    <row r="1098" ht="12.75" customHeight="1">
      <c r="A1098" s="1">
        <v>0.0</v>
      </c>
      <c r="B1098" s="2">
        <v>562264.0</v>
      </c>
      <c r="C1098" s="1" t="s">
        <v>2029</v>
      </c>
      <c r="D1098" s="1" t="s">
        <v>757</v>
      </c>
      <c r="E1098" s="1">
        <v>1.0</v>
      </c>
      <c r="F1098" s="1">
        <v>0.0</v>
      </c>
    </row>
    <row r="1099" ht="12.75" customHeight="1">
      <c r="A1099" s="1">
        <v>0.0</v>
      </c>
      <c r="B1099" s="2">
        <v>4060109.0</v>
      </c>
      <c r="C1099" s="1" t="s">
        <v>1235</v>
      </c>
      <c r="D1099" s="1" t="s">
        <v>757</v>
      </c>
      <c r="E1099" s="1">
        <v>1.0</v>
      </c>
      <c r="F1099" s="1">
        <v>0.0</v>
      </c>
    </row>
    <row r="1100" ht="12.75" customHeight="1">
      <c r="A1100" s="1">
        <v>0.0</v>
      </c>
      <c r="B1100" s="2">
        <v>4060116.0</v>
      </c>
      <c r="C1100" s="1" t="s">
        <v>2030</v>
      </c>
      <c r="D1100" s="1" t="s">
        <v>757</v>
      </c>
      <c r="E1100" s="1">
        <v>1.0</v>
      </c>
      <c r="F1100" s="1">
        <v>0.0</v>
      </c>
    </row>
    <row r="1101" ht="12.75" customHeight="1">
      <c r="A1101" s="1">
        <v>0.0</v>
      </c>
      <c r="B1101" s="2" t="s">
        <v>2031</v>
      </c>
      <c r="C1101" s="1" t="s">
        <v>2032</v>
      </c>
      <c r="D1101" s="1" t="s">
        <v>757</v>
      </c>
      <c r="E1101" s="1">
        <v>1.0</v>
      </c>
      <c r="F1101" s="1">
        <v>0.0</v>
      </c>
    </row>
    <row r="1102" ht="12.75" customHeight="1">
      <c r="A1102" s="1">
        <v>0.0</v>
      </c>
      <c r="B1102" s="2" t="s">
        <v>2033</v>
      </c>
      <c r="C1102" s="1" t="s">
        <v>2034</v>
      </c>
      <c r="D1102" s="1" t="s">
        <v>757</v>
      </c>
      <c r="E1102" s="1">
        <v>1.0</v>
      </c>
      <c r="F1102" s="1">
        <v>0.0</v>
      </c>
    </row>
    <row r="1103" ht="12.75" customHeight="1">
      <c r="A1103" s="1">
        <v>0.0</v>
      </c>
      <c r="B1103" s="2" t="s">
        <v>2035</v>
      </c>
      <c r="C1103" s="1" t="s">
        <v>2036</v>
      </c>
      <c r="D1103" s="1" t="s">
        <v>757</v>
      </c>
      <c r="E1103" s="1">
        <v>1.0</v>
      </c>
      <c r="F1103" s="1">
        <v>0.0</v>
      </c>
    </row>
    <row r="1104" ht="12.75" customHeight="1">
      <c r="A1104" s="1">
        <v>0.0</v>
      </c>
      <c r="B1104" s="2" t="s">
        <v>2037</v>
      </c>
      <c r="C1104" s="1" t="s">
        <v>2038</v>
      </c>
      <c r="D1104" s="1" t="s">
        <v>757</v>
      </c>
      <c r="E1104" s="1">
        <v>1.0</v>
      </c>
      <c r="F1104" s="1">
        <v>0.0</v>
      </c>
    </row>
    <row r="1105" ht="12.75" customHeight="1">
      <c r="A1105" s="1">
        <v>0.0</v>
      </c>
      <c r="B1105" s="2" t="s">
        <v>2039</v>
      </c>
      <c r="C1105" s="1" t="s">
        <v>2040</v>
      </c>
      <c r="D1105" s="1" t="s">
        <v>757</v>
      </c>
      <c r="E1105" s="1">
        <v>1.0</v>
      </c>
      <c r="F1105" s="1">
        <v>0.0</v>
      </c>
    </row>
    <row r="1106" ht="12.75" customHeight="1">
      <c r="A1106" s="1">
        <v>0.0</v>
      </c>
      <c r="B1106" s="2" t="s">
        <v>2041</v>
      </c>
      <c r="C1106" s="1" t="s">
        <v>2042</v>
      </c>
      <c r="D1106" s="1" t="s">
        <v>757</v>
      </c>
      <c r="E1106" s="1">
        <v>1.0</v>
      </c>
      <c r="F1106" s="1">
        <v>0.0</v>
      </c>
    </row>
    <row r="1107" ht="12.75" customHeight="1">
      <c r="A1107" s="1">
        <v>0.0</v>
      </c>
      <c r="B1107" s="2" t="s">
        <v>2043</v>
      </c>
      <c r="C1107" s="1" t="s">
        <v>2044</v>
      </c>
      <c r="D1107" s="1" t="s">
        <v>757</v>
      </c>
      <c r="E1107" s="1">
        <v>1.0</v>
      </c>
      <c r="F1107" s="1">
        <v>0.0</v>
      </c>
    </row>
    <row r="1108" ht="12.75" customHeight="1">
      <c r="A1108" s="1">
        <v>0.0</v>
      </c>
      <c r="B1108" s="2" t="s">
        <v>2045</v>
      </c>
      <c r="C1108" s="1" t="s">
        <v>2046</v>
      </c>
      <c r="D1108" s="1" t="s">
        <v>757</v>
      </c>
      <c r="E1108" s="1">
        <v>1.0</v>
      </c>
      <c r="F1108" s="1">
        <v>0.0</v>
      </c>
    </row>
    <row r="1109" ht="12.75" customHeight="1">
      <c r="A1109" s="1">
        <v>0.0</v>
      </c>
      <c r="B1109" s="2" t="s">
        <v>2047</v>
      </c>
      <c r="C1109" s="1" t="s">
        <v>2048</v>
      </c>
      <c r="D1109" s="1" t="s">
        <v>757</v>
      </c>
      <c r="E1109" s="1">
        <v>1.0</v>
      </c>
      <c r="F1109" s="1">
        <v>0.0</v>
      </c>
    </row>
    <row r="1110" ht="12.75" customHeight="1">
      <c r="A1110" s="1">
        <v>0.0</v>
      </c>
      <c r="B1110" s="2" t="s">
        <v>2049</v>
      </c>
      <c r="C1110" s="1" t="s">
        <v>2050</v>
      </c>
      <c r="D1110" s="1" t="s">
        <v>757</v>
      </c>
      <c r="E1110" s="1">
        <v>1.0</v>
      </c>
      <c r="F1110" s="1">
        <v>0.0</v>
      </c>
    </row>
    <row r="1111" ht="12.75" customHeight="1">
      <c r="A1111" s="1">
        <v>0.0</v>
      </c>
      <c r="B1111" s="2" t="s">
        <v>2051</v>
      </c>
      <c r="C1111" s="1" t="s">
        <v>2052</v>
      </c>
      <c r="D1111" s="1" t="s">
        <v>757</v>
      </c>
      <c r="E1111" s="1">
        <v>1.0</v>
      </c>
      <c r="F1111" s="1">
        <v>0.0</v>
      </c>
    </row>
    <row r="1112" ht="12.75" customHeight="1">
      <c r="A1112" s="1">
        <v>0.0</v>
      </c>
      <c r="B1112" s="2" t="s">
        <v>2053</v>
      </c>
      <c r="C1112" s="1" t="s">
        <v>2054</v>
      </c>
      <c r="D1112" s="1" t="s">
        <v>757</v>
      </c>
      <c r="E1112" s="1">
        <v>1.0</v>
      </c>
      <c r="F1112" s="1">
        <v>0.0</v>
      </c>
    </row>
    <row r="1113" ht="12.75" customHeight="1">
      <c r="A1113" s="1">
        <v>0.0</v>
      </c>
      <c r="B1113" s="2" t="s">
        <v>2055</v>
      </c>
      <c r="C1113" s="1" t="s">
        <v>2056</v>
      </c>
      <c r="D1113" s="1" t="s">
        <v>757</v>
      </c>
      <c r="E1113" s="1">
        <v>1.0</v>
      </c>
      <c r="F1113" s="1">
        <v>0.0</v>
      </c>
    </row>
    <row r="1114" ht="12.75" customHeight="1">
      <c r="A1114" s="1">
        <v>0.0</v>
      </c>
      <c r="B1114" s="2" t="s">
        <v>2057</v>
      </c>
      <c r="C1114" s="1" t="s">
        <v>2058</v>
      </c>
      <c r="D1114" s="1" t="s">
        <v>757</v>
      </c>
      <c r="E1114" s="1">
        <v>1.0</v>
      </c>
      <c r="F1114" s="1">
        <v>0.0</v>
      </c>
    </row>
    <row r="1115" ht="12.75" customHeight="1">
      <c r="A1115" s="1">
        <v>0.0</v>
      </c>
      <c r="B1115" s="2" t="s">
        <v>2059</v>
      </c>
      <c r="C1115" s="1" t="s">
        <v>2060</v>
      </c>
      <c r="D1115" s="1" t="s">
        <v>757</v>
      </c>
      <c r="E1115" s="1">
        <v>1.0</v>
      </c>
      <c r="F1115" s="1">
        <v>0.0</v>
      </c>
    </row>
    <row r="1116" ht="12.75" customHeight="1">
      <c r="A1116" s="1">
        <v>0.0</v>
      </c>
      <c r="B1116" s="2" t="s">
        <v>2061</v>
      </c>
      <c r="C1116" s="1" t="s">
        <v>854</v>
      </c>
      <c r="D1116" s="1" t="s">
        <v>757</v>
      </c>
      <c r="E1116" s="1">
        <v>1.0</v>
      </c>
      <c r="F1116" s="1">
        <v>0.0</v>
      </c>
    </row>
    <row r="1117" ht="12.75" customHeight="1">
      <c r="A1117" s="1">
        <v>0.0</v>
      </c>
      <c r="B1117" s="2" t="s">
        <v>2062</v>
      </c>
      <c r="C1117" s="1" t="s">
        <v>2063</v>
      </c>
      <c r="D1117" s="1" t="s">
        <v>757</v>
      </c>
      <c r="E1117" s="1">
        <v>1.0</v>
      </c>
      <c r="F1117" s="1">
        <v>0.0</v>
      </c>
    </row>
    <row r="1118" ht="12.75" customHeight="1">
      <c r="A1118" s="1">
        <v>0.0</v>
      </c>
      <c r="B1118" s="2" t="s">
        <v>2064</v>
      </c>
      <c r="C1118" s="1" t="s">
        <v>2065</v>
      </c>
      <c r="D1118" s="1" t="s">
        <v>757</v>
      </c>
      <c r="E1118" s="1">
        <v>1.0</v>
      </c>
      <c r="F1118" s="1">
        <v>0.0</v>
      </c>
    </row>
    <row r="1119" ht="12.75" customHeight="1">
      <c r="A1119" s="1">
        <v>0.0</v>
      </c>
      <c r="B1119" s="2" t="s">
        <v>2066</v>
      </c>
      <c r="C1119" s="1" t="s">
        <v>2067</v>
      </c>
      <c r="D1119" s="1" t="s">
        <v>757</v>
      </c>
      <c r="E1119" s="1">
        <v>1.0</v>
      </c>
      <c r="F1119" s="1">
        <v>0.0</v>
      </c>
    </row>
    <row r="1120" ht="12.75" customHeight="1">
      <c r="A1120" s="1">
        <v>0.0</v>
      </c>
      <c r="B1120" s="2" t="s">
        <v>2068</v>
      </c>
      <c r="C1120" s="1" t="s">
        <v>2069</v>
      </c>
      <c r="D1120" s="1" t="s">
        <v>757</v>
      </c>
      <c r="E1120" s="1">
        <v>1.0</v>
      </c>
      <c r="F1120" s="1">
        <v>0.0</v>
      </c>
    </row>
    <row r="1121" ht="12.75" customHeight="1">
      <c r="A1121" s="1">
        <v>0.0</v>
      </c>
      <c r="B1121" s="2" t="s">
        <v>2070</v>
      </c>
      <c r="C1121" s="1" t="s">
        <v>2071</v>
      </c>
      <c r="D1121" s="1" t="s">
        <v>2072</v>
      </c>
      <c r="E1121" s="1">
        <v>1.0</v>
      </c>
      <c r="F1121" s="1">
        <v>0.0</v>
      </c>
    </row>
    <row r="1122" ht="12.75" customHeight="1">
      <c r="A1122" s="1">
        <v>0.0</v>
      </c>
      <c r="B1122" s="2" t="s">
        <v>2073</v>
      </c>
      <c r="C1122" s="1" t="s">
        <v>2074</v>
      </c>
      <c r="D1122" s="1" t="s">
        <v>2075</v>
      </c>
      <c r="E1122" s="1">
        <v>1.0</v>
      </c>
      <c r="F1122" s="1">
        <v>0.0</v>
      </c>
    </row>
    <row r="1123" ht="12.75" customHeight="1">
      <c r="A1123" s="1">
        <v>0.0</v>
      </c>
      <c r="B1123" s="2" t="s">
        <v>2076</v>
      </c>
      <c r="C1123" s="1" t="s">
        <v>2077</v>
      </c>
      <c r="D1123" s="1" t="s">
        <v>766</v>
      </c>
      <c r="E1123" s="1">
        <v>1.0</v>
      </c>
      <c r="F1123" s="1">
        <v>0.0</v>
      </c>
    </row>
    <row r="1124" ht="12.75" customHeight="1">
      <c r="A1124" s="1">
        <v>0.0</v>
      </c>
      <c r="B1124" s="2" t="s">
        <v>2078</v>
      </c>
      <c r="C1124" s="1" t="s">
        <v>2079</v>
      </c>
      <c r="D1124" s="1" t="s">
        <v>2080</v>
      </c>
      <c r="E1124" s="1">
        <v>1.0</v>
      </c>
      <c r="F1124" s="1">
        <v>0.0</v>
      </c>
    </row>
    <row r="1125" ht="12.75" customHeight="1">
      <c r="A1125" s="1">
        <v>0.0</v>
      </c>
      <c r="B1125" s="2">
        <v>7900101.0</v>
      </c>
      <c r="C1125" s="1" t="s">
        <v>2081</v>
      </c>
      <c r="D1125" s="1" t="s">
        <v>2082</v>
      </c>
      <c r="E1125" s="1">
        <v>1.0</v>
      </c>
      <c r="F1125" s="1">
        <v>0.0</v>
      </c>
    </row>
    <row r="1126" ht="12.75" customHeight="1">
      <c r="A1126" s="1">
        <v>0.0</v>
      </c>
      <c r="B1126" s="2" t="s">
        <v>2083</v>
      </c>
      <c r="C1126" s="1" t="s">
        <v>2084</v>
      </c>
      <c r="D1126" s="1" t="s">
        <v>2082</v>
      </c>
      <c r="E1126" s="1">
        <v>1.0</v>
      </c>
      <c r="F1126" s="1">
        <v>0.0</v>
      </c>
    </row>
    <row r="1127" ht="12.75" customHeight="1">
      <c r="A1127" s="1">
        <v>0.0</v>
      </c>
      <c r="B1127" s="2" t="s">
        <v>2085</v>
      </c>
      <c r="C1127" s="1" t="s">
        <v>2086</v>
      </c>
      <c r="D1127" s="1" t="s">
        <v>2082</v>
      </c>
      <c r="E1127" s="1">
        <v>1.0</v>
      </c>
      <c r="F1127" s="1">
        <v>0.0</v>
      </c>
    </row>
    <row r="1128" ht="12.75" customHeight="1">
      <c r="A1128" s="1">
        <v>0.0</v>
      </c>
      <c r="B1128" s="2" t="s">
        <v>2087</v>
      </c>
      <c r="C1128" s="1" t="s">
        <v>2088</v>
      </c>
      <c r="D1128" s="1" t="s">
        <v>2082</v>
      </c>
      <c r="E1128" s="1">
        <v>1.0</v>
      </c>
      <c r="F1128" s="1">
        <v>0.0</v>
      </c>
    </row>
    <row r="1129" ht="12.75" customHeight="1">
      <c r="A1129" s="1">
        <v>0.0</v>
      </c>
      <c r="B1129" s="2" t="s">
        <v>2089</v>
      </c>
      <c r="C1129" s="1" t="s">
        <v>2090</v>
      </c>
      <c r="D1129" s="1" t="s">
        <v>769</v>
      </c>
      <c r="E1129" s="1">
        <v>1.0</v>
      </c>
      <c r="F1129" s="1">
        <v>0.0</v>
      </c>
    </row>
    <row r="1130" ht="12.75" customHeight="1">
      <c r="A1130" s="1">
        <v>0.0</v>
      </c>
      <c r="B1130" s="2" t="s">
        <v>2091</v>
      </c>
      <c r="C1130" s="1" t="s">
        <v>2092</v>
      </c>
      <c r="D1130" s="1" t="s">
        <v>769</v>
      </c>
      <c r="E1130" s="1">
        <v>1.0</v>
      </c>
      <c r="F1130" s="1">
        <v>0.0</v>
      </c>
    </row>
    <row r="1131" ht="12.75" customHeight="1">
      <c r="A1131" s="1">
        <v>0.0</v>
      </c>
      <c r="B1131" s="2" t="s">
        <v>2093</v>
      </c>
      <c r="C1131" s="1" t="s">
        <v>2094</v>
      </c>
      <c r="D1131" s="1" t="s">
        <v>2095</v>
      </c>
      <c r="E1131" s="1">
        <v>1.0</v>
      </c>
      <c r="F1131" s="1">
        <v>0.0</v>
      </c>
    </row>
    <row r="1132" ht="12.75" customHeight="1">
      <c r="A1132" s="1">
        <v>0.0</v>
      </c>
      <c r="B1132" s="2" t="s">
        <v>2096</v>
      </c>
      <c r="C1132" s="1" t="s">
        <v>2097</v>
      </c>
      <c r="D1132" s="1" t="s">
        <v>2098</v>
      </c>
      <c r="E1132" s="1">
        <v>1.0</v>
      </c>
      <c r="F1132" s="1">
        <v>0.0</v>
      </c>
    </row>
    <row r="1133" ht="12.75" customHeight="1">
      <c r="A1133" s="1">
        <v>0.0</v>
      </c>
      <c r="B1133" s="2" t="s">
        <v>2099</v>
      </c>
      <c r="C1133" s="1" t="s">
        <v>2100</v>
      </c>
      <c r="D1133" s="1" t="s">
        <v>2101</v>
      </c>
      <c r="E1133" s="1">
        <v>1.0</v>
      </c>
      <c r="F1133" s="1">
        <v>0.0</v>
      </c>
    </row>
    <row r="1134" ht="12.75" customHeight="1">
      <c r="A1134" s="1">
        <v>0.0</v>
      </c>
      <c r="B1134" s="2">
        <v>564770.0</v>
      </c>
      <c r="C1134" s="1" t="s">
        <v>2102</v>
      </c>
      <c r="D1134" s="1" t="s">
        <v>2103</v>
      </c>
      <c r="E1134" s="1">
        <v>1.0</v>
      </c>
      <c r="F1134" s="1">
        <v>0.0</v>
      </c>
    </row>
    <row r="1135" ht="12.75" customHeight="1">
      <c r="A1135" s="1">
        <v>0.0</v>
      </c>
      <c r="B1135" s="2">
        <v>564781.0</v>
      </c>
      <c r="C1135" s="1" t="s">
        <v>2104</v>
      </c>
      <c r="D1135" s="1" t="s">
        <v>2103</v>
      </c>
      <c r="E1135" s="1">
        <v>1.0</v>
      </c>
      <c r="F1135" s="1">
        <v>0.0</v>
      </c>
    </row>
    <row r="1136" ht="12.75" customHeight="1">
      <c r="A1136" s="1">
        <v>0.0</v>
      </c>
      <c r="B1136" s="2" t="s">
        <v>2105</v>
      </c>
      <c r="C1136" s="1" t="s">
        <v>2106</v>
      </c>
      <c r="D1136" s="1" t="s">
        <v>2107</v>
      </c>
      <c r="E1136" s="1">
        <v>1.0</v>
      </c>
      <c r="F1136" s="1">
        <v>0.0</v>
      </c>
    </row>
    <row r="1137" ht="12.75" customHeight="1">
      <c r="A1137" s="1">
        <v>0.0</v>
      </c>
      <c r="B1137" s="2">
        <v>3801705.0</v>
      </c>
      <c r="C1137" s="1" t="s">
        <v>2108</v>
      </c>
      <c r="D1137" s="1" t="s">
        <v>2109</v>
      </c>
      <c r="E1137" s="1">
        <v>1.0</v>
      </c>
      <c r="F1137" s="1">
        <v>0.0</v>
      </c>
    </row>
    <row r="1138" ht="12.75" customHeight="1">
      <c r="A1138" s="1">
        <v>0.0</v>
      </c>
      <c r="B1138" s="2" t="s">
        <v>2110</v>
      </c>
      <c r="C1138" s="1" t="s">
        <v>2111</v>
      </c>
      <c r="D1138" s="1" t="s">
        <v>2112</v>
      </c>
      <c r="E1138" s="1">
        <v>1.0</v>
      </c>
      <c r="F1138" s="1">
        <v>0.0</v>
      </c>
    </row>
    <row r="1139" ht="12.75" customHeight="1">
      <c r="A1139" s="1">
        <v>0.0</v>
      </c>
      <c r="B1139" s="2" t="s">
        <v>2113</v>
      </c>
      <c r="C1139" s="1" t="s">
        <v>2114</v>
      </c>
      <c r="D1139" s="1" t="s">
        <v>2115</v>
      </c>
      <c r="E1139" s="1">
        <v>1.0</v>
      </c>
      <c r="F1139" s="1">
        <v>0.0</v>
      </c>
    </row>
    <row r="1140" ht="12.75" customHeight="1">
      <c r="A1140" s="1">
        <v>0.0</v>
      </c>
      <c r="B1140" s="2" t="s">
        <v>2116</v>
      </c>
      <c r="C1140" s="1" t="s">
        <v>2117</v>
      </c>
      <c r="D1140" s="1" t="s">
        <v>2118</v>
      </c>
      <c r="E1140" s="1">
        <v>1.0</v>
      </c>
      <c r="F1140" s="1">
        <v>0.0</v>
      </c>
    </row>
    <row r="1141" ht="12.75" customHeight="1">
      <c r="A1141" s="1">
        <v>0.0</v>
      </c>
      <c r="B1141" s="2" t="s">
        <v>2119</v>
      </c>
      <c r="C1141" s="1" t="s">
        <v>2120</v>
      </c>
      <c r="D1141" s="1" t="s">
        <v>2121</v>
      </c>
      <c r="E1141" s="1">
        <v>1.0</v>
      </c>
      <c r="F1141" s="1">
        <v>0.0</v>
      </c>
    </row>
    <row r="1142" ht="12.75" customHeight="1">
      <c r="A1142" s="1">
        <v>0.0</v>
      </c>
      <c r="B1142" s="2" t="s">
        <v>2122</v>
      </c>
      <c r="C1142" s="1" t="s">
        <v>2123</v>
      </c>
      <c r="D1142" s="1" t="s">
        <v>2124</v>
      </c>
      <c r="E1142" s="1">
        <v>1.0</v>
      </c>
      <c r="F1142" s="1">
        <v>0.0</v>
      </c>
    </row>
    <row r="1143" ht="12.75" customHeight="1">
      <c r="A1143" s="1">
        <v>0.0</v>
      </c>
      <c r="B1143" s="2" t="s">
        <v>2125</v>
      </c>
      <c r="C1143" s="1" t="s">
        <v>2126</v>
      </c>
      <c r="D1143" s="1" t="s">
        <v>2127</v>
      </c>
      <c r="E1143" s="1">
        <v>1.0</v>
      </c>
      <c r="F1143" s="1">
        <v>0.0</v>
      </c>
    </row>
    <row r="1144" ht="12.75" customHeight="1">
      <c r="A1144" s="1">
        <v>0.0</v>
      </c>
      <c r="B1144" s="2" t="s">
        <v>2128</v>
      </c>
      <c r="C1144" s="1" t="s">
        <v>2129</v>
      </c>
      <c r="D1144" s="1" t="s">
        <v>2130</v>
      </c>
      <c r="E1144" s="1">
        <v>1.0</v>
      </c>
      <c r="F1144" s="1">
        <v>0.0</v>
      </c>
    </row>
    <row r="1145" ht="12.75" customHeight="1">
      <c r="A1145" s="1">
        <v>0.0</v>
      </c>
      <c r="B1145" s="2">
        <v>564767.0</v>
      </c>
      <c r="C1145" s="1" t="s">
        <v>2131</v>
      </c>
      <c r="D1145" s="1" t="s">
        <v>2132</v>
      </c>
      <c r="E1145" s="1">
        <v>1.0</v>
      </c>
      <c r="F1145" s="1">
        <v>0.0</v>
      </c>
    </row>
    <row r="1146" ht="12.75" customHeight="1">
      <c r="A1146" s="1">
        <v>0.0</v>
      </c>
      <c r="B1146" s="2" t="s">
        <v>2133</v>
      </c>
      <c r="C1146" s="1" t="s">
        <v>2134</v>
      </c>
      <c r="D1146" s="1" t="s">
        <v>2135</v>
      </c>
      <c r="E1146" s="1">
        <v>1.0</v>
      </c>
      <c r="F1146" s="1">
        <v>0.0</v>
      </c>
    </row>
    <row r="1147" ht="12.75" customHeight="1">
      <c r="A1147" s="1">
        <v>0.0</v>
      </c>
      <c r="B1147" s="2" t="s">
        <v>2136</v>
      </c>
      <c r="C1147" s="1" t="s">
        <v>757</v>
      </c>
      <c r="D1147" s="1" t="s">
        <v>2137</v>
      </c>
      <c r="E1147" s="1">
        <v>1.0</v>
      </c>
      <c r="F1147" s="1">
        <v>0.0</v>
      </c>
    </row>
    <row r="1148" ht="12.75" customHeight="1">
      <c r="A1148" s="1">
        <v>0.0</v>
      </c>
      <c r="B1148" s="2">
        <v>564785.0</v>
      </c>
      <c r="C1148" s="1" t="s">
        <v>2138</v>
      </c>
      <c r="D1148" s="1" t="s">
        <v>2139</v>
      </c>
      <c r="E1148" s="1">
        <v>1.0</v>
      </c>
      <c r="F1148" s="1">
        <v>0.0</v>
      </c>
    </row>
    <row r="1149" ht="12.75" customHeight="1">
      <c r="A1149" s="1">
        <v>0.0</v>
      </c>
      <c r="B1149" s="2" t="s">
        <v>2140</v>
      </c>
      <c r="C1149" s="1" t="s">
        <v>2141</v>
      </c>
      <c r="D1149" s="1" t="s">
        <v>2139</v>
      </c>
      <c r="E1149" s="1">
        <v>1.0</v>
      </c>
      <c r="F1149" s="1">
        <v>0.0</v>
      </c>
    </row>
    <row r="1150" ht="12.75" customHeight="1">
      <c r="A1150" s="1">
        <v>0.0</v>
      </c>
      <c r="B1150" s="2" t="s">
        <v>2142</v>
      </c>
      <c r="C1150" s="1" t="s">
        <v>2143</v>
      </c>
      <c r="D1150" s="1" t="s">
        <v>2139</v>
      </c>
      <c r="E1150" s="1">
        <v>1.0</v>
      </c>
      <c r="F1150" s="1">
        <v>0.0</v>
      </c>
    </row>
    <row r="1151" ht="12.75" customHeight="1">
      <c r="A1151" s="1">
        <v>0.0</v>
      </c>
      <c r="B1151" s="2" t="s">
        <v>2144</v>
      </c>
      <c r="C1151" s="1" t="s">
        <v>2145</v>
      </c>
      <c r="D1151" s="1" t="s">
        <v>2146</v>
      </c>
      <c r="E1151" s="1">
        <v>1.0</v>
      </c>
      <c r="F1151" s="1">
        <v>0.0</v>
      </c>
    </row>
    <row r="1152" ht="12.75" customHeight="1">
      <c r="A1152" s="1">
        <v>0.0</v>
      </c>
      <c r="B1152" s="2" t="s">
        <v>2147</v>
      </c>
      <c r="C1152" s="1" t="s">
        <v>2148</v>
      </c>
      <c r="D1152" s="1" t="s">
        <v>2148</v>
      </c>
      <c r="E1152" s="1">
        <v>1.0</v>
      </c>
      <c r="F1152" s="1">
        <v>0.0</v>
      </c>
    </row>
    <row r="1153" ht="12.75" customHeight="1">
      <c r="A1153" s="1">
        <v>0.0</v>
      </c>
      <c r="B1153" s="2" t="s">
        <v>2149</v>
      </c>
      <c r="C1153" s="1" t="s">
        <v>2150</v>
      </c>
      <c r="D1153" s="1" t="s">
        <v>2151</v>
      </c>
      <c r="E1153" s="1">
        <v>1.0</v>
      </c>
      <c r="F1153" s="1">
        <v>0.0</v>
      </c>
    </row>
    <row r="1154" ht="12.75" customHeight="1">
      <c r="A1154" s="1">
        <v>0.0</v>
      </c>
      <c r="B1154" s="2">
        <v>8321507.0</v>
      </c>
      <c r="C1154" s="1" t="s">
        <v>278</v>
      </c>
      <c r="D1154" s="1" t="s">
        <v>2152</v>
      </c>
      <c r="E1154" s="1">
        <v>1.0</v>
      </c>
      <c r="F1154" s="1">
        <v>0.0</v>
      </c>
    </row>
    <row r="1155" ht="12.75" customHeight="1">
      <c r="A1155" s="1">
        <v>0.0</v>
      </c>
      <c r="B1155" s="2" t="s">
        <v>2153</v>
      </c>
      <c r="C1155" s="1" t="s">
        <v>2154</v>
      </c>
      <c r="D1155" s="1" t="s">
        <v>2154</v>
      </c>
      <c r="E1155" s="1">
        <v>1.0</v>
      </c>
      <c r="F1155" s="1">
        <v>0.0</v>
      </c>
    </row>
    <row r="1156" ht="12.75" customHeight="1">
      <c r="A1156" s="1">
        <v>0.0</v>
      </c>
      <c r="B1156" s="2" t="s">
        <v>2155</v>
      </c>
      <c r="C1156" s="1" t="s">
        <v>2156</v>
      </c>
      <c r="D1156" s="1" t="s">
        <v>2157</v>
      </c>
      <c r="E1156" s="1">
        <v>1.0</v>
      </c>
      <c r="F1156" s="1">
        <v>0.0</v>
      </c>
    </row>
    <row r="1157" ht="12.75" customHeight="1">
      <c r="A1157" s="1">
        <v>0.0</v>
      </c>
      <c r="B1157" s="2" t="s">
        <v>2158</v>
      </c>
      <c r="C1157" s="1" t="s">
        <v>2159</v>
      </c>
      <c r="D1157" s="1" t="s">
        <v>2160</v>
      </c>
      <c r="E1157" s="1">
        <v>1.0</v>
      </c>
      <c r="F1157" s="1">
        <v>0.0</v>
      </c>
    </row>
    <row r="1158" ht="12.75" customHeight="1">
      <c r="A1158" s="1">
        <v>0.0</v>
      </c>
      <c r="B1158" s="2">
        <v>3805020.0</v>
      </c>
      <c r="C1158" s="1" t="s">
        <v>162</v>
      </c>
      <c r="D1158" s="1" t="s">
        <v>2161</v>
      </c>
      <c r="E1158" s="1">
        <v>1.0</v>
      </c>
      <c r="F1158" s="1">
        <v>0.0</v>
      </c>
    </row>
    <row r="1159" ht="12.75" customHeight="1">
      <c r="A1159" s="1">
        <v>0.0</v>
      </c>
      <c r="B1159" s="2">
        <v>3802562.0</v>
      </c>
      <c r="C1159" s="1" t="s">
        <v>2162</v>
      </c>
      <c r="D1159" s="1" t="s">
        <v>2163</v>
      </c>
      <c r="E1159" s="1">
        <v>1.0</v>
      </c>
      <c r="F1159" s="1">
        <v>0.0</v>
      </c>
    </row>
    <row r="1160" ht="12.75" customHeight="1">
      <c r="A1160" s="1">
        <v>0.0</v>
      </c>
      <c r="B1160" s="2">
        <v>3802557.0</v>
      </c>
      <c r="C1160" s="1" t="s">
        <v>207</v>
      </c>
      <c r="D1160" s="1" t="s">
        <v>2164</v>
      </c>
      <c r="E1160" s="1">
        <v>1.0</v>
      </c>
      <c r="F1160" s="1">
        <v>0.0</v>
      </c>
    </row>
    <row r="1161" ht="12.75" customHeight="1">
      <c r="A1161" s="1">
        <v>0.0</v>
      </c>
      <c r="B1161" s="2">
        <v>3802556.0</v>
      </c>
      <c r="C1161" s="1" t="s">
        <v>101</v>
      </c>
      <c r="D1161" s="1" t="s">
        <v>2165</v>
      </c>
      <c r="E1161" s="1">
        <v>1.0</v>
      </c>
      <c r="F1161" s="1">
        <v>0.0</v>
      </c>
    </row>
    <row r="1162" ht="12.75" customHeight="1">
      <c r="A1162" s="1">
        <v>0.0</v>
      </c>
      <c r="B1162" s="2" t="s">
        <v>2166</v>
      </c>
      <c r="C1162" s="1" t="s">
        <v>25</v>
      </c>
      <c r="D1162" s="1" t="s">
        <v>2167</v>
      </c>
      <c r="E1162" s="1">
        <v>1.0</v>
      </c>
      <c r="F1162" s="1">
        <v>0.0</v>
      </c>
    </row>
    <row r="1163" ht="12.75" customHeight="1">
      <c r="A1163" s="1">
        <v>0.0</v>
      </c>
      <c r="B1163" s="2" t="s">
        <v>2168</v>
      </c>
      <c r="C1163" s="1" t="s">
        <v>2169</v>
      </c>
      <c r="D1163" s="1" t="s">
        <v>2170</v>
      </c>
      <c r="E1163" s="1">
        <v>1.0</v>
      </c>
      <c r="F1163" s="1">
        <v>0.0</v>
      </c>
    </row>
    <row r="1164" ht="12.75" customHeight="1">
      <c r="A1164" s="1">
        <v>0.0</v>
      </c>
      <c r="B1164" s="2" t="s">
        <v>2171</v>
      </c>
      <c r="C1164" s="1" t="s">
        <v>2172</v>
      </c>
      <c r="D1164" s="1" t="s">
        <v>2173</v>
      </c>
      <c r="E1164" s="1">
        <v>1.0</v>
      </c>
      <c r="F1164" s="1">
        <v>0.0</v>
      </c>
    </row>
    <row r="1165" ht="12.75" customHeight="1">
      <c r="A1165" s="1">
        <v>0.0</v>
      </c>
      <c r="B1165" s="2">
        <v>562456.0</v>
      </c>
      <c r="C1165" s="1" t="s">
        <v>2174</v>
      </c>
      <c r="D1165" s="1" t="s">
        <v>2175</v>
      </c>
      <c r="E1165" s="1">
        <v>1.0</v>
      </c>
      <c r="F1165" s="1">
        <v>0.0</v>
      </c>
    </row>
    <row r="1166" ht="12.75" customHeight="1">
      <c r="A1166" s="1">
        <v>0.0</v>
      </c>
      <c r="B1166" s="2" t="s">
        <v>2176</v>
      </c>
      <c r="C1166" s="1" t="s">
        <v>2177</v>
      </c>
      <c r="D1166" s="1" t="s">
        <v>2178</v>
      </c>
      <c r="E1166" s="1">
        <v>1.0</v>
      </c>
      <c r="F1166" s="1">
        <v>0.0</v>
      </c>
    </row>
    <row r="1167" ht="12.75" customHeight="1">
      <c r="A1167" s="1">
        <v>0.0</v>
      </c>
      <c r="B1167" s="2">
        <v>564773.0</v>
      </c>
      <c r="C1167" s="1" t="s">
        <v>2179</v>
      </c>
      <c r="D1167" s="1" t="s">
        <v>801</v>
      </c>
      <c r="E1167" s="1">
        <v>1.0</v>
      </c>
      <c r="F1167" s="1">
        <v>0.0</v>
      </c>
    </row>
    <row r="1168" ht="12.75" customHeight="1">
      <c r="A1168" s="1">
        <v>0.0</v>
      </c>
      <c r="B1168" s="2" t="s">
        <v>2180</v>
      </c>
      <c r="C1168" s="1" t="s">
        <v>2181</v>
      </c>
      <c r="D1168" s="1" t="s">
        <v>801</v>
      </c>
      <c r="E1168" s="1">
        <v>1.0</v>
      </c>
      <c r="F1168" s="1">
        <v>0.0</v>
      </c>
    </row>
    <row r="1169" ht="12.75" customHeight="1">
      <c r="A1169" s="1">
        <v>0.0</v>
      </c>
      <c r="B1169" s="2" t="s">
        <v>2182</v>
      </c>
      <c r="C1169" s="1" t="s">
        <v>2183</v>
      </c>
      <c r="D1169" s="1" t="s">
        <v>801</v>
      </c>
      <c r="E1169" s="1">
        <v>1.0</v>
      </c>
      <c r="F1169" s="1">
        <v>0.0</v>
      </c>
    </row>
    <row r="1170" ht="12.75" customHeight="1">
      <c r="A1170" s="1">
        <v>0.0</v>
      </c>
      <c r="B1170" s="2" t="s">
        <v>2184</v>
      </c>
      <c r="C1170" s="1" t="s">
        <v>2185</v>
      </c>
      <c r="D1170" s="1" t="s">
        <v>801</v>
      </c>
      <c r="E1170" s="1">
        <v>1.0</v>
      </c>
      <c r="F1170" s="1">
        <v>0.0</v>
      </c>
    </row>
    <row r="1171" ht="12.75" customHeight="1">
      <c r="A1171" s="1">
        <v>0.0</v>
      </c>
      <c r="B1171" s="2" t="s">
        <v>2186</v>
      </c>
      <c r="C1171" s="1" t="s">
        <v>2187</v>
      </c>
      <c r="D1171" s="1" t="s">
        <v>801</v>
      </c>
      <c r="E1171" s="1">
        <v>1.0</v>
      </c>
      <c r="F1171" s="1">
        <v>0.0</v>
      </c>
    </row>
    <row r="1172" ht="12.75" customHeight="1">
      <c r="A1172" s="1">
        <v>0.0</v>
      </c>
      <c r="B1172" s="2">
        <v>562828.0</v>
      </c>
      <c r="C1172" s="1" t="s">
        <v>2188</v>
      </c>
      <c r="D1172" s="1" t="s">
        <v>805</v>
      </c>
      <c r="E1172" s="1">
        <v>1.0</v>
      </c>
      <c r="F1172" s="1">
        <v>0.0</v>
      </c>
    </row>
    <row r="1173" ht="12.75" customHeight="1">
      <c r="A1173" s="1">
        <v>0.0</v>
      </c>
      <c r="B1173" s="2">
        <v>563327.0</v>
      </c>
      <c r="C1173" s="1" t="s">
        <v>2189</v>
      </c>
      <c r="D1173" s="1" t="s">
        <v>805</v>
      </c>
      <c r="E1173" s="1">
        <v>1.0</v>
      </c>
      <c r="F1173" s="1">
        <v>0.0</v>
      </c>
    </row>
    <row r="1174" ht="12.75" customHeight="1">
      <c r="A1174" s="1">
        <v>0.0</v>
      </c>
      <c r="B1174" s="2">
        <v>564738.0</v>
      </c>
      <c r="C1174" s="1" t="s">
        <v>2190</v>
      </c>
      <c r="D1174" s="1" t="s">
        <v>805</v>
      </c>
      <c r="E1174" s="1">
        <v>1.0</v>
      </c>
      <c r="F1174" s="1">
        <v>0.0</v>
      </c>
    </row>
    <row r="1175" ht="12.75" customHeight="1">
      <c r="A1175" s="1">
        <v>0.0</v>
      </c>
      <c r="B1175" s="2">
        <v>564740.0</v>
      </c>
      <c r="C1175" s="1" t="s">
        <v>2191</v>
      </c>
      <c r="D1175" s="1" t="s">
        <v>805</v>
      </c>
      <c r="E1175" s="1">
        <v>1.0</v>
      </c>
      <c r="F1175" s="1">
        <v>0.0</v>
      </c>
    </row>
    <row r="1176" ht="12.75" customHeight="1">
      <c r="A1176" s="1">
        <v>0.0</v>
      </c>
      <c r="B1176" s="2" t="s">
        <v>2192</v>
      </c>
      <c r="C1176" s="1" t="s">
        <v>2193</v>
      </c>
      <c r="D1176" s="1" t="s">
        <v>805</v>
      </c>
      <c r="E1176" s="1">
        <v>1.0</v>
      </c>
      <c r="F1176" s="1">
        <v>0.0</v>
      </c>
    </row>
    <row r="1177" ht="12.75" customHeight="1">
      <c r="A1177" s="1">
        <v>0.0</v>
      </c>
      <c r="B1177" s="2" t="s">
        <v>2194</v>
      </c>
      <c r="C1177" s="1" t="s">
        <v>2195</v>
      </c>
      <c r="D1177" s="1" t="s">
        <v>805</v>
      </c>
      <c r="E1177" s="1">
        <v>1.0</v>
      </c>
      <c r="F1177" s="1">
        <v>0.0</v>
      </c>
    </row>
    <row r="1178" ht="12.75" customHeight="1">
      <c r="A1178" s="1">
        <v>0.0</v>
      </c>
      <c r="B1178" s="2" t="s">
        <v>2196</v>
      </c>
      <c r="C1178" s="1" t="s">
        <v>2197</v>
      </c>
      <c r="D1178" s="1" t="s">
        <v>805</v>
      </c>
      <c r="E1178" s="1">
        <v>1.0</v>
      </c>
      <c r="F1178" s="1">
        <v>0.0</v>
      </c>
    </row>
    <row r="1179" ht="12.75" customHeight="1">
      <c r="A1179" s="1">
        <v>0.0</v>
      </c>
      <c r="B1179" s="2" t="s">
        <v>2198</v>
      </c>
      <c r="C1179" s="1" t="s">
        <v>2199</v>
      </c>
      <c r="D1179" s="1" t="s">
        <v>805</v>
      </c>
      <c r="E1179" s="1">
        <v>1.0</v>
      </c>
      <c r="F1179" s="1">
        <v>0.0</v>
      </c>
    </row>
    <row r="1180" ht="12.75" customHeight="1">
      <c r="A1180" s="1">
        <v>0.0</v>
      </c>
      <c r="B1180" s="2" t="s">
        <v>2200</v>
      </c>
      <c r="C1180" s="1" t="s">
        <v>2201</v>
      </c>
      <c r="D1180" s="1" t="s">
        <v>805</v>
      </c>
      <c r="E1180" s="1">
        <v>1.0</v>
      </c>
      <c r="F1180" s="1">
        <v>0.0</v>
      </c>
    </row>
    <row r="1181" ht="12.75" customHeight="1">
      <c r="A1181" s="1">
        <v>0.0</v>
      </c>
      <c r="B1181" s="2" t="s">
        <v>2202</v>
      </c>
      <c r="C1181" s="1" t="s">
        <v>1752</v>
      </c>
      <c r="D1181" s="1" t="s">
        <v>805</v>
      </c>
      <c r="E1181" s="1">
        <v>1.0</v>
      </c>
      <c r="F1181" s="1">
        <v>0.0</v>
      </c>
    </row>
    <row r="1182" ht="12.75" customHeight="1">
      <c r="A1182" s="1">
        <v>0.0</v>
      </c>
      <c r="B1182" s="2">
        <v>564793.0</v>
      </c>
      <c r="C1182" s="1" t="s">
        <v>2203</v>
      </c>
      <c r="D1182" s="1" t="s">
        <v>811</v>
      </c>
      <c r="E1182" s="1">
        <v>1.0</v>
      </c>
      <c r="F1182" s="1">
        <v>0.0</v>
      </c>
    </row>
    <row r="1183" ht="12.75" customHeight="1">
      <c r="A1183" s="1">
        <v>0.0</v>
      </c>
      <c r="B1183" s="2" t="s">
        <v>2204</v>
      </c>
      <c r="C1183" s="1" t="s">
        <v>2205</v>
      </c>
      <c r="D1183" s="1" t="s">
        <v>811</v>
      </c>
      <c r="E1183" s="1">
        <v>1.0</v>
      </c>
      <c r="F1183" s="1">
        <v>0.0</v>
      </c>
    </row>
    <row r="1184" ht="12.75" customHeight="1">
      <c r="A1184" s="1">
        <v>0.0</v>
      </c>
      <c r="B1184" s="2" t="s">
        <v>2206</v>
      </c>
      <c r="C1184" s="1" t="s">
        <v>2207</v>
      </c>
      <c r="D1184" s="1" t="s">
        <v>811</v>
      </c>
      <c r="E1184" s="1">
        <v>1.0</v>
      </c>
      <c r="F1184" s="1">
        <v>0.0</v>
      </c>
    </row>
    <row r="1185" ht="12.75" customHeight="1">
      <c r="A1185" s="1">
        <v>0.0</v>
      </c>
      <c r="B1185" s="2" t="s">
        <v>2208</v>
      </c>
      <c r="C1185" s="1" t="s">
        <v>2209</v>
      </c>
      <c r="D1185" s="1" t="s">
        <v>811</v>
      </c>
      <c r="E1185" s="1">
        <v>1.0</v>
      </c>
      <c r="F1185" s="1">
        <v>0.0</v>
      </c>
    </row>
    <row r="1186" ht="12.75" customHeight="1">
      <c r="A1186" s="1">
        <v>0.0</v>
      </c>
      <c r="B1186" s="2" t="s">
        <v>2210</v>
      </c>
      <c r="C1186" s="1" t="s">
        <v>2211</v>
      </c>
      <c r="D1186" s="1" t="s">
        <v>2212</v>
      </c>
      <c r="E1186" s="1">
        <v>1.0</v>
      </c>
      <c r="F1186" s="1">
        <v>0.0</v>
      </c>
    </row>
    <row r="1187" ht="12.75" customHeight="1">
      <c r="A1187" s="1">
        <v>0.0</v>
      </c>
      <c r="B1187" s="2" t="s">
        <v>2213</v>
      </c>
      <c r="C1187" s="1" t="s">
        <v>2214</v>
      </c>
      <c r="D1187" s="1" t="s">
        <v>2215</v>
      </c>
      <c r="E1187" s="1">
        <v>1.0</v>
      </c>
      <c r="F1187" s="1">
        <v>0.0</v>
      </c>
    </row>
    <row r="1188" ht="12.75" customHeight="1">
      <c r="A1188" s="1">
        <v>0.0</v>
      </c>
      <c r="B1188" s="2">
        <v>8051103.0</v>
      </c>
      <c r="C1188" s="1" t="s">
        <v>6</v>
      </c>
      <c r="D1188" s="1" t="s">
        <v>2216</v>
      </c>
      <c r="E1188" s="1">
        <v>1.0</v>
      </c>
      <c r="F1188" s="1">
        <v>0.0</v>
      </c>
    </row>
    <row r="1189" ht="12.75" customHeight="1">
      <c r="A1189" s="1">
        <v>0.0</v>
      </c>
      <c r="B1189" s="2" t="s">
        <v>2217</v>
      </c>
      <c r="C1189" s="1" t="s">
        <v>2218</v>
      </c>
      <c r="D1189" s="1" t="s">
        <v>2219</v>
      </c>
      <c r="E1189" s="1">
        <v>1.0</v>
      </c>
      <c r="F1189" s="1">
        <v>0.0</v>
      </c>
    </row>
    <row r="1190" ht="12.75" customHeight="1">
      <c r="A1190" s="1">
        <v>0.0</v>
      </c>
      <c r="B1190" s="2" t="s">
        <v>2220</v>
      </c>
      <c r="C1190" s="1" t="s">
        <v>2221</v>
      </c>
      <c r="D1190" s="1" t="s">
        <v>2219</v>
      </c>
      <c r="E1190" s="1">
        <v>1.0</v>
      </c>
      <c r="F1190" s="1">
        <v>0.0</v>
      </c>
    </row>
    <row r="1191" ht="12.75" customHeight="1">
      <c r="A1191" s="1">
        <v>0.0</v>
      </c>
      <c r="B1191" s="2" t="s">
        <v>2222</v>
      </c>
      <c r="C1191" s="1" t="s">
        <v>2223</v>
      </c>
      <c r="D1191" s="1" t="s">
        <v>2219</v>
      </c>
      <c r="E1191" s="1">
        <v>1.0</v>
      </c>
      <c r="F1191" s="1">
        <v>0.0</v>
      </c>
    </row>
    <row r="1192" ht="12.75" customHeight="1">
      <c r="A1192" s="1">
        <v>0.0</v>
      </c>
      <c r="B1192" s="2" t="s">
        <v>2224</v>
      </c>
      <c r="C1192" s="1" t="s">
        <v>2225</v>
      </c>
      <c r="D1192" s="1" t="s">
        <v>2226</v>
      </c>
      <c r="E1192" s="1">
        <v>1.0</v>
      </c>
      <c r="F1192" s="1">
        <v>0.0</v>
      </c>
    </row>
    <row r="1193" ht="12.75" customHeight="1">
      <c r="A1193" s="1">
        <v>0.0</v>
      </c>
      <c r="B1193" s="2">
        <v>6270502.0</v>
      </c>
      <c r="C1193" s="1" t="s">
        <v>2227</v>
      </c>
      <c r="D1193" s="1" t="s">
        <v>2228</v>
      </c>
      <c r="E1193" s="1">
        <v>1.0</v>
      </c>
      <c r="F1193" s="1">
        <v>0.0</v>
      </c>
    </row>
    <row r="1194" ht="12.75" customHeight="1">
      <c r="A1194" s="1">
        <v>0.0</v>
      </c>
      <c r="B1194" s="2">
        <v>564710.0</v>
      </c>
      <c r="C1194" s="1" t="s">
        <v>2229</v>
      </c>
      <c r="D1194" s="1" t="s">
        <v>2230</v>
      </c>
      <c r="E1194" s="1">
        <v>1.0</v>
      </c>
      <c r="F1194" s="1">
        <v>0.0</v>
      </c>
    </row>
    <row r="1195" ht="12.75" customHeight="1">
      <c r="A1195" s="1">
        <v>0.0</v>
      </c>
      <c r="B1195" s="2">
        <v>562081.0</v>
      </c>
      <c r="C1195" s="1" t="s">
        <v>2231</v>
      </c>
      <c r="D1195" s="1" t="s">
        <v>2232</v>
      </c>
      <c r="E1195" s="1">
        <v>1.0</v>
      </c>
      <c r="F1195" s="1">
        <v>0.0</v>
      </c>
    </row>
    <row r="1196" ht="12.75" customHeight="1">
      <c r="A1196" s="1">
        <v>0.0</v>
      </c>
      <c r="B1196" s="2">
        <v>6610102.0</v>
      </c>
      <c r="C1196" s="1" t="s">
        <v>613</v>
      </c>
      <c r="D1196" s="1" t="s">
        <v>2233</v>
      </c>
      <c r="E1196" s="1">
        <v>1.0</v>
      </c>
      <c r="F1196" s="1">
        <v>0.0</v>
      </c>
    </row>
    <row r="1197" ht="12.75" customHeight="1">
      <c r="A1197" s="1">
        <v>0.0</v>
      </c>
      <c r="B1197" s="2" t="s">
        <v>2234</v>
      </c>
      <c r="C1197" s="1" t="s">
        <v>2235</v>
      </c>
      <c r="D1197" s="1" t="s">
        <v>2236</v>
      </c>
      <c r="E1197" s="1">
        <v>1.0</v>
      </c>
      <c r="F1197" s="1">
        <v>0.0</v>
      </c>
    </row>
    <row r="1198" ht="12.75" customHeight="1">
      <c r="A1198" s="1">
        <v>0.0</v>
      </c>
      <c r="B1198" s="2" t="s">
        <v>2237</v>
      </c>
      <c r="C1198" s="1" t="s">
        <v>2238</v>
      </c>
      <c r="D1198" s="1" t="s">
        <v>2239</v>
      </c>
      <c r="E1198" s="1">
        <v>1.0</v>
      </c>
      <c r="F1198" s="1">
        <v>0.0</v>
      </c>
    </row>
    <row r="1199" ht="12.75" customHeight="1">
      <c r="A1199" s="1">
        <v>0.0</v>
      </c>
      <c r="B1199" s="2" t="s">
        <v>2240</v>
      </c>
      <c r="C1199" s="1" t="s">
        <v>2241</v>
      </c>
      <c r="D1199" s="1" t="s">
        <v>2242</v>
      </c>
      <c r="E1199" s="1">
        <v>1.0</v>
      </c>
      <c r="F1199" s="1">
        <v>0.0</v>
      </c>
    </row>
    <row r="1200" ht="12.75" customHeight="1">
      <c r="A1200" s="1">
        <v>0.0</v>
      </c>
      <c r="B1200" s="2">
        <v>8021206.0</v>
      </c>
      <c r="C1200" s="1" t="s">
        <v>2243</v>
      </c>
      <c r="D1200" s="1" t="s">
        <v>2244</v>
      </c>
      <c r="E1200" s="1">
        <v>1.0</v>
      </c>
      <c r="F1200" s="1">
        <v>0.0</v>
      </c>
    </row>
    <row r="1201" ht="12.75" customHeight="1">
      <c r="A1201" s="1">
        <v>0.0</v>
      </c>
      <c r="B1201" s="2">
        <v>8021608.0</v>
      </c>
      <c r="C1201" s="1" t="s">
        <v>2243</v>
      </c>
      <c r="D1201" s="1" t="s">
        <v>2245</v>
      </c>
      <c r="E1201" s="1">
        <v>1.0</v>
      </c>
      <c r="F1201" s="1">
        <v>0.0</v>
      </c>
    </row>
    <row r="1202" ht="12.75" customHeight="1">
      <c r="A1202" s="1">
        <v>0.0</v>
      </c>
      <c r="B1202" s="2" t="s">
        <v>2246</v>
      </c>
      <c r="C1202" s="1" t="s">
        <v>2247</v>
      </c>
      <c r="D1202" s="1" t="s">
        <v>2248</v>
      </c>
      <c r="E1202" s="1">
        <v>1.0</v>
      </c>
      <c r="F1202" s="1">
        <v>0.0</v>
      </c>
    </row>
    <row r="1203" ht="12.75" customHeight="1">
      <c r="A1203" s="1">
        <v>0.0</v>
      </c>
      <c r="B1203" s="2">
        <v>5090337.0</v>
      </c>
      <c r="C1203" s="1" t="s">
        <v>261</v>
      </c>
      <c r="D1203" s="1" t="s">
        <v>2249</v>
      </c>
      <c r="E1203" s="1">
        <v>1.0</v>
      </c>
      <c r="F1203" s="1">
        <v>0.0</v>
      </c>
    </row>
    <row r="1204" ht="12.75" customHeight="1">
      <c r="A1204" s="1">
        <v>0.0</v>
      </c>
      <c r="B1204" s="2" t="s">
        <v>2250</v>
      </c>
      <c r="C1204" s="1" t="s">
        <v>2251</v>
      </c>
      <c r="D1204" s="1" t="s">
        <v>2252</v>
      </c>
      <c r="E1204" s="1">
        <v>1.0</v>
      </c>
      <c r="F1204" s="1">
        <v>0.0</v>
      </c>
    </row>
    <row r="1205" ht="12.75" customHeight="1">
      <c r="A1205" s="1">
        <v>0.0</v>
      </c>
      <c r="B1205" s="2" t="s">
        <v>2253</v>
      </c>
      <c r="C1205" s="1" t="s">
        <v>2254</v>
      </c>
      <c r="D1205" s="1" t="s">
        <v>2255</v>
      </c>
      <c r="E1205" s="1">
        <v>1.0</v>
      </c>
      <c r="F1205" s="1">
        <v>0.0</v>
      </c>
    </row>
    <row r="1206" ht="12.75" customHeight="1">
      <c r="A1206" s="1">
        <v>0.0</v>
      </c>
      <c r="B1206" s="2" t="s">
        <v>2256</v>
      </c>
      <c r="C1206" s="1" t="s">
        <v>2257</v>
      </c>
      <c r="D1206" s="1" t="s">
        <v>2258</v>
      </c>
      <c r="E1206" s="1">
        <v>1.0</v>
      </c>
      <c r="F1206" s="1">
        <v>0.0</v>
      </c>
    </row>
    <row r="1207" ht="12.75" customHeight="1">
      <c r="A1207" s="1">
        <v>0.0</v>
      </c>
      <c r="B1207" s="2" t="s">
        <v>2259</v>
      </c>
      <c r="C1207" s="1" t="s">
        <v>2260</v>
      </c>
      <c r="D1207" s="1" t="s">
        <v>2261</v>
      </c>
      <c r="E1207" s="1">
        <v>1.0</v>
      </c>
      <c r="F1207" s="1">
        <v>0.0</v>
      </c>
    </row>
    <row r="1208" ht="12.75" customHeight="1">
      <c r="A1208" s="1">
        <v>0.0</v>
      </c>
      <c r="B1208" s="2" t="s">
        <v>2262</v>
      </c>
      <c r="C1208" s="1" t="s">
        <v>2263</v>
      </c>
      <c r="D1208" s="1" t="s">
        <v>2264</v>
      </c>
      <c r="E1208" s="1">
        <v>1.0</v>
      </c>
      <c r="F1208" s="1">
        <v>0.0</v>
      </c>
    </row>
    <row r="1209" ht="12.75" customHeight="1">
      <c r="A1209" s="1">
        <v>0.0</v>
      </c>
      <c r="B1209" s="2" t="s">
        <v>2265</v>
      </c>
      <c r="C1209" s="1" t="s">
        <v>2266</v>
      </c>
      <c r="D1209" s="1" t="s">
        <v>2267</v>
      </c>
      <c r="E1209" s="1">
        <v>1.0</v>
      </c>
      <c r="F1209" s="1">
        <v>0.0</v>
      </c>
    </row>
    <row r="1210" ht="12.75" customHeight="1">
      <c r="A1210" s="1">
        <v>0.0</v>
      </c>
      <c r="B1210" s="2">
        <v>1130874.0</v>
      </c>
      <c r="C1210" s="1" t="s">
        <v>2268</v>
      </c>
      <c r="D1210" s="1" t="s">
        <v>2269</v>
      </c>
      <c r="E1210" s="1">
        <v>1.0</v>
      </c>
      <c r="F1210" s="1">
        <v>0.0</v>
      </c>
    </row>
    <row r="1211" ht="12.75" customHeight="1">
      <c r="A1211" s="1">
        <v>0.0</v>
      </c>
      <c r="B1211" s="2">
        <v>5480221.0</v>
      </c>
      <c r="C1211" s="1" t="s">
        <v>2270</v>
      </c>
      <c r="D1211" s="1" t="s">
        <v>2269</v>
      </c>
      <c r="E1211" s="1">
        <v>1.0</v>
      </c>
      <c r="F1211" s="1">
        <v>0.0</v>
      </c>
    </row>
    <row r="1212" ht="12.75" customHeight="1">
      <c r="A1212" s="1">
        <v>0.0</v>
      </c>
      <c r="B1212" s="2">
        <v>1660209.0</v>
      </c>
      <c r="C1212" s="1" t="s">
        <v>2271</v>
      </c>
      <c r="D1212" s="1" t="s">
        <v>67</v>
      </c>
      <c r="E1212" s="1">
        <v>1.0</v>
      </c>
      <c r="F1212" s="1">
        <v>0.0</v>
      </c>
    </row>
    <row r="1213" ht="12.75" customHeight="1">
      <c r="A1213" s="1">
        <v>0.0</v>
      </c>
      <c r="B1213" s="2">
        <v>3800481.0</v>
      </c>
      <c r="C1213" s="1" t="s">
        <v>2272</v>
      </c>
      <c r="D1213" s="1" t="s">
        <v>2273</v>
      </c>
      <c r="E1213" s="1">
        <v>1.0</v>
      </c>
      <c r="F1213" s="1">
        <v>0.0</v>
      </c>
    </row>
    <row r="1214" ht="12.75" customHeight="1">
      <c r="A1214" s="1">
        <v>0.0</v>
      </c>
      <c r="B1214" s="2" t="s">
        <v>2274</v>
      </c>
      <c r="C1214" s="1" t="s">
        <v>2275</v>
      </c>
      <c r="D1214" s="1" t="s">
        <v>2273</v>
      </c>
      <c r="E1214" s="1">
        <v>1.0</v>
      </c>
      <c r="F1214" s="1">
        <v>0.0</v>
      </c>
    </row>
    <row r="1215" ht="12.75" customHeight="1">
      <c r="A1215" s="1">
        <v>0.0</v>
      </c>
      <c r="B1215" s="2" t="s">
        <v>2276</v>
      </c>
      <c r="C1215" s="1" t="s">
        <v>2277</v>
      </c>
      <c r="D1215" s="1" t="s">
        <v>2278</v>
      </c>
      <c r="E1215" s="1">
        <v>1.0</v>
      </c>
      <c r="F1215" s="1">
        <v>0.0</v>
      </c>
    </row>
    <row r="1216" ht="12.75" customHeight="1">
      <c r="A1216" s="1">
        <v>0.0</v>
      </c>
      <c r="B1216" s="2" t="s">
        <v>2279</v>
      </c>
      <c r="C1216" s="1" t="s">
        <v>2280</v>
      </c>
      <c r="D1216" s="1" t="s">
        <v>2278</v>
      </c>
      <c r="E1216" s="1">
        <v>1.0</v>
      </c>
      <c r="F1216" s="1">
        <v>0.0</v>
      </c>
    </row>
    <row r="1217" ht="12.75" customHeight="1">
      <c r="A1217" s="1">
        <v>0.0</v>
      </c>
      <c r="B1217" s="2">
        <v>5090402.0</v>
      </c>
      <c r="C1217" s="1" t="s">
        <v>261</v>
      </c>
      <c r="D1217" s="1" t="s">
        <v>1390</v>
      </c>
      <c r="E1217" s="1">
        <v>1.0</v>
      </c>
      <c r="F1217" s="1">
        <v>0.0</v>
      </c>
    </row>
    <row r="1218" ht="12.75" customHeight="1">
      <c r="A1218" s="1">
        <v>0.0</v>
      </c>
      <c r="B1218" s="2" t="s">
        <v>2281</v>
      </c>
      <c r="C1218" s="1" t="s">
        <v>2282</v>
      </c>
      <c r="D1218" s="1" t="s">
        <v>2283</v>
      </c>
      <c r="E1218" s="1">
        <v>1.0</v>
      </c>
      <c r="F1218" s="1">
        <v>0.0</v>
      </c>
    </row>
    <row r="1219" ht="12.75" customHeight="1">
      <c r="A1219" s="1">
        <v>0.0</v>
      </c>
      <c r="B1219" s="2" t="s">
        <v>2284</v>
      </c>
      <c r="C1219" s="1" t="s">
        <v>2282</v>
      </c>
      <c r="D1219" s="1" t="s">
        <v>2285</v>
      </c>
      <c r="E1219" s="1">
        <v>1.0</v>
      </c>
      <c r="F1219" s="1">
        <v>0.0</v>
      </c>
    </row>
    <row r="1220" ht="12.75" customHeight="1">
      <c r="A1220" s="1">
        <v>0.0</v>
      </c>
      <c r="B1220" s="2">
        <v>1000139.0</v>
      </c>
      <c r="C1220" s="1" t="s">
        <v>753</v>
      </c>
      <c r="D1220" s="1" t="s">
        <v>839</v>
      </c>
      <c r="E1220" s="1">
        <v>1.0</v>
      </c>
      <c r="F1220" s="1">
        <v>0.0</v>
      </c>
    </row>
    <row r="1221" ht="12.75" customHeight="1">
      <c r="A1221" s="1">
        <v>0.0</v>
      </c>
      <c r="B1221" s="2" t="s">
        <v>2286</v>
      </c>
      <c r="C1221" s="1" t="s">
        <v>2287</v>
      </c>
      <c r="D1221" s="1" t="s">
        <v>839</v>
      </c>
      <c r="E1221" s="1">
        <v>1.0</v>
      </c>
      <c r="F1221" s="1">
        <v>0.0</v>
      </c>
    </row>
    <row r="1222" ht="12.75" customHeight="1">
      <c r="A1222" s="1">
        <v>0.0</v>
      </c>
      <c r="B1222" s="2" t="s">
        <v>2288</v>
      </c>
      <c r="C1222" s="1" t="s">
        <v>2289</v>
      </c>
      <c r="D1222" s="1" t="s">
        <v>2290</v>
      </c>
      <c r="E1222" s="1">
        <v>1.0</v>
      </c>
      <c r="F1222" s="1">
        <v>0.0</v>
      </c>
    </row>
    <row r="1223" ht="12.75" customHeight="1">
      <c r="A1223" s="1">
        <v>0.0</v>
      </c>
      <c r="B1223" s="2">
        <v>564798.0</v>
      </c>
      <c r="C1223" s="1" t="s">
        <v>2291</v>
      </c>
      <c r="D1223" s="1" t="s">
        <v>2292</v>
      </c>
      <c r="E1223" s="1">
        <v>1.0</v>
      </c>
      <c r="F1223" s="1">
        <v>0.0</v>
      </c>
    </row>
    <row r="1224" ht="12.75" customHeight="1">
      <c r="A1224" s="1">
        <v>0.0</v>
      </c>
      <c r="B1224" s="2" t="s">
        <v>2293</v>
      </c>
      <c r="C1224" s="1" t="s">
        <v>2294</v>
      </c>
      <c r="D1224" s="1" t="s">
        <v>2295</v>
      </c>
      <c r="E1224" s="1">
        <v>1.0</v>
      </c>
      <c r="F1224" s="1">
        <v>0.0</v>
      </c>
    </row>
    <row r="1225" ht="12.75" customHeight="1">
      <c r="A1225" s="1">
        <v>0.0</v>
      </c>
      <c r="B1225" s="2" t="s">
        <v>2296</v>
      </c>
      <c r="C1225" s="1" t="s">
        <v>2297</v>
      </c>
      <c r="D1225" s="1" t="s">
        <v>2298</v>
      </c>
      <c r="E1225" s="1">
        <v>1.0</v>
      </c>
      <c r="F1225" s="1">
        <v>0.0</v>
      </c>
    </row>
    <row r="1226" ht="12.75" customHeight="1">
      <c r="A1226" s="1">
        <v>0.0</v>
      </c>
      <c r="B1226" s="2">
        <v>564714.0</v>
      </c>
      <c r="C1226" s="1" t="s">
        <v>2299</v>
      </c>
      <c r="D1226" s="1" t="s">
        <v>2300</v>
      </c>
      <c r="E1226" s="1">
        <v>1.0</v>
      </c>
      <c r="F1226" s="1">
        <v>0.0</v>
      </c>
    </row>
    <row r="1227" ht="12.75" customHeight="1">
      <c r="A1227" s="1">
        <v>0.0</v>
      </c>
      <c r="B1227" s="2">
        <v>564724.0</v>
      </c>
      <c r="C1227" s="1" t="s">
        <v>2301</v>
      </c>
      <c r="D1227" s="1" t="s">
        <v>2300</v>
      </c>
      <c r="E1227" s="1">
        <v>1.0</v>
      </c>
      <c r="F1227" s="1">
        <v>0.0</v>
      </c>
    </row>
    <row r="1228" ht="12.75" customHeight="1">
      <c r="A1228" s="1">
        <v>0.0</v>
      </c>
      <c r="B1228" s="2" t="s">
        <v>2302</v>
      </c>
      <c r="C1228" s="1" t="s">
        <v>2303</v>
      </c>
      <c r="D1228" s="1" t="s">
        <v>2304</v>
      </c>
      <c r="E1228" s="1">
        <v>1.0</v>
      </c>
      <c r="F1228" s="1">
        <v>0.0</v>
      </c>
    </row>
    <row r="1229" ht="12.75" customHeight="1">
      <c r="A1229" s="1">
        <v>0.0</v>
      </c>
      <c r="B1229" s="2">
        <v>1130835.0</v>
      </c>
      <c r="C1229" s="1" t="s">
        <v>2305</v>
      </c>
      <c r="D1229" s="1" t="s">
        <v>2306</v>
      </c>
      <c r="E1229" s="1">
        <v>1.0</v>
      </c>
      <c r="F1229" s="1">
        <v>0.0</v>
      </c>
    </row>
    <row r="1230" ht="12.75" customHeight="1">
      <c r="A1230" s="1">
        <v>0.0</v>
      </c>
      <c r="B1230" s="2" t="s">
        <v>2307</v>
      </c>
      <c r="C1230" s="1" t="s">
        <v>848</v>
      </c>
      <c r="D1230" s="1" t="s">
        <v>1515</v>
      </c>
      <c r="E1230" s="1">
        <v>1.0</v>
      </c>
      <c r="F1230" s="1">
        <v>0.0</v>
      </c>
    </row>
    <row r="1231" ht="12.75" customHeight="1">
      <c r="A1231" s="1">
        <v>0.0</v>
      </c>
      <c r="B1231" s="2" t="s">
        <v>2308</v>
      </c>
      <c r="C1231" s="1" t="s">
        <v>2309</v>
      </c>
      <c r="D1231" s="1" t="s">
        <v>2310</v>
      </c>
      <c r="E1231" s="1">
        <v>1.0</v>
      </c>
      <c r="F1231" s="1">
        <v>0.0</v>
      </c>
    </row>
    <row r="1232" ht="12.75" customHeight="1">
      <c r="A1232" s="1">
        <v>0.0</v>
      </c>
      <c r="B1232" s="2">
        <v>562852.0</v>
      </c>
      <c r="C1232" s="1" t="s">
        <v>2311</v>
      </c>
      <c r="D1232" s="1" t="s">
        <v>854</v>
      </c>
      <c r="E1232" s="1">
        <v>1.0</v>
      </c>
      <c r="F1232" s="1">
        <v>0.0</v>
      </c>
    </row>
    <row r="1233" ht="12.75" customHeight="1">
      <c r="A1233" s="1">
        <v>0.0</v>
      </c>
      <c r="B1233" s="2">
        <v>1130803.0</v>
      </c>
      <c r="C1233" s="1" t="s">
        <v>2312</v>
      </c>
      <c r="D1233" s="1" t="s">
        <v>854</v>
      </c>
      <c r="E1233" s="1">
        <v>1.0</v>
      </c>
      <c r="F1233" s="1">
        <v>0.0</v>
      </c>
    </row>
    <row r="1234" ht="12.75" customHeight="1">
      <c r="A1234" s="1">
        <v>0.0</v>
      </c>
      <c r="B1234" s="2">
        <v>1130873.0</v>
      </c>
      <c r="C1234" s="1" t="s">
        <v>2313</v>
      </c>
      <c r="D1234" s="1" t="s">
        <v>854</v>
      </c>
      <c r="E1234" s="1">
        <v>1.0</v>
      </c>
      <c r="F1234" s="1">
        <v>0.0</v>
      </c>
    </row>
    <row r="1235" ht="12.75" customHeight="1">
      <c r="A1235" s="1">
        <v>0.0</v>
      </c>
      <c r="B1235" s="2">
        <v>3806001.0</v>
      </c>
      <c r="C1235" s="1" t="s">
        <v>2314</v>
      </c>
      <c r="D1235" s="1" t="s">
        <v>854</v>
      </c>
      <c r="E1235" s="1">
        <v>1.0</v>
      </c>
      <c r="F1235" s="1">
        <v>0.0</v>
      </c>
    </row>
    <row r="1236" ht="12.75" customHeight="1">
      <c r="A1236" s="1">
        <v>0.0</v>
      </c>
      <c r="B1236" s="2" t="s">
        <v>2315</v>
      </c>
      <c r="C1236" s="1" t="s">
        <v>2316</v>
      </c>
      <c r="D1236" s="1" t="s">
        <v>854</v>
      </c>
      <c r="E1236" s="1">
        <v>1.0</v>
      </c>
      <c r="F1236" s="1">
        <v>0.0</v>
      </c>
    </row>
    <row r="1237" ht="12.75" customHeight="1">
      <c r="A1237" s="1">
        <v>0.0</v>
      </c>
      <c r="B1237" s="2" t="s">
        <v>2317</v>
      </c>
      <c r="C1237" s="1" t="s">
        <v>2318</v>
      </c>
      <c r="D1237" s="1" t="s">
        <v>854</v>
      </c>
      <c r="E1237" s="1">
        <v>1.0</v>
      </c>
      <c r="F1237" s="1">
        <v>0.0</v>
      </c>
    </row>
    <row r="1238" ht="12.75" customHeight="1">
      <c r="A1238" s="1">
        <v>0.0</v>
      </c>
      <c r="B1238" s="2" t="s">
        <v>2319</v>
      </c>
      <c r="C1238" s="1" t="s">
        <v>2320</v>
      </c>
      <c r="D1238" s="1" t="s">
        <v>854</v>
      </c>
      <c r="E1238" s="1">
        <v>1.0</v>
      </c>
      <c r="F1238" s="1">
        <v>0.0</v>
      </c>
    </row>
    <row r="1239" ht="12.75" customHeight="1">
      <c r="A1239" s="1">
        <v>0.0</v>
      </c>
      <c r="B1239" s="2" t="s">
        <v>2321</v>
      </c>
      <c r="C1239" s="1" t="s">
        <v>2322</v>
      </c>
      <c r="D1239" s="1" t="s">
        <v>854</v>
      </c>
      <c r="E1239" s="1">
        <v>1.0</v>
      </c>
      <c r="F1239" s="1">
        <v>0.0</v>
      </c>
    </row>
    <row r="1240" ht="12.75" customHeight="1">
      <c r="A1240" s="1">
        <v>0.0</v>
      </c>
      <c r="B1240" s="2" t="s">
        <v>2323</v>
      </c>
      <c r="C1240" s="1" t="s">
        <v>2324</v>
      </c>
      <c r="D1240" s="1" t="s">
        <v>854</v>
      </c>
      <c r="E1240" s="1">
        <v>1.0</v>
      </c>
      <c r="F1240" s="1">
        <v>0.0</v>
      </c>
    </row>
    <row r="1241" ht="12.75" customHeight="1">
      <c r="A1241" s="1">
        <v>0.0</v>
      </c>
      <c r="B1241" s="2" t="s">
        <v>2325</v>
      </c>
      <c r="C1241" s="1" t="s">
        <v>2326</v>
      </c>
      <c r="D1241" s="1" t="s">
        <v>854</v>
      </c>
      <c r="E1241" s="1">
        <v>1.0</v>
      </c>
      <c r="F1241" s="1">
        <v>0.0</v>
      </c>
    </row>
    <row r="1242" ht="12.75" customHeight="1">
      <c r="A1242" s="1">
        <v>0.0</v>
      </c>
      <c r="B1242" s="2" t="s">
        <v>2327</v>
      </c>
      <c r="C1242" s="1" t="s">
        <v>2277</v>
      </c>
      <c r="D1242" s="1" t="s">
        <v>854</v>
      </c>
      <c r="E1242" s="1">
        <v>1.0</v>
      </c>
      <c r="F1242" s="1">
        <v>0.0</v>
      </c>
    </row>
    <row r="1243" ht="12.75" customHeight="1">
      <c r="A1243" s="1">
        <v>0.0</v>
      </c>
      <c r="B1243" s="2" t="s">
        <v>2328</v>
      </c>
      <c r="C1243" s="1" t="s">
        <v>2329</v>
      </c>
      <c r="D1243" s="1" t="s">
        <v>854</v>
      </c>
      <c r="E1243" s="1">
        <v>1.0</v>
      </c>
      <c r="F1243" s="1">
        <v>0.0</v>
      </c>
    </row>
    <row r="1244" ht="12.75" customHeight="1">
      <c r="A1244" s="1">
        <v>0.0</v>
      </c>
      <c r="B1244" s="2" t="s">
        <v>2330</v>
      </c>
      <c r="C1244" s="1" t="s">
        <v>2331</v>
      </c>
      <c r="D1244" s="1" t="s">
        <v>854</v>
      </c>
      <c r="E1244" s="1">
        <v>1.0</v>
      </c>
      <c r="F1244" s="1">
        <v>0.0</v>
      </c>
    </row>
    <row r="1245" ht="12.75" customHeight="1">
      <c r="A1245" s="1">
        <v>0.0</v>
      </c>
      <c r="B1245" s="2" t="s">
        <v>2332</v>
      </c>
      <c r="C1245" s="1" t="s">
        <v>2333</v>
      </c>
      <c r="D1245" s="1" t="s">
        <v>854</v>
      </c>
      <c r="E1245" s="1">
        <v>1.0</v>
      </c>
      <c r="F1245" s="1">
        <v>0.0</v>
      </c>
    </row>
    <row r="1246" ht="12.75" customHeight="1">
      <c r="A1246" s="1">
        <v>0.0</v>
      </c>
      <c r="B1246" s="2" t="s">
        <v>2334</v>
      </c>
      <c r="C1246" s="1" t="s">
        <v>2335</v>
      </c>
      <c r="D1246" s="1" t="s">
        <v>854</v>
      </c>
      <c r="E1246" s="1">
        <v>1.0</v>
      </c>
      <c r="F1246" s="1">
        <v>0.0</v>
      </c>
    </row>
    <row r="1247" ht="12.75" customHeight="1">
      <c r="A1247" s="1">
        <v>0.0</v>
      </c>
      <c r="B1247" s="2" t="s">
        <v>2336</v>
      </c>
      <c r="C1247" s="1" t="s">
        <v>2337</v>
      </c>
      <c r="D1247" s="1" t="s">
        <v>854</v>
      </c>
      <c r="E1247" s="1">
        <v>1.0</v>
      </c>
      <c r="F1247" s="1">
        <v>0.0</v>
      </c>
    </row>
    <row r="1248" ht="12.75" customHeight="1">
      <c r="A1248" s="1">
        <v>0.0</v>
      </c>
      <c r="B1248" s="2" t="s">
        <v>2338</v>
      </c>
      <c r="C1248" s="1" t="s">
        <v>2339</v>
      </c>
      <c r="D1248" s="1" t="s">
        <v>854</v>
      </c>
      <c r="E1248" s="1">
        <v>1.0</v>
      </c>
      <c r="F1248" s="1">
        <v>0.0</v>
      </c>
    </row>
    <row r="1249" ht="12.75" customHeight="1">
      <c r="A1249" s="1">
        <v>0.0</v>
      </c>
      <c r="B1249" s="2" t="s">
        <v>2340</v>
      </c>
      <c r="C1249" s="1" t="s">
        <v>2341</v>
      </c>
      <c r="D1249" s="1" t="s">
        <v>854</v>
      </c>
      <c r="E1249" s="1">
        <v>1.0</v>
      </c>
      <c r="F1249" s="1">
        <v>0.0</v>
      </c>
    </row>
    <row r="1250" ht="12.75" customHeight="1">
      <c r="A1250" s="1">
        <v>0.0</v>
      </c>
      <c r="B1250" s="2" t="s">
        <v>2342</v>
      </c>
      <c r="C1250" s="1" t="s">
        <v>2343</v>
      </c>
      <c r="D1250" s="1" t="s">
        <v>854</v>
      </c>
      <c r="E1250" s="1">
        <v>1.0</v>
      </c>
      <c r="F1250" s="1">
        <v>0.0</v>
      </c>
    </row>
    <row r="1251" ht="12.75" customHeight="1">
      <c r="A1251" s="1">
        <v>0.0</v>
      </c>
      <c r="B1251" s="2" t="s">
        <v>2344</v>
      </c>
      <c r="C1251" s="1" t="s">
        <v>2345</v>
      </c>
      <c r="D1251" s="1" t="s">
        <v>854</v>
      </c>
      <c r="E1251" s="1">
        <v>1.0</v>
      </c>
      <c r="F1251" s="1">
        <v>0.0</v>
      </c>
    </row>
    <row r="1252" ht="12.75" customHeight="1">
      <c r="A1252" s="1">
        <v>0.0</v>
      </c>
      <c r="B1252" s="2" t="s">
        <v>2346</v>
      </c>
      <c r="C1252" s="1" t="s">
        <v>757</v>
      </c>
      <c r="D1252" s="1" t="s">
        <v>854</v>
      </c>
      <c r="E1252" s="1">
        <v>1.0</v>
      </c>
      <c r="F1252" s="1">
        <v>0.0</v>
      </c>
    </row>
    <row r="1253" ht="12.75" customHeight="1">
      <c r="A1253" s="1">
        <v>0.0</v>
      </c>
      <c r="B1253" s="2" t="s">
        <v>2347</v>
      </c>
      <c r="C1253" s="1" t="s">
        <v>757</v>
      </c>
      <c r="D1253" s="1" t="s">
        <v>854</v>
      </c>
      <c r="E1253" s="1">
        <v>1.0</v>
      </c>
      <c r="F1253" s="1">
        <v>0.0</v>
      </c>
    </row>
    <row r="1254" ht="12.75" customHeight="1">
      <c r="A1254" s="1">
        <v>0.0</v>
      </c>
      <c r="B1254" s="2" t="s">
        <v>2348</v>
      </c>
      <c r="C1254" s="1" t="s">
        <v>2349</v>
      </c>
      <c r="D1254" s="1" t="s">
        <v>2350</v>
      </c>
      <c r="E1254" s="1">
        <v>1.0</v>
      </c>
      <c r="F1254" s="1">
        <v>0.0</v>
      </c>
    </row>
    <row r="1255" ht="12.75" customHeight="1">
      <c r="A1255" s="1">
        <v>0.0</v>
      </c>
      <c r="B1255" s="2" t="s">
        <v>2351</v>
      </c>
      <c r="C1255" s="1" t="s">
        <v>2349</v>
      </c>
      <c r="D1255" s="1" t="s">
        <v>2352</v>
      </c>
      <c r="E1255" s="1">
        <v>1.0</v>
      </c>
      <c r="F1255" s="1">
        <v>0.0</v>
      </c>
    </row>
    <row r="1256" ht="12.75" customHeight="1">
      <c r="A1256" s="1">
        <v>0.0</v>
      </c>
      <c r="B1256" s="2" t="s">
        <v>2353</v>
      </c>
      <c r="C1256" s="1" t="s">
        <v>2354</v>
      </c>
      <c r="D1256" s="1" t="s">
        <v>2355</v>
      </c>
      <c r="E1256" s="1">
        <v>1.0</v>
      </c>
      <c r="F1256" s="1">
        <v>0.0</v>
      </c>
    </row>
    <row r="1257" ht="12.75" customHeight="1">
      <c r="A1257" s="1">
        <v>0.0</v>
      </c>
      <c r="B1257" s="2" t="s">
        <v>2356</v>
      </c>
      <c r="C1257" s="1" t="s">
        <v>2357</v>
      </c>
      <c r="D1257" s="1" t="s">
        <v>2358</v>
      </c>
      <c r="E1257" s="1">
        <v>1.0</v>
      </c>
      <c r="F1257" s="1">
        <v>0.0</v>
      </c>
    </row>
    <row r="1258" ht="12.75" customHeight="1">
      <c r="A1258" s="1">
        <v>0.0</v>
      </c>
      <c r="B1258" s="2" t="s">
        <v>2359</v>
      </c>
      <c r="C1258" s="1" t="s">
        <v>2360</v>
      </c>
      <c r="D1258" s="1" t="s">
        <v>2361</v>
      </c>
      <c r="E1258" s="1">
        <v>1.0</v>
      </c>
      <c r="F1258" s="1">
        <v>0.0</v>
      </c>
    </row>
    <row r="1259" ht="12.75" customHeight="1">
      <c r="A1259" s="1">
        <v>0.0</v>
      </c>
      <c r="B1259" s="2" t="s">
        <v>2362</v>
      </c>
      <c r="C1259" s="1" t="s">
        <v>838</v>
      </c>
      <c r="D1259" s="1" t="s">
        <v>2363</v>
      </c>
      <c r="E1259" s="1">
        <v>1.0</v>
      </c>
      <c r="F1259" s="1">
        <v>0.0</v>
      </c>
    </row>
    <row r="1260" ht="12.75" customHeight="1">
      <c r="A1260" s="1">
        <v>0.0</v>
      </c>
      <c r="B1260" s="2" t="s">
        <v>2364</v>
      </c>
      <c r="C1260" s="1" t="s">
        <v>2365</v>
      </c>
      <c r="D1260" s="1" t="s">
        <v>2366</v>
      </c>
      <c r="E1260" s="1">
        <v>1.0</v>
      </c>
      <c r="F1260" s="1">
        <v>0.0</v>
      </c>
    </row>
    <row r="1261" ht="12.75" customHeight="1">
      <c r="A1261" s="1">
        <v>0.0</v>
      </c>
      <c r="B1261" s="2" t="s">
        <v>2367</v>
      </c>
      <c r="C1261" s="1" t="s">
        <v>2368</v>
      </c>
      <c r="D1261" s="1" t="s">
        <v>2369</v>
      </c>
      <c r="E1261" s="1">
        <v>1.0</v>
      </c>
      <c r="F1261" s="1">
        <v>0.0</v>
      </c>
    </row>
    <row r="1262" ht="12.75" customHeight="1">
      <c r="A1262" s="1">
        <v>0.0</v>
      </c>
      <c r="B1262" s="2">
        <v>3802427.0</v>
      </c>
      <c r="C1262" s="1" t="s">
        <v>2370</v>
      </c>
      <c r="D1262" s="1" t="s">
        <v>2371</v>
      </c>
      <c r="E1262" s="1">
        <v>1.0</v>
      </c>
      <c r="F1262" s="1">
        <v>0.0</v>
      </c>
    </row>
    <row r="1263" ht="12.75" customHeight="1">
      <c r="A1263" s="1">
        <v>0.0</v>
      </c>
      <c r="B1263" s="2">
        <v>3802433.0</v>
      </c>
      <c r="C1263" s="1" t="s">
        <v>2372</v>
      </c>
      <c r="D1263" s="1" t="s">
        <v>2373</v>
      </c>
      <c r="E1263" s="1">
        <v>1.0</v>
      </c>
      <c r="F1263" s="1">
        <v>0.0</v>
      </c>
    </row>
    <row r="1264" ht="12.75" customHeight="1">
      <c r="A1264" s="1">
        <v>0.0</v>
      </c>
      <c r="B1264" s="2" t="s">
        <v>2374</v>
      </c>
      <c r="C1264" s="1" t="s">
        <v>2375</v>
      </c>
      <c r="D1264" s="1" t="s">
        <v>2376</v>
      </c>
      <c r="E1264" s="1">
        <v>1.0</v>
      </c>
      <c r="F1264" s="1">
        <v>0.0</v>
      </c>
    </row>
    <row r="1265" ht="12.75" customHeight="1">
      <c r="A1265" s="1">
        <v>0.0</v>
      </c>
      <c r="B1265" s="2" t="s">
        <v>2377</v>
      </c>
      <c r="C1265" s="1" t="s">
        <v>2378</v>
      </c>
      <c r="D1265" s="1" t="s">
        <v>2379</v>
      </c>
      <c r="E1265" s="1">
        <v>1.0</v>
      </c>
      <c r="F1265" s="1">
        <v>0.0</v>
      </c>
    </row>
    <row r="1266" ht="12.75" customHeight="1">
      <c r="A1266" s="1">
        <v>0.0</v>
      </c>
      <c r="B1266" s="2" t="s">
        <v>2380</v>
      </c>
      <c r="C1266" s="1" t="s">
        <v>2381</v>
      </c>
      <c r="D1266" s="1" t="s">
        <v>2382</v>
      </c>
      <c r="E1266" s="1">
        <v>1.0</v>
      </c>
      <c r="F1266" s="1">
        <v>0.0</v>
      </c>
    </row>
    <row r="1267" ht="12.75" customHeight="1">
      <c r="A1267" s="1">
        <v>0.0</v>
      </c>
      <c r="B1267" s="2" t="s">
        <v>2383</v>
      </c>
      <c r="C1267" s="1" t="s">
        <v>2384</v>
      </c>
      <c r="D1267" s="1" t="s">
        <v>2385</v>
      </c>
      <c r="E1267" s="1">
        <v>1.0</v>
      </c>
      <c r="F1267" s="1">
        <v>0.0</v>
      </c>
    </row>
    <row r="1268" ht="12.75" customHeight="1">
      <c r="A1268" s="1">
        <v>0.0</v>
      </c>
      <c r="B1268" s="2" t="s">
        <v>2386</v>
      </c>
      <c r="C1268" s="1" t="s">
        <v>2387</v>
      </c>
      <c r="D1268" s="1" t="s">
        <v>2388</v>
      </c>
      <c r="E1268" s="1">
        <v>1.0</v>
      </c>
      <c r="F1268" s="1">
        <v>0.0</v>
      </c>
    </row>
    <row r="1269" ht="12.75" customHeight="1">
      <c r="A1269" s="1">
        <v>0.0</v>
      </c>
      <c r="B1269" s="2" t="s">
        <v>2389</v>
      </c>
      <c r="C1269" s="1" t="s">
        <v>2390</v>
      </c>
      <c r="D1269" s="1" t="s">
        <v>2391</v>
      </c>
      <c r="E1269" s="1">
        <v>1.0</v>
      </c>
      <c r="F1269" s="1">
        <v>0.0</v>
      </c>
    </row>
    <row r="1270" ht="12.75" customHeight="1">
      <c r="A1270" s="1">
        <v>0.0</v>
      </c>
      <c r="B1270" s="2" t="s">
        <v>2392</v>
      </c>
      <c r="C1270" s="1" t="s">
        <v>2393</v>
      </c>
      <c r="D1270" s="1" t="s">
        <v>2394</v>
      </c>
      <c r="E1270" s="1">
        <v>1.0</v>
      </c>
      <c r="F1270" s="1">
        <v>0.0</v>
      </c>
    </row>
    <row r="1271" ht="12.75" customHeight="1">
      <c r="A1271" s="1">
        <v>0.0</v>
      </c>
      <c r="B1271" s="2">
        <v>564735.0</v>
      </c>
      <c r="C1271" s="1" t="s">
        <v>2395</v>
      </c>
      <c r="D1271" s="1" t="s">
        <v>2396</v>
      </c>
      <c r="E1271" s="1">
        <v>1.0</v>
      </c>
      <c r="F1271" s="1">
        <v>0.0</v>
      </c>
    </row>
    <row r="1272" ht="12.75" customHeight="1">
      <c r="A1272" s="1">
        <v>0.0</v>
      </c>
      <c r="B1272" s="2" t="s">
        <v>2397</v>
      </c>
      <c r="C1272" s="1" t="s">
        <v>2398</v>
      </c>
      <c r="D1272" s="1" t="s">
        <v>2399</v>
      </c>
      <c r="E1272" s="1">
        <v>1.0</v>
      </c>
      <c r="F1272" s="1">
        <v>0.0</v>
      </c>
    </row>
    <row r="1273" ht="12.75" customHeight="1">
      <c r="A1273" s="1">
        <v>0.0</v>
      </c>
      <c r="B1273" s="2">
        <v>8321509.0</v>
      </c>
      <c r="C1273" s="1" t="s">
        <v>278</v>
      </c>
      <c r="D1273" s="1" t="s">
        <v>2400</v>
      </c>
      <c r="E1273" s="1">
        <v>1.0</v>
      </c>
      <c r="F1273" s="1">
        <v>0.0</v>
      </c>
    </row>
    <row r="1274" ht="12.75" customHeight="1">
      <c r="A1274" s="1">
        <v>0.0</v>
      </c>
      <c r="B1274" s="2" t="s">
        <v>2401</v>
      </c>
      <c r="C1274" s="1" t="s">
        <v>2402</v>
      </c>
      <c r="D1274" s="1" t="s">
        <v>2403</v>
      </c>
      <c r="E1274" s="1">
        <v>1.0</v>
      </c>
      <c r="F1274" s="1">
        <v>0.0</v>
      </c>
    </row>
    <row r="1275" ht="12.75" customHeight="1">
      <c r="A1275" s="1">
        <v>0.0</v>
      </c>
      <c r="B1275" s="2" t="s">
        <v>2404</v>
      </c>
      <c r="C1275" s="1" t="s">
        <v>2405</v>
      </c>
      <c r="D1275" s="1" t="s">
        <v>2406</v>
      </c>
      <c r="E1275" s="1">
        <v>1.0</v>
      </c>
      <c r="F1275" s="1">
        <v>0.0</v>
      </c>
    </row>
    <row r="1276" ht="12.75" customHeight="1">
      <c r="A1276" s="1">
        <v>0.0</v>
      </c>
      <c r="B1276" s="2" t="s">
        <v>2407</v>
      </c>
      <c r="C1276" s="1" t="s">
        <v>2405</v>
      </c>
      <c r="D1276" s="1" t="s">
        <v>2408</v>
      </c>
      <c r="E1276" s="1">
        <v>1.0</v>
      </c>
      <c r="F1276" s="1">
        <v>0.0</v>
      </c>
    </row>
    <row r="1277" ht="12.75" customHeight="1">
      <c r="A1277" s="1">
        <v>0.0</v>
      </c>
      <c r="B1277" s="2">
        <v>562981.0</v>
      </c>
      <c r="C1277" s="1" t="s">
        <v>2409</v>
      </c>
      <c r="D1277" s="1" t="s">
        <v>2410</v>
      </c>
      <c r="E1277" s="1">
        <v>1.0</v>
      </c>
      <c r="F1277" s="1">
        <v>0.0</v>
      </c>
    </row>
    <row r="1278" ht="12.75" customHeight="1">
      <c r="A1278" s="1">
        <v>0.0</v>
      </c>
      <c r="B1278" s="2" t="s">
        <v>2411</v>
      </c>
      <c r="C1278" s="1" t="s">
        <v>2409</v>
      </c>
      <c r="D1278" s="1" t="s">
        <v>2412</v>
      </c>
      <c r="E1278" s="1">
        <v>1.0</v>
      </c>
      <c r="F1278" s="1">
        <v>0.0</v>
      </c>
    </row>
    <row r="1279" ht="12.75" customHeight="1">
      <c r="A1279" s="1">
        <v>0.0</v>
      </c>
      <c r="B1279" s="2" t="s">
        <v>2413</v>
      </c>
      <c r="C1279" s="1" t="s">
        <v>879</v>
      </c>
      <c r="D1279" s="1" t="s">
        <v>2414</v>
      </c>
      <c r="E1279" s="1">
        <v>1.0</v>
      </c>
      <c r="F1279" s="1">
        <v>0.0</v>
      </c>
    </row>
    <row r="1280" ht="12.75" customHeight="1">
      <c r="A1280" s="1">
        <v>0.0</v>
      </c>
      <c r="B1280" s="2" t="s">
        <v>2415</v>
      </c>
      <c r="C1280" s="1" t="s">
        <v>2416</v>
      </c>
      <c r="D1280" s="1" t="s">
        <v>2417</v>
      </c>
      <c r="E1280" s="1">
        <v>1.0</v>
      </c>
      <c r="F1280" s="1">
        <v>0.0</v>
      </c>
    </row>
    <row r="1281" ht="12.75" customHeight="1">
      <c r="A1281" s="1">
        <v>0.0</v>
      </c>
      <c r="B1281" s="2" t="s">
        <v>2418</v>
      </c>
      <c r="C1281" s="1" t="s">
        <v>2419</v>
      </c>
      <c r="D1281" s="1" t="s">
        <v>2420</v>
      </c>
      <c r="E1281" s="1">
        <v>1.0</v>
      </c>
      <c r="F1281" s="1">
        <v>0.0</v>
      </c>
    </row>
    <row r="1282" ht="12.75" customHeight="1">
      <c r="A1282" s="1">
        <v>0.0</v>
      </c>
      <c r="B1282" s="2">
        <v>3800335.0</v>
      </c>
      <c r="C1282" s="1" t="s">
        <v>37</v>
      </c>
      <c r="D1282" s="1" t="s">
        <v>2421</v>
      </c>
      <c r="E1282" s="1">
        <v>1.0</v>
      </c>
      <c r="F1282" s="1">
        <v>0.0</v>
      </c>
    </row>
    <row r="1283" ht="12.75" customHeight="1">
      <c r="A1283" s="1">
        <v>0.0</v>
      </c>
      <c r="B1283" s="2" t="s">
        <v>2422</v>
      </c>
      <c r="C1283" s="1" t="s">
        <v>2423</v>
      </c>
      <c r="D1283" s="1" t="s">
        <v>2424</v>
      </c>
      <c r="E1283" s="1">
        <v>1.0</v>
      </c>
      <c r="F1283" s="1">
        <v>0.0</v>
      </c>
    </row>
    <row r="1284" ht="12.75" customHeight="1">
      <c r="A1284" s="1">
        <v>0.0</v>
      </c>
      <c r="B1284" s="2">
        <v>562519.0</v>
      </c>
      <c r="C1284" s="1" t="s">
        <v>2425</v>
      </c>
      <c r="D1284" s="1" t="s">
        <v>2426</v>
      </c>
      <c r="E1284" s="1">
        <v>1.0</v>
      </c>
      <c r="F1284" s="1">
        <v>0.0</v>
      </c>
    </row>
    <row r="1285" ht="12.75" customHeight="1">
      <c r="A1285" s="1">
        <v>0.0</v>
      </c>
      <c r="B1285" s="2">
        <v>8501005.0</v>
      </c>
      <c r="C1285" s="1" t="s">
        <v>2427</v>
      </c>
      <c r="D1285" s="1" t="s">
        <v>492</v>
      </c>
      <c r="E1285" s="1">
        <v>1.0</v>
      </c>
      <c r="F1285" s="1">
        <v>0.0</v>
      </c>
    </row>
    <row r="1286" ht="12.75" customHeight="1">
      <c r="A1286" s="1">
        <v>0.0</v>
      </c>
      <c r="B1286" s="2" t="s">
        <v>2428</v>
      </c>
      <c r="C1286" s="1" t="s">
        <v>2429</v>
      </c>
      <c r="D1286" s="1" t="s">
        <v>492</v>
      </c>
      <c r="E1286" s="1">
        <v>1.0</v>
      </c>
      <c r="F1286" s="1">
        <v>0.0</v>
      </c>
    </row>
    <row r="1287" ht="12.75" customHeight="1">
      <c r="A1287" s="1">
        <v>0.0</v>
      </c>
      <c r="B1287" s="2" t="s">
        <v>2430</v>
      </c>
      <c r="C1287" s="1" t="s">
        <v>2431</v>
      </c>
      <c r="D1287" s="1" t="s">
        <v>2432</v>
      </c>
      <c r="E1287" s="1">
        <v>1.0</v>
      </c>
      <c r="F1287" s="1">
        <v>0.0</v>
      </c>
    </row>
    <row r="1288" ht="12.75" customHeight="1">
      <c r="A1288" s="1">
        <v>0.0</v>
      </c>
      <c r="B1288" s="2" t="s">
        <v>2433</v>
      </c>
      <c r="C1288" s="1" t="s">
        <v>2434</v>
      </c>
      <c r="D1288" s="1" t="s">
        <v>2435</v>
      </c>
      <c r="E1288" s="1">
        <v>1.0</v>
      </c>
      <c r="F1288" s="1">
        <v>0.0</v>
      </c>
    </row>
    <row r="1289" ht="12.75" customHeight="1">
      <c r="A1289" s="1">
        <v>0.0</v>
      </c>
      <c r="B1289" s="2" t="s">
        <v>2436</v>
      </c>
      <c r="C1289" s="1" t="s">
        <v>2437</v>
      </c>
      <c r="D1289" s="1" t="s">
        <v>2438</v>
      </c>
      <c r="E1289" s="1">
        <v>1.0</v>
      </c>
      <c r="F1289" s="1">
        <v>0.0</v>
      </c>
    </row>
    <row r="1290" ht="12.75" customHeight="1">
      <c r="A1290" s="1">
        <v>0.0</v>
      </c>
      <c r="B1290" s="2" t="s">
        <v>2439</v>
      </c>
      <c r="C1290" s="1" t="s">
        <v>2440</v>
      </c>
      <c r="D1290" s="1" t="s">
        <v>2441</v>
      </c>
      <c r="E1290" s="1">
        <v>1.0</v>
      </c>
      <c r="F1290" s="1">
        <v>0.0</v>
      </c>
    </row>
    <row r="1291" ht="12.75" customHeight="1">
      <c r="A1291" s="1">
        <v>0.0</v>
      </c>
      <c r="B1291" s="2" t="s">
        <v>2442</v>
      </c>
      <c r="C1291" s="1" t="s">
        <v>921</v>
      </c>
      <c r="D1291" s="1" t="s">
        <v>2443</v>
      </c>
      <c r="E1291" s="1">
        <v>1.0</v>
      </c>
      <c r="F1291" s="1">
        <v>0.0</v>
      </c>
    </row>
    <row r="1292" ht="12.75" customHeight="1">
      <c r="A1292" s="1">
        <v>0.0</v>
      </c>
      <c r="B1292" s="2">
        <v>3550802.0</v>
      </c>
      <c r="C1292" s="1" t="s">
        <v>789</v>
      </c>
      <c r="D1292" s="1" t="s">
        <v>2444</v>
      </c>
      <c r="E1292" s="1">
        <v>1.0</v>
      </c>
      <c r="F1292" s="1">
        <v>0.0</v>
      </c>
    </row>
    <row r="1293" ht="12.75" customHeight="1">
      <c r="A1293" s="1">
        <v>0.0</v>
      </c>
      <c r="B1293" s="2" t="s">
        <v>2445</v>
      </c>
      <c r="C1293" s="1" t="s">
        <v>2446</v>
      </c>
      <c r="D1293" s="1" t="s">
        <v>2447</v>
      </c>
      <c r="E1293" s="1">
        <v>1.0</v>
      </c>
      <c r="F1293" s="1">
        <v>0.0</v>
      </c>
    </row>
    <row r="1294" ht="12.75" customHeight="1">
      <c r="A1294" s="1">
        <v>0.0</v>
      </c>
      <c r="B1294" s="2" t="s">
        <v>2448</v>
      </c>
      <c r="C1294" s="1" t="s">
        <v>2449</v>
      </c>
      <c r="D1294" s="1" t="s">
        <v>2450</v>
      </c>
      <c r="E1294" s="1">
        <v>1.0</v>
      </c>
      <c r="F1294" s="1">
        <v>0.0</v>
      </c>
    </row>
    <row r="1295" ht="12.75" customHeight="1">
      <c r="A1295" s="1">
        <v>0.0</v>
      </c>
      <c r="B1295" s="2" t="s">
        <v>2451</v>
      </c>
      <c r="C1295" s="1" t="s">
        <v>2452</v>
      </c>
      <c r="D1295" s="1" t="s">
        <v>2453</v>
      </c>
      <c r="E1295" s="1">
        <v>1.0</v>
      </c>
      <c r="F1295" s="1">
        <v>0.0</v>
      </c>
    </row>
    <row r="1296" ht="12.75" customHeight="1">
      <c r="A1296" s="1">
        <v>0.0</v>
      </c>
      <c r="B1296" s="2">
        <v>562115.0</v>
      </c>
      <c r="C1296" s="1" t="s">
        <v>2454</v>
      </c>
      <c r="D1296" s="1" t="s">
        <v>2455</v>
      </c>
      <c r="E1296" s="1">
        <v>1.0</v>
      </c>
      <c r="F1296" s="1">
        <v>0.0</v>
      </c>
    </row>
    <row r="1297" ht="12.75" customHeight="1">
      <c r="A1297" s="1">
        <v>0.0</v>
      </c>
      <c r="B1297" s="2" t="s">
        <v>2456</v>
      </c>
      <c r="C1297" s="1" t="s">
        <v>757</v>
      </c>
      <c r="D1297" s="1" t="s">
        <v>2457</v>
      </c>
      <c r="E1297" s="1">
        <v>1.0</v>
      </c>
      <c r="F1297" s="1">
        <v>0.0</v>
      </c>
    </row>
    <row r="1298" ht="12.75" customHeight="1">
      <c r="A1298" s="1">
        <v>0.0</v>
      </c>
      <c r="B1298" s="2" t="s">
        <v>2458</v>
      </c>
      <c r="C1298" s="1" t="s">
        <v>757</v>
      </c>
      <c r="D1298" s="1" t="s">
        <v>921</v>
      </c>
      <c r="E1298" s="1">
        <v>1.0</v>
      </c>
      <c r="F1298" s="1">
        <v>0.0</v>
      </c>
    </row>
    <row r="1299" ht="12.75" customHeight="1">
      <c r="A1299" s="1">
        <v>0.0</v>
      </c>
      <c r="B1299" s="2">
        <v>562486.0</v>
      </c>
      <c r="C1299" s="1" t="s">
        <v>2459</v>
      </c>
      <c r="D1299" s="1" t="s">
        <v>2460</v>
      </c>
      <c r="E1299" s="1">
        <v>1.0</v>
      </c>
      <c r="F1299" s="1">
        <v>0.0</v>
      </c>
    </row>
    <row r="1300" ht="12.75" customHeight="1">
      <c r="A1300" s="1">
        <v>0.0</v>
      </c>
      <c r="B1300" s="2">
        <v>561910.0</v>
      </c>
      <c r="C1300" s="1" t="s">
        <v>2461</v>
      </c>
      <c r="D1300" s="1" t="s">
        <v>2462</v>
      </c>
      <c r="E1300" s="1">
        <v>1.0</v>
      </c>
      <c r="F1300" s="1">
        <v>0.0</v>
      </c>
    </row>
    <row r="1301" ht="12.75" customHeight="1">
      <c r="A1301" s="1">
        <v>0.0</v>
      </c>
      <c r="B1301" s="2" t="s">
        <v>2463</v>
      </c>
      <c r="C1301" s="1" t="s">
        <v>2464</v>
      </c>
      <c r="D1301" s="1" t="s">
        <v>2465</v>
      </c>
      <c r="E1301" s="1">
        <v>1.0</v>
      </c>
      <c r="F1301" s="1">
        <v>0.0</v>
      </c>
    </row>
    <row r="1302" ht="12.75" customHeight="1">
      <c r="A1302" s="1">
        <v>0.0</v>
      </c>
      <c r="B1302" s="2" t="s">
        <v>2466</v>
      </c>
      <c r="C1302" s="1" t="s">
        <v>2467</v>
      </c>
      <c r="D1302" s="1" t="s">
        <v>2468</v>
      </c>
      <c r="E1302" s="1">
        <v>1.0</v>
      </c>
      <c r="F1302" s="1">
        <v>0.0</v>
      </c>
    </row>
    <row r="1303" ht="12.75" customHeight="1">
      <c r="A1303" s="1">
        <v>0.0</v>
      </c>
      <c r="B1303" s="2" t="s">
        <v>2469</v>
      </c>
      <c r="C1303" s="1" t="s">
        <v>2470</v>
      </c>
      <c r="D1303" s="1" t="s">
        <v>2471</v>
      </c>
      <c r="E1303" s="1">
        <v>1.0</v>
      </c>
      <c r="F1303" s="1">
        <v>0.0</v>
      </c>
    </row>
    <row r="1304" ht="12.75" customHeight="1">
      <c r="A1304" s="1">
        <v>0.0</v>
      </c>
      <c r="B1304" s="2" t="s">
        <v>2472</v>
      </c>
      <c r="C1304" s="1" t="s">
        <v>2473</v>
      </c>
      <c r="D1304" s="1" t="s">
        <v>2474</v>
      </c>
      <c r="E1304" s="1">
        <v>1.0</v>
      </c>
      <c r="F1304" s="1">
        <v>0.0</v>
      </c>
    </row>
    <row r="1305" ht="12.75" customHeight="1">
      <c r="A1305" s="1">
        <v>0.0</v>
      </c>
      <c r="B1305" s="2" t="s">
        <v>2475</v>
      </c>
      <c r="C1305" s="1" t="s">
        <v>2476</v>
      </c>
      <c r="D1305" s="1" t="s">
        <v>891</v>
      </c>
      <c r="E1305" s="1">
        <v>1.0</v>
      </c>
      <c r="F1305" s="1">
        <v>0.0</v>
      </c>
    </row>
    <row r="1306" ht="12.75" customHeight="1">
      <c r="A1306" s="1">
        <v>0.0</v>
      </c>
      <c r="B1306" s="2">
        <v>4310102.0</v>
      </c>
      <c r="C1306" s="1" t="s">
        <v>2477</v>
      </c>
      <c r="D1306" s="1" t="s">
        <v>2478</v>
      </c>
      <c r="E1306" s="1">
        <v>1.0</v>
      </c>
      <c r="F1306" s="1">
        <v>0.0</v>
      </c>
    </row>
    <row r="1307" ht="12.75" customHeight="1">
      <c r="A1307" s="1">
        <v>0.0</v>
      </c>
      <c r="B1307" s="2" t="s">
        <v>2479</v>
      </c>
      <c r="C1307" s="1" t="s">
        <v>909</v>
      </c>
      <c r="D1307" s="1" t="s">
        <v>2478</v>
      </c>
      <c r="E1307" s="1">
        <v>1.0</v>
      </c>
      <c r="F1307" s="1">
        <v>0.0</v>
      </c>
    </row>
    <row r="1308" ht="12.75" customHeight="1">
      <c r="A1308" s="1">
        <v>0.0</v>
      </c>
      <c r="B1308" s="2" t="s">
        <v>2480</v>
      </c>
      <c r="C1308" s="1" t="s">
        <v>2481</v>
      </c>
      <c r="D1308" s="1" t="s">
        <v>2478</v>
      </c>
      <c r="E1308" s="1">
        <v>1.0</v>
      </c>
      <c r="F1308" s="1">
        <v>0.0</v>
      </c>
    </row>
    <row r="1309" ht="12.75" customHeight="1">
      <c r="A1309" s="1">
        <v>0.0</v>
      </c>
      <c r="B1309" s="2" t="s">
        <v>2482</v>
      </c>
      <c r="C1309" s="1" t="s">
        <v>2483</v>
      </c>
      <c r="D1309" s="1" t="s">
        <v>2478</v>
      </c>
      <c r="E1309" s="1">
        <v>1.0</v>
      </c>
      <c r="F1309" s="1">
        <v>0.0</v>
      </c>
    </row>
    <row r="1310" ht="12.75" customHeight="1">
      <c r="A1310" s="1">
        <v>0.0</v>
      </c>
      <c r="B1310" s="2" t="s">
        <v>2484</v>
      </c>
      <c r="C1310" s="1" t="s">
        <v>2485</v>
      </c>
      <c r="D1310" s="1" t="s">
        <v>2478</v>
      </c>
      <c r="E1310" s="1">
        <v>1.0</v>
      </c>
      <c r="F1310" s="1">
        <v>0.0</v>
      </c>
    </row>
    <row r="1311" ht="12.75" customHeight="1">
      <c r="A1311" s="1">
        <v>0.0</v>
      </c>
      <c r="B1311" s="2">
        <v>560343.0</v>
      </c>
      <c r="C1311" s="1" t="s">
        <v>892</v>
      </c>
      <c r="D1311" s="1" t="s">
        <v>893</v>
      </c>
      <c r="E1311" s="1">
        <v>1.0</v>
      </c>
      <c r="F1311" s="1">
        <v>0.0</v>
      </c>
    </row>
    <row r="1312" ht="12.75" customHeight="1">
      <c r="A1312" s="1">
        <v>0.0</v>
      </c>
      <c r="B1312" s="2" t="s">
        <v>2486</v>
      </c>
      <c r="C1312" s="1" t="s">
        <v>909</v>
      </c>
      <c r="D1312" s="1" t="s">
        <v>893</v>
      </c>
      <c r="E1312" s="1">
        <v>1.0</v>
      </c>
      <c r="F1312" s="1">
        <v>0.0</v>
      </c>
    </row>
    <row r="1313" ht="12.75" customHeight="1">
      <c r="A1313" s="1">
        <v>0.0</v>
      </c>
      <c r="B1313" s="2" t="s">
        <v>2487</v>
      </c>
      <c r="C1313" s="1" t="s">
        <v>2488</v>
      </c>
      <c r="D1313" s="1" t="s">
        <v>893</v>
      </c>
      <c r="E1313" s="1">
        <v>1.0</v>
      </c>
      <c r="F1313" s="1">
        <v>0.0</v>
      </c>
    </row>
    <row r="1314" ht="12.75" customHeight="1">
      <c r="A1314" s="1">
        <v>0.0</v>
      </c>
      <c r="B1314" s="2" t="s">
        <v>2489</v>
      </c>
      <c r="C1314" s="1" t="s">
        <v>892</v>
      </c>
      <c r="D1314" s="1" t="s">
        <v>496</v>
      </c>
      <c r="E1314" s="1">
        <v>1.0</v>
      </c>
      <c r="F1314" s="1">
        <v>0.0</v>
      </c>
    </row>
    <row r="1315" ht="12.75" customHeight="1">
      <c r="A1315" s="1">
        <v>0.0</v>
      </c>
      <c r="B1315" s="2">
        <v>562950.0</v>
      </c>
      <c r="C1315" s="1" t="s">
        <v>2490</v>
      </c>
      <c r="D1315" s="1" t="s">
        <v>895</v>
      </c>
      <c r="E1315" s="1">
        <v>1.0</v>
      </c>
      <c r="F1315" s="1">
        <v>0.0</v>
      </c>
    </row>
    <row r="1316" ht="12.75" customHeight="1">
      <c r="A1316" s="1">
        <v>0.0</v>
      </c>
      <c r="B1316" s="2">
        <v>564752.0</v>
      </c>
      <c r="C1316" s="1" t="s">
        <v>1801</v>
      </c>
      <c r="D1316" s="1" t="s">
        <v>895</v>
      </c>
      <c r="E1316" s="1">
        <v>1.0</v>
      </c>
      <c r="F1316" s="1">
        <v>0.0</v>
      </c>
    </row>
    <row r="1317" ht="12.75" customHeight="1">
      <c r="A1317" s="1">
        <v>0.0</v>
      </c>
      <c r="B1317" s="2" t="s">
        <v>2491</v>
      </c>
      <c r="C1317" s="1" t="s">
        <v>892</v>
      </c>
      <c r="D1317" s="1" t="s">
        <v>895</v>
      </c>
      <c r="E1317" s="1">
        <v>1.0</v>
      </c>
      <c r="F1317" s="1">
        <v>0.0</v>
      </c>
    </row>
    <row r="1318" ht="12.75" customHeight="1">
      <c r="A1318" s="1">
        <v>0.0</v>
      </c>
      <c r="B1318" s="2" t="s">
        <v>2492</v>
      </c>
      <c r="C1318" s="1" t="s">
        <v>892</v>
      </c>
      <c r="D1318" s="1" t="s">
        <v>895</v>
      </c>
      <c r="E1318" s="1">
        <v>1.0</v>
      </c>
      <c r="F1318" s="1">
        <v>0.0</v>
      </c>
    </row>
    <row r="1319" ht="12.75" customHeight="1">
      <c r="A1319" s="1">
        <v>0.0</v>
      </c>
      <c r="B1319" s="2" t="s">
        <v>2493</v>
      </c>
      <c r="C1319" s="1" t="s">
        <v>2494</v>
      </c>
      <c r="D1319" s="1" t="s">
        <v>895</v>
      </c>
      <c r="E1319" s="1">
        <v>1.0</v>
      </c>
      <c r="F1319" s="1">
        <v>0.0</v>
      </c>
    </row>
    <row r="1320" ht="12.75" customHeight="1">
      <c r="A1320" s="1">
        <v>0.0</v>
      </c>
      <c r="B1320" s="2">
        <v>560381.0</v>
      </c>
      <c r="C1320" s="1" t="s">
        <v>2495</v>
      </c>
      <c r="D1320" s="1" t="s">
        <v>2496</v>
      </c>
      <c r="E1320" s="1">
        <v>1.0</v>
      </c>
      <c r="F1320" s="1">
        <v>0.0</v>
      </c>
    </row>
    <row r="1321" ht="12.75" customHeight="1">
      <c r="A1321" s="1">
        <v>0.0</v>
      </c>
      <c r="B1321" s="2" t="s">
        <v>2497</v>
      </c>
      <c r="C1321" s="1" t="s">
        <v>892</v>
      </c>
      <c r="D1321" s="1" t="s">
        <v>2498</v>
      </c>
      <c r="E1321" s="1">
        <v>1.0</v>
      </c>
      <c r="F1321" s="1">
        <v>0.0</v>
      </c>
    </row>
    <row r="1322" ht="12.75" customHeight="1">
      <c r="A1322" s="1">
        <v>0.0</v>
      </c>
      <c r="B1322" s="2" t="s">
        <v>2499</v>
      </c>
      <c r="C1322" s="1" t="s">
        <v>892</v>
      </c>
      <c r="D1322" s="1" t="s">
        <v>2500</v>
      </c>
      <c r="E1322" s="1">
        <v>1.0</v>
      </c>
      <c r="F1322" s="1">
        <v>0.0</v>
      </c>
    </row>
    <row r="1323" ht="12.75" customHeight="1">
      <c r="A1323" s="1">
        <v>0.0</v>
      </c>
      <c r="B1323" s="2" t="s">
        <v>2501</v>
      </c>
      <c r="C1323" s="1" t="s">
        <v>2502</v>
      </c>
      <c r="D1323" s="1" t="s">
        <v>2500</v>
      </c>
      <c r="E1323" s="1">
        <v>1.0</v>
      </c>
      <c r="F1323" s="1">
        <v>0.0</v>
      </c>
    </row>
    <row r="1324" ht="12.75" customHeight="1">
      <c r="A1324" s="1">
        <v>0.0</v>
      </c>
      <c r="B1324" s="2" t="s">
        <v>2503</v>
      </c>
      <c r="C1324" s="1" t="s">
        <v>2504</v>
      </c>
      <c r="D1324" s="1" t="s">
        <v>2505</v>
      </c>
      <c r="E1324" s="1">
        <v>1.0</v>
      </c>
      <c r="F1324" s="1">
        <v>0.0</v>
      </c>
    </row>
    <row r="1325" ht="12.75" customHeight="1">
      <c r="A1325" s="1">
        <v>0.0</v>
      </c>
      <c r="B1325" s="2">
        <v>560351.0</v>
      </c>
      <c r="C1325" s="1" t="s">
        <v>892</v>
      </c>
      <c r="D1325" s="1" t="s">
        <v>912</v>
      </c>
      <c r="E1325" s="1">
        <v>1.0</v>
      </c>
      <c r="F1325" s="1">
        <v>0.0</v>
      </c>
    </row>
    <row r="1326" ht="12.75" customHeight="1">
      <c r="A1326" s="1">
        <v>0.0</v>
      </c>
      <c r="B1326" s="2">
        <v>564746.0</v>
      </c>
      <c r="C1326" s="1" t="s">
        <v>1843</v>
      </c>
      <c r="D1326" s="1" t="s">
        <v>912</v>
      </c>
      <c r="E1326" s="1">
        <v>1.0</v>
      </c>
      <c r="F1326" s="1">
        <v>0.0</v>
      </c>
    </row>
    <row r="1327" ht="12.75" customHeight="1">
      <c r="A1327" s="1">
        <v>0.0</v>
      </c>
      <c r="B1327" s="2">
        <v>564789.0</v>
      </c>
      <c r="C1327" s="1" t="s">
        <v>2506</v>
      </c>
      <c r="D1327" s="1" t="s">
        <v>912</v>
      </c>
      <c r="E1327" s="1">
        <v>1.0</v>
      </c>
      <c r="F1327" s="1">
        <v>0.0</v>
      </c>
    </row>
    <row r="1328" ht="12.75" customHeight="1">
      <c r="A1328" s="1">
        <v>0.0</v>
      </c>
      <c r="B1328" s="2">
        <v>7900099.0</v>
      </c>
      <c r="C1328" s="1" t="s">
        <v>2507</v>
      </c>
      <c r="D1328" s="1" t="s">
        <v>912</v>
      </c>
      <c r="E1328" s="1">
        <v>1.0</v>
      </c>
      <c r="F1328" s="1">
        <v>0.0</v>
      </c>
    </row>
    <row r="1329" ht="12.75" customHeight="1">
      <c r="A1329" s="1">
        <v>0.0</v>
      </c>
      <c r="B1329" s="2" t="s">
        <v>2508</v>
      </c>
      <c r="C1329" s="1" t="s">
        <v>916</v>
      </c>
      <c r="D1329" s="1" t="s">
        <v>912</v>
      </c>
      <c r="E1329" s="1">
        <v>1.0</v>
      </c>
      <c r="F1329" s="1">
        <v>0.0</v>
      </c>
    </row>
    <row r="1330" ht="12.75" customHeight="1">
      <c r="A1330" s="1">
        <v>0.0</v>
      </c>
      <c r="B1330" s="2" t="s">
        <v>2509</v>
      </c>
      <c r="C1330" s="1" t="s">
        <v>892</v>
      </c>
      <c r="D1330" s="1" t="s">
        <v>912</v>
      </c>
      <c r="E1330" s="1">
        <v>1.0</v>
      </c>
      <c r="F1330" s="1">
        <v>0.0</v>
      </c>
    </row>
    <row r="1331" ht="12.75" customHeight="1">
      <c r="A1331" s="1">
        <v>0.0</v>
      </c>
      <c r="B1331" s="2" t="s">
        <v>2510</v>
      </c>
      <c r="C1331" s="1" t="s">
        <v>2511</v>
      </c>
      <c r="D1331" s="1" t="s">
        <v>912</v>
      </c>
      <c r="E1331" s="1">
        <v>1.0</v>
      </c>
      <c r="F1331" s="1">
        <v>0.0</v>
      </c>
    </row>
    <row r="1332" ht="12.75" customHeight="1">
      <c r="A1332" s="1">
        <v>0.0</v>
      </c>
      <c r="B1332" s="2" t="s">
        <v>2512</v>
      </c>
      <c r="C1332" s="1" t="s">
        <v>2052</v>
      </c>
      <c r="D1332" s="1" t="s">
        <v>912</v>
      </c>
      <c r="E1332" s="1">
        <v>1.0</v>
      </c>
      <c r="F1332" s="1">
        <v>0.0</v>
      </c>
    </row>
    <row r="1333" ht="12.75" customHeight="1">
      <c r="A1333" s="1">
        <v>0.0</v>
      </c>
      <c r="B1333" s="2" t="s">
        <v>2513</v>
      </c>
      <c r="C1333" s="1" t="s">
        <v>2514</v>
      </c>
      <c r="D1333" s="1" t="s">
        <v>912</v>
      </c>
      <c r="E1333" s="1">
        <v>1.0</v>
      </c>
      <c r="F1333" s="1">
        <v>0.0</v>
      </c>
    </row>
    <row r="1334" ht="12.75" customHeight="1">
      <c r="A1334" s="1">
        <v>0.0</v>
      </c>
      <c r="B1334" s="2" t="s">
        <v>2515</v>
      </c>
      <c r="C1334" s="1" t="s">
        <v>2516</v>
      </c>
      <c r="D1334" s="1" t="s">
        <v>912</v>
      </c>
      <c r="E1334" s="1">
        <v>1.0</v>
      </c>
      <c r="F1334" s="1">
        <v>0.0</v>
      </c>
    </row>
    <row r="1335" ht="12.75" customHeight="1">
      <c r="A1335" s="1">
        <v>0.0</v>
      </c>
      <c r="B1335" s="2">
        <v>560357.0</v>
      </c>
      <c r="C1335" s="1" t="s">
        <v>2517</v>
      </c>
      <c r="D1335" s="1" t="s">
        <v>2518</v>
      </c>
      <c r="E1335" s="1">
        <v>1.0</v>
      </c>
      <c r="F1335" s="1">
        <v>0.0</v>
      </c>
    </row>
    <row r="1336" ht="12.75" customHeight="1">
      <c r="A1336" s="1">
        <v>0.0</v>
      </c>
      <c r="B1336" s="2">
        <v>564702.0</v>
      </c>
      <c r="C1336" s="1" t="s">
        <v>2519</v>
      </c>
      <c r="D1336" s="1" t="s">
        <v>2520</v>
      </c>
      <c r="E1336" s="1">
        <v>1.0</v>
      </c>
      <c r="F1336" s="1">
        <v>0.0</v>
      </c>
    </row>
    <row r="1337" ht="12.75" customHeight="1">
      <c r="A1337" s="1">
        <v>0.0</v>
      </c>
      <c r="B1337" s="2" t="s">
        <v>2521</v>
      </c>
      <c r="C1337" s="1" t="s">
        <v>2522</v>
      </c>
      <c r="D1337" s="1" t="s">
        <v>927</v>
      </c>
      <c r="E1337" s="1">
        <v>1.0</v>
      </c>
      <c r="F1337" s="1">
        <v>0.0</v>
      </c>
    </row>
    <row r="1338" ht="12.75" customHeight="1">
      <c r="A1338" s="1">
        <v>0.0</v>
      </c>
      <c r="B1338" s="2" t="s">
        <v>2523</v>
      </c>
      <c r="C1338" s="1" t="s">
        <v>2524</v>
      </c>
      <c r="D1338" s="1" t="s">
        <v>927</v>
      </c>
      <c r="E1338" s="1">
        <v>1.0</v>
      </c>
      <c r="F1338" s="1">
        <v>0.0</v>
      </c>
    </row>
    <row r="1339" ht="12.75" customHeight="1">
      <c r="A1339" s="1">
        <v>0.0</v>
      </c>
      <c r="B1339" s="2" t="s">
        <v>2525</v>
      </c>
      <c r="C1339" s="1" t="s">
        <v>2526</v>
      </c>
      <c r="D1339" s="1" t="s">
        <v>2527</v>
      </c>
      <c r="E1339" s="1">
        <v>1.0</v>
      </c>
      <c r="F1339" s="1">
        <v>0.0</v>
      </c>
    </row>
    <row r="1340" ht="12.75" customHeight="1">
      <c r="A1340" s="1">
        <v>0.0</v>
      </c>
      <c r="B1340" s="2" t="s">
        <v>2528</v>
      </c>
      <c r="C1340" s="1" t="s">
        <v>2529</v>
      </c>
      <c r="D1340" s="1" t="s">
        <v>932</v>
      </c>
      <c r="E1340" s="1">
        <v>1.0</v>
      </c>
      <c r="F1340" s="1">
        <v>0.0</v>
      </c>
    </row>
    <row r="1341" ht="12.75" customHeight="1">
      <c r="A1341" s="1">
        <v>0.0</v>
      </c>
      <c r="B1341" s="2" t="s">
        <v>2530</v>
      </c>
      <c r="C1341" s="1" t="s">
        <v>2531</v>
      </c>
      <c r="D1341" s="1" t="s">
        <v>2532</v>
      </c>
      <c r="E1341" s="1">
        <v>1.0</v>
      </c>
      <c r="F1341" s="1">
        <v>0.0</v>
      </c>
    </row>
    <row r="1342" ht="12.75" customHeight="1">
      <c r="A1342" s="1">
        <v>0.0</v>
      </c>
      <c r="B1342" s="2">
        <v>560356.0</v>
      </c>
      <c r="C1342" s="1" t="s">
        <v>892</v>
      </c>
      <c r="D1342" s="1" t="s">
        <v>2533</v>
      </c>
      <c r="E1342" s="1">
        <v>1.0</v>
      </c>
      <c r="F1342" s="1">
        <v>0.0</v>
      </c>
    </row>
    <row r="1343" ht="12.75" customHeight="1">
      <c r="A1343" s="1">
        <v>0.0</v>
      </c>
      <c r="B1343" s="2" t="s">
        <v>2534</v>
      </c>
      <c r="C1343" s="1" t="s">
        <v>2535</v>
      </c>
      <c r="D1343" s="1" t="s">
        <v>2536</v>
      </c>
      <c r="E1343" s="1">
        <v>1.0</v>
      </c>
      <c r="F1343" s="1">
        <v>0.0</v>
      </c>
    </row>
    <row r="1344" ht="12.75" customHeight="1">
      <c r="A1344" s="1">
        <v>0.0</v>
      </c>
      <c r="B1344" s="2">
        <v>562279.0</v>
      </c>
      <c r="C1344" s="1" t="s">
        <v>2537</v>
      </c>
      <c r="D1344" s="1" t="s">
        <v>934</v>
      </c>
      <c r="E1344" s="1">
        <v>1.0</v>
      </c>
      <c r="F1344" s="1">
        <v>0.0</v>
      </c>
    </row>
    <row r="1345" ht="12.75" customHeight="1">
      <c r="A1345" s="1">
        <v>0.0</v>
      </c>
      <c r="B1345" s="2">
        <v>564708.0</v>
      </c>
      <c r="C1345" s="1" t="s">
        <v>2538</v>
      </c>
      <c r="D1345" s="1" t="s">
        <v>934</v>
      </c>
      <c r="E1345" s="1">
        <v>1.0</v>
      </c>
      <c r="F1345" s="1">
        <v>0.0</v>
      </c>
    </row>
    <row r="1346" ht="12.75" customHeight="1">
      <c r="A1346" s="1">
        <v>0.0</v>
      </c>
      <c r="B1346" s="2">
        <v>564729.0</v>
      </c>
      <c r="C1346" s="1" t="s">
        <v>2539</v>
      </c>
      <c r="D1346" s="1" t="s">
        <v>934</v>
      </c>
      <c r="E1346" s="1">
        <v>1.0</v>
      </c>
      <c r="F1346" s="1">
        <v>0.0</v>
      </c>
    </row>
    <row r="1347" ht="12.75" customHeight="1">
      <c r="A1347" s="1">
        <v>0.0</v>
      </c>
      <c r="B1347" s="2" t="s">
        <v>2540</v>
      </c>
      <c r="C1347" s="1" t="s">
        <v>892</v>
      </c>
      <c r="D1347" s="1" t="s">
        <v>934</v>
      </c>
      <c r="E1347" s="1">
        <v>1.0</v>
      </c>
      <c r="F1347" s="1">
        <v>0.0</v>
      </c>
    </row>
    <row r="1348" ht="12.75" customHeight="1">
      <c r="A1348" s="1">
        <v>0.0</v>
      </c>
      <c r="B1348" s="2" t="s">
        <v>2541</v>
      </c>
      <c r="C1348" s="1" t="s">
        <v>2542</v>
      </c>
      <c r="D1348" s="1" t="s">
        <v>934</v>
      </c>
      <c r="E1348" s="1">
        <v>1.0</v>
      </c>
      <c r="F1348" s="1">
        <v>0.0</v>
      </c>
    </row>
    <row r="1349" ht="12.75" customHeight="1">
      <c r="A1349" s="1">
        <v>0.0</v>
      </c>
      <c r="B1349" s="2" t="s">
        <v>2543</v>
      </c>
      <c r="C1349" s="1" t="s">
        <v>2544</v>
      </c>
      <c r="D1349" s="1" t="s">
        <v>934</v>
      </c>
      <c r="E1349" s="1">
        <v>1.0</v>
      </c>
      <c r="F1349" s="1">
        <v>0.0</v>
      </c>
    </row>
    <row r="1350" ht="12.75" customHeight="1">
      <c r="A1350" s="1">
        <v>0.0</v>
      </c>
      <c r="B1350" s="2">
        <v>562826.0</v>
      </c>
      <c r="C1350" s="1" t="s">
        <v>2545</v>
      </c>
      <c r="D1350" s="1" t="s">
        <v>2546</v>
      </c>
      <c r="E1350" s="1">
        <v>1.0</v>
      </c>
      <c r="F1350" s="1">
        <v>0.0</v>
      </c>
    </row>
    <row r="1351" ht="12.75" customHeight="1">
      <c r="A1351" s="1">
        <v>0.0</v>
      </c>
      <c r="B1351" s="2">
        <v>564703.0</v>
      </c>
      <c r="C1351" s="1" t="s">
        <v>892</v>
      </c>
      <c r="D1351" s="1" t="s">
        <v>936</v>
      </c>
      <c r="E1351" s="1">
        <v>1.0</v>
      </c>
      <c r="F1351" s="1">
        <v>0.0</v>
      </c>
    </row>
    <row r="1352" ht="12.75" customHeight="1">
      <c r="A1352" s="1">
        <v>0.0</v>
      </c>
      <c r="B1352" s="2">
        <v>564763.0</v>
      </c>
      <c r="C1352" s="1" t="s">
        <v>2547</v>
      </c>
      <c r="D1352" s="1" t="s">
        <v>936</v>
      </c>
      <c r="E1352" s="1">
        <v>1.0</v>
      </c>
      <c r="F1352" s="1">
        <v>0.0</v>
      </c>
    </row>
    <row r="1353" ht="12.75" customHeight="1">
      <c r="A1353" s="1">
        <v>0.0</v>
      </c>
      <c r="B1353" s="2">
        <v>564783.0</v>
      </c>
      <c r="C1353" s="1" t="s">
        <v>911</v>
      </c>
      <c r="D1353" s="1" t="s">
        <v>936</v>
      </c>
      <c r="E1353" s="1">
        <v>1.0</v>
      </c>
      <c r="F1353" s="1">
        <v>0.0</v>
      </c>
    </row>
    <row r="1354" ht="12.75" customHeight="1">
      <c r="A1354" s="1">
        <v>0.0</v>
      </c>
      <c r="B1354" s="2">
        <v>1130834.0</v>
      </c>
      <c r="C1354" s="1" t="s">
        <v>2548</v>
      </c>
      <c r="D1354" s="1" t="s">
        <v>936</v>
      </c>
      <c r="E1354" s="1">
        <v>1.0</v>
      </c>
      <c r="F1354" s="1">
        <v>0.0</v>
      </c>
    </row>
    <row r="1355" ht="12.75" customHeight="1">
      <c r="A1355" s="1">
        <v>0.0</v>
      </c>
      <c r="B1355" s="2">
        <v>5.647E12</v>
      </c>
      <c r="C1355" s="1" t="s">
        <v>2549</v>
      </c>
      <c r="D1355" s="1" t="s">
        <v>936</v>
      </c>
      <c r="E1355" s="1">
        <v>1.0</v>
      </c>
      <c r="F1355" s="1">
        <v>0.0</v>
      </c>
    </row>
    <row r="1356" ht="12.75" customHeight="1">
      <c r="A1356" s="1">
        <v>0.0</v>
      </c>
      <c r="B1356" s="2" t="s">
        <v>2550</v>
      </c>
      <c r="C1356" s="1" t="s">
        <v>2551</v>
      </c>
      <c r="D1356" s="1" t="s">
        <v>936</v>
      </c>
      <c r="E1356" s="1">
        <v>1.0</v>
      </c>
      <c r="F1356" s="1">
        <v>0.0</v>
      </c>
    </row>
    <row r="1357" ht="12.75" customHeight="1">
      <c r="A1357" s="1">
        <v>0.0</v>
      </c>
      <c r="B1357" s="2" t="s">
        <v>2552</v>
      </c>
      <c r="C1357" s="1" t="s">
        <v>2553</v>
      </c>
      <c r="D1357" s="1" t="s">
        <v>936</v>
      </c>
      <c r="E1357" s="1">
        <v>1.0</v>
      </c>
      <c r="F1357" s="1">
        <v>0.0</v>
      </c>
    </row>
    <row r="1358" ht="12.75" customHeight="1">
      <c r="A1358" s="1">
        <v>0.0</v>
      </c>
      <c r="B1358" s="2" t="s">
        <v>2554</v>
      </c>
      <c r="C1358" s="1" t="s">
        <v>2555</v>
      </c>
      <c r="D1358" s="1" t="s">
        <v>936</v>
      </c>
      <c r="E1358" s="1">
        <v>1.0</v>
      </c>
      <c r="F1358" s="1">
        <v>0.0</v>
      </c>
    </row>
    <row r="1359" ht="12.75" customHeight="1">
      <c r="A1359" s="1">
        <v>0.0</v>
      </c>
      <c r="B1359" s="2" t="s">
        <v>2556</v>
      </c>
      <c r="C1359" s="1" t="s">
        <v>2557</v>
      </c>
      <c r="D1359" s="1" t="s">
        <v>936</v>
      </c>
      <c r="E1359" s="1">
        <v>1.0</v>
      </c>
      <c r="F1359" s="1">
        <v>0.0</v>
      </c>
    </row>
    <row r="1360" ht="12.75" customHeight="1">
      <c r="A1360" s="1">
        <v>0.0</v>
      </c>
      <c r="B1360" s="2" t="s">
        <v>2558</v>
      </c>
      <c r="C1360" s="1" t="s">
        <v>2559</v>
      </c>
      <c r="D1360" s="1" t="s">
        <v>936</v>
      </c>
      <c r="E1360" s="1">
        <v>1.0</v>
      </c>
      <c r="F1360" s="1">
        <v>0.0</v>
      </c>
    </row>
    <row r="1361" ht="12.75" customHeight="1">
      <c r="A1361" s="1">
        <v>0.0</v>
      </c>
      <c r="B1361" s="2" t="s">
        <v>2560</v>
      </c>
      <c r="C1361" s="1" t="s">
        <v>2561</v>
      </c>
      <c r="D1361" s="1" t="s">
        <v>936</v>
      </c>
      <c r="E1361" s="1">
        <v>1.0</v>
      </c>
      <c r="F1361" s="1">
        <v>0.0</v>
      </c>
    </row>
    <row r="1362" ht="12.75" customHeight="1">
      <c r="A1362" s="1">
        <v>0.0</v>
      </c>
      <c r="B1362" s="2" t="s">
        <v>2562</v>
      </c>
      <c r="C1362" s="1" t="s">
        <v>2563</v>
      </c>
      <c r="D1362" s="1" t="s">
        <v>936</v>
      </c>
      <c r="E1362" s="1">
        <v>1.0</v>
      </c>
      <c r="F1362" s="1">
        <v>0.0</v>
      </c>
    </row>
    <row r="1363" ht="12.75" customHeight="1">
      <c r="A1363" s="1">
        <v>0.0</v>
      </c>
      <c r="B1363" s="2" t="s">
        <v>2564</v>
      </c>
      <c r="C1363" s="1" t="s">
        <v>2565</v>
      </c>
      <c r="D1363" s="1" t="s">
        <v>936</v>
      </c>
      <c r="E1363" s="1">
        <v>1.0</v>
      </c>
      <c r="F1363" s="1">
        <v>0.0</v>
      </c>
    </row>
    <row r="1364" ht="12.75" customHeight="1">
      <c r="A1364" s="1">
        <v>0.0</v>
      </c>
      <c r="B1364" s="2" t="s">
        <v>2566</v>
      </c>
      <c r="C1364" s="1" t="s">
        <v>2567</v>
      </c>
      <c r="D1364" s="1" t="s">
        <v>936</v>
      </c>
      <c r="E1364" s="1">
        <v>1.0</v>
      </c>
      <c r="F1364" s="1">
        <v>0.0</v>
      </c>
    </row>
    <row r="1365" ht="12.75" customHeight="1">
      <c r="A1365" s="1">
        <v>0.0</v>
      </c>
      <c r="B1365" s="2" t="s">
        <v>2568</v>
      </c>
      <c r="C1365" s="1" t="s">
        <v>2569</v>
      </c>
      <c r="D1365" s="1" t="s">
        <v>936</v>
      </c>
      <c r="E1365" s="1">
        <v>1.0</v>
      </c>
      <c r="F1365" s="1">
        <v>0.0</v>
      </c>
    </row>
    <row r="1366" ht="12.75" customHeight="1">
      <c r="A1366" s="1">
        <v>0.0</v>
      </c>
      <c r="B1366" s="2" t="s">
        <v>2570</v>
      </c>
      <c r="C1366" s="1" t="s">
        <v>2571</v>
      </c>
      <c r="D1366" s="1" t="s">
        <v>936</v>
      </c>
      <c r="E1366" s="1">
        <v>1.0</v>
      </c>
      <c r="F1366" s="1">
        <v>0.0</v>
      </c>
    </row>
    <row r="1367" ht="12.75" customHeight="1">
      <c r="A1367" s="1">
        <v>0.0</v>
      </c>
      <c r="B1367" s="2" t="s">
        <v>2572</v>
      </c>
      <c r="C1367" s="1" t="s">
        <v>2573</v>
      </c>
      <c r="D1367" s="1" t="s">
        <v>936</v>
      </c>
      <c r="E1367" s="1">
        <v>1.0</v>
      </c>
      <c r="F1367" s="1">
        <v>0.0</v>
      </c>
    </row>
    <row r="1368" ht="12.75" customHeight="1">
      <c r="A1368" s="1">
        <v>0.0</v>
      </c>
      <c r="B1368" s="2" t="s">
        <v>2574</v>
      </c>
      <c r="C1368" s="1" t="s">
        <v>2575</v>
      </c>
      <c r="D1368" s="1" t="s">
        <v>936</v>
      </c>
      <c r="E1368" s="1">
        <v>1.0</v>
      </c>
      <c r="F1368" s="1">
        <v>0.0</v>
      </c>
    </row>
    <row r="1369" ht="12.75" customHeight="1">
      <c r="A1369" s="1">
        <v>0.0</v>
      </c>
      <c r="B1369" s="2" t="s">
        <v>2576</v>
      </c>
      <c r="C1369" s="1" t="s">
        <v>2577</v>
      </c>
      <c r="D1369" s="1" t="s">
        <v>936</v>
      </c>
      <c r="E1369" s="1">
        <v>1.0</v>
      </c>
      <c r="F1369" s="1">
        <v>0.0</v>
      </c>
    </row>
    <row r="1370" ht="12.75" customHeight="1">
      <c r="A1370" s="1">
        <v>0.0</v>
      </c>
      <c r="B1370" s="2" t="s">
        <v>2578</v>
      </c>
      <c r="C1370" s="1" t="s">
        <v>2579</v>
      </c>
      <c r="D1370" s="1" t="s">
        <v>936</v>
      </c>
      <c r="E1370" s="1">
        <v>1.0</v>
      </c>
      <c r="F1370" s="1">
        <v>0.0</v>
      </c>
    </row>
    <row r="1371" ht="12.75" customHeight="1">
      <c r="A1371" s="1">
        <v>0.0</v>
      </c>
      <c r="B1371" s="2" t="s">
        <v>2580</v>
      </c>
      <c r="C1371" s="1" t="s">
        <v>2581</v>
      </c>
      <c r="D1371" s="1" t="s">
        <v>936</v>
      </c>
      <c r="E1371" s="1">
        <v>1.0</v>
      </c>
      <c r="F1371" s="1">
        <v>0.0</v>
      </c>
    </row>
    <row r="1372" ht="12.75" customHeight="1">
      <c r="A1372" s="1">
        <v>0.0</v>
      </c>
      <c r="B1372" s="2" t="s">
        <v>2582</v>
      </c>
      <c r="C1372" s="1" t="s">
        <v>2583</v>
      </c>
      <c r="D1372" s="1" t="s">
        <v>936</v>
      </c>
      <c r="E1372" s="1">
        <v>1.0</v>
      </c>
      <c r="F1372" s="1">
        <v>0.0</v>
      </c>
    </row>
    <row r="1373" ht="12.75" customHeight="1">
      <c r="A1373" s="1">
        <v>0.0</v>
      </c>
      <c r="B1373" s="2" t="s">
        <v>2584</v>
      </c>
      <c r="C1373" s="1" t="s">
        <v>2585</v>
      </c>
      <c r="D1373" s="1" t="s">
        <v>936</v>
      </c>
      <c r="E1373" s="1">
        <v>1.0</v>
      </c>
      <c r="F1373" s="1">
        <v>0.0</v>
      </c>
    </row>
    <row r="1374" ht="12.75" customHeight="1">
      <c r="A1374" s="1">
        <v>0.0</v>
      </c>
      <c r="B1374" s="2" t="s">
        <v>2586</v>
      </c>
      <c r="C1374" s="1" t="s">
        <v>2587</v>
      </c>
      <c r="D1374" s="1" t="s">
        <v>936</v>
      </c>
      <c r="E1374" s="1">
        <v>1.0</v>
      </c>
      <c r="F1374" s="1">
        <v>0.0</v>
      </c>
    </row>
    <row r="1375" ht="12.75" customHeight="1">
      <c r="A1375" s="1">
        <v>0.0</v>
      </c>
      <c r="B1375" s="2" t="s">
        <v>2588</v>
      </c>
      <c r="C1375" s="1" t="s">
        <v>2063</v>
      </c>
      <c r="D1375" s="1" t="s">
        <v>936</v>
      </c>
      <c r="E1375" s="1">
        <v>1.0</v>
      </c>
      <c r="F1375" s="1">
        <v>0.0</v>
      </c>
    </row>
    <row r="1376" ht="12.75" customHeight="1">
      <c r="A1376" s="1">
        <v>0.0</v>
      </c>
      <c r="B1376" s="2" t="s">
        <v>2589</v>
      </c>
      <c r="C1376" s="1" t="s">
        <v>2590</v>
      </c>
      <c r="D1376" s="1" t="s">
        <v>936</v>
      </c>
      <c r="E1376" s="1">
        <v>1.0</v>
      </c>
      <c r="F1376" s="1">
        <v>0.0</v>
      </c>
    </row>
    <row r="1377" ht="12.75" customHeight="1">
      <c r="A1377" s="1">
        <v>0.0</v>
      </c>
      <c r="B1377" s="2" t="s">
        <v>2591</v>
      </c>
      <c r="C1377" s="1" t="s">
        <v>2592</v>
      </c>
      <c r="D1377" s="1" t="s">
        <v>936</v>
      </c>
      <c r="E1377" s="1">
        <v>1.0</v>
      </c>
      <c r="F1377" s="1">
        <v>0.0</v>
      </c>
    </row>
    <row r="1378" ht="12.75" customHeight="1">
      <c r="A1378" s="1">
        <v>0.0</v>
      </c>
      <c r="B1378" s="2" t="s">
        <v>2593</v>
      </c>
      <c r="C1378" s="1" t="s">
        <v>2594</v>
      </c>
      <c r="D1378" s="1" t="s">
        <v>936</v>
      </c>
      <c r="E1378" s="1">
        <v>1.0</v>
      </c>
      <c r="F1378" s="1">
        <v>0.0</v>
      </c>
    </row>
    <row r="1379" ht="12.75" customHeight="1">
      <c r="A1379" s="1">
        <v>0.0</v>
      </c>
      <c r="B1379" s="2" t="s">
        <v>2595</v>
      </c>
      <c r="C1379" s="1" t="s">
        <v>2596</v>
      </c>
      <c r="D1379" s="1" t="s">
        <v>2597</v>
      </c>
      <c r="E1379" s="1">
        <v>1.0</v>
      </c>
      <c r="F1379" s="1">
        <v>0.0</v>
      </c>
    </row>
    <row r="1380" ht="12.75" customHeight="1">
      <c r="A1380" s="1">
        <v>0.0</v>
      </c>
      <c r="B1380" s="2" t="s">
        <v>2598</v>
      </c>
      <c r="C1380" s="1" t="s">
        <v>892</v>
      </c>
      <c r="D1380" s="1" t="s">
        <v>2599</v>
      </c>
      <c r="E1380" s="1">
        <v>1.0</v>
      </c>
      <c r="F1380" s="1">
        <v>0.0</v>
      </c>
    </row>
    <row r="1381" ht="12.75" customHeight="1">
      <c r="A1381" s="1">
        <v>0.0</v>
      </c>
      <c r="B1381" s="2" t="s">
        <v>2600</v>
      </c>
      <c r="C1381" s="1" t="s">
        <v>2601</v>
      </c>
      <c r="D1381" s="1" t="s">
        <v>2602</v>
      </c>
      <c r="E1381" s="1">
        <v>1.0</v>
      </c>
      <c r="F1381" s="1">
        <v>0.0</v>
      </c>
    </row>
    <row r="1382" ht="12.75" customHeight="1">
      <c r="A1382" s="1">
        <v>0.0</v>
      </c>
      <c r="B1382" s="2" t="s">
        <v>2603</v>
      </c>
      <c r="C1382" s="1" t="s">
        <v>2604</v>
      </c>
      <c r="D1382" s="1" t="s">
        <v>2602</v>
      </c>
      <c r="E1382" s="1">
        <v>1.0</v>
      </c>
      <c r="F1382" s="1">
        <v>0.0</v>
      </c>
    </row>
    <row r="1383" ht="12.75" customHeight="1">
      <c r="A1383" s="1">
        <v>0.0</v>
      </c>
      <c r="B1383" s="2">
        <v>564761.0</v>
      </c>
      <c r="C1383" s="1" t="s">
        <v>2605</v>
      </c>
      <c r="D1383" s="1" t="s">
        <v>2606</v>
      </c>
      <c r="E1383" s="1">
        <v>1.0</v>
      </c>
      <c r="F1383" s="1">
        <v>0.0</v>
      </c>
    </row>
    <row r="1384" ht="12.75" customHeight="1">
      <c r="A1384" s="1">
        <v>0.0</v>
      </c>
      <c r="B1384" s="2" t="s">
        <v>2607</v>
      </c>
      <c r="C1384" s="1" t="s">
        <v>2608</v>
      </c>
      <c r="D1384" s="1" t="s">
        <v>2609</v>
      </c>
      <c r="E1384" s="1">
        <v>1.0</v>
      </c>
      <c r="F1384" s="1">
        <v>0.0</v>
      </c>
    </row>
    <row r="1385" ht="12.75" customHeight="1">
      <c r="A1385" s="1">
        <v>0.0</v>
      </c>
      <c r="B1385" s="2" t="s">
        <v>2610</v>
      </c>
      <c r="C1385" s="1" t="s">
        <v>2611</v>
      </c>
      <c r="D1385" s="1" t="s">
        <v>2612</v>
      </c>
      <c r="E1385" s="1">
        <v>1.0</v>
      </c>
      <c r="F1385" s="1">
        <v>0.0</v>
      </c>
    </row>
    <row r="1386" ht="12.75" customHeight="1">
      <c r="A1386" s="1">
        <v>0.0</v>
      </c>
      <c r="B1386" s="2" t="s">
        <v>2613</v>
      </c>
      <c r="C1386" s="1" t="s">
        <v>2614</v>
      </c>
      <c r="D1386" s="1" t="s">
        <v>2615</v>
      </c>
      <c r="E1386" s="1">
        <v>1.0</v>
      </c>
      <c r="F1386" s="1">
        <v>0.0</v>
      </c>
    </row>
    <row r="1387" ht="12.75" customHeight="1">
      <c r="A1387" s="1">
        <v>0.0</v>
      </c>
      <c r="B1387" s="2" t="s">
        <v>2616</v>
      </c>
      <c r="C1387" s="1" t="s">
        <v>2617</v>
      </c>
      <c r="D1387" s="1" t="s">
        <v>2618</v>
      </c>
      <c r="E1387" s="1">
        <v>1.0</v>
      </c>
      <c r="F1387" s="1">
        <v>0.0</v>
      </c>
    </row>
    <row r="1388" ht="12.75" customHeight="1">
      <c r="A1388" s="1">
        <v>0.0</v>
      </c>
      <c r="B1388" s="2" t="s">
        <v>2619</v>
      </c>
      <c r="C1388" s="1" t="s">
        <v>2063</v>
      </c>
      <c r="D1388" s="1" t="s">
        <v>2620</v>
      </c>
      <c r="E1388" s="1">
        <v>1.0</v>
      </c>
      <c r="F1388" s="1">
        <v>0.0</v>
      </c>
    </row>
    <row r="1389" ht="12.75" customHeight="1">
      <c r="A1389" s="1">
        <v>0.0</v>
      </c>
      <c r="B1389" s="2" t="s">
        <v>2621</v>
      </c>
      <c r="C1389" s="1" t="s">
        <v>2622</v>
      </c>
      <c r="D1389" s="1" t="s">
        <v>2623</v>
      </c>
      <c r="E1389" s="1">
        <v>1.0</v>
      </c>
      <c r="F1389" s="1">
        <v>0.0</v>
      </c>
    </row>
    <row r="1390" ht="12.75" customHeight="1">
      <c r="A1390" s="1">
        <v>0.0</v>
      </c>
      <c r="B1390" s="2">
        <v>564764.0</v>
      </c>
      <c r="C1390" s="1" t="s">
        <v>2624</v>
      </c>
      <c r="D1390" s="1" t="s">
        <v>2625</v>
      </c>
      <c r="E1390" s="1">
        <v>1.0</v>
      </c>
      <c r="F1390" s="1">
        <v>0.0</v>
      </c>
    </row>
    <row r="1391" ht="12.75" customHeight="1">
      <c r="A1391" s="1">
        <v>0.0</v>
      </c>
      <c r="B1391" s="2" t="s">
        <v>2626</v>
      </c>
      <c r="C1391" s="1" t="s">
        <v>984</v>
      </c>
      <c r="D1391" s="1" t="s">
        <v>985</v>
      </c>
      <c r="E1391" s="1">
        <v>1.0</v>
      </c>
      <c r="F1391" s="1">
        <v>0.0</v>
      </c>
    </row>
    <row r="1392" ht="12.75" customHeight="1">
      <c r="A1392" s="1">
        <v>0.0</v>
      </c>
      <c r="B1392" s="2" t="s">
        <v>2627</v>
      </c>
      <c r="C1392" s="1" t="s">
        <v>984</v>
      </c>
      <c r="D1392" s="1" t="s">
        <v>985</v>
      </c>
      <c r="E1392" s="1">
        <v>1.0</v>
      </c>
      <c r="F1392" s="1">
        <v>0.0</v>
      </c>
    </row>
    <row r="1393" ht="12.75" customHeight="1">
      <c r="A1393" s="1">
        <v>0.0</v>
      </c>
      <c r="B1393" s="2" t="s">
        <v>2628</v>
      </c>
      <c r="C1393" s="1" t="s">
        <v>984</v>
      </c>
      <c r="D1393" s="1" t="s">
        <v>985</v>
      </c>
      <c r="E1393" s="1">
        <v>1.0</v>
      </c>
      <c r="F1393" s="1">
        <v>0.0</v>
      </c>
    </row>
    <row r="1394" ht="12.75" customHeight="1">
      <c r="A1394" s="1">
        <v>0.0</v>
      </c>
      <c r="B1394" s="2" t="s">
        <v>2629</v>
      </c>
      <c r="C1394" s="1" t="s">
        <v>984</v>
      </c>
      <c r="D1394" s="1" t="s">
        <v>985</v>
      </c>
      <c r="E1394" s="1">
        <v>1.0</v>
      </c>
      <c r="F1394" s="1">
        <v>0.0</v>
      </c>
    </row>
    <row r="1395" ht="12.75" customHeight="1">
      <c r="A1395" s="1">
        <v>0.0</v>
      </c>
      <c r="B1395" s="2" t="s">
        <v>2630</v>
      </c>
      <c r="C1395" s="1" t="s">
        <v>984</v>
      </c>
      <c r="D1395" s="1" t="s">
        <v>985</v>
      </c>
      <c r="E1395" s="1">
        <v>1.0</v>
      </c>
      <c r="F1395" s="1">
        <v>0.0</v>
      </c>
    </row>
    <row r="1396" ht="12.75" customHeight="1">
      <c r="A1396" s="1">
        <v>0.0</v>
      </c>
      <c r="B1396" s="2" t="s">
        <v>2631</v>
      </c>
      <c r="C1396" s="1" t="s">
        <v>984</v>
      </c>
      <c r="D1396" s="1" t="s">
        <v>985</v>
      </c>
      <c r="E1396" s="1">
        <v>1.0</v>
      </c>
      <c r="F1396" s="1">
        <v>0.0</v>
      </c>
    </row>
    <row r="1397" ht="12.75" customHeight="1">
      <c r="A1397" s="1">
        <v>0.0</v>
      </c>
      <c r="B1397" s="2" t="s">
        <v>2632</v>
      </c>
      <c r="C1397" s="1" t="s">
        <v>984</v>
      </c>
      <c r="D1397" s="1" t="s">
        <v>985</v>
      </c>
      <c r="E1397" s="1">
        <v>1.0</v>
      </c>
      <c r="F1397" s="1">
        <v>0.0</v>
      </c>
    </row>
    <row r="1398" ht="12.75" customHeight="1">
      <c r="A1398" s="1">
        <v>0.0</v>
      </c>
      <c r="B1398" s="2" t="s">
        <v>2633</v>
      </c>
      <c r="C1398" s="1" t="s">
        <v>984</v>
      </c>
      <c r="D1398" s="1" t="s">
        <v>985</v>
      </c>
      <c r="E1398" s="1">
        <v>1.0</v>
      </c>
      <c r="F1398" s="1">
        <v>0.0</v>
      </c>
    </row>
    <row r="1399" ht="12.75" customHeight="1">
      <c r="A1399" s="1">
        <v>0.0</v>
      </c>
      <c r="B1399" s="2" t="s">
        <v>2634</v>
      </c>
      <c r="C1399" s="1" t="s">
        <v>757</v>
      </c>
      <c r="D1399" s="1" t="s">
        <v>985</v>
      </c>
      <c r="E1399" s="1">
        <v>1.0</v>
      </c>
      <c r="F1399" s="1">
        <v>0.0</v>
      </c>
    </row>
    <row r="1400" ht="12.75" customHeight="1">
      <c r="A1400" s="1">
        <v>0.0</v>
      </c>
      <c r="B1400" s="2" t="s">
        <v>2635</v>
      </c>
      <c r="C1400" s="1" t="s">
        <v>2636</v>
      </c>
      <c r="D1400" s="1" t="s">
        <v>985</v>
      </c>
      <c r="E1400" s="1">
        <v>1.0</v>
      </c>
      <c r="F1400" s="1">
        <v>0.0</v>
      </c>
    </row>
    <row r="1401" ht="12.75" customHeight="1">
      <c r="A1401" s="1">
        <v>0.0</v>
      </c>
      <c r="B1401" s="2" t="s">
        <v>2637</v>
      </c>
      <c r="C1401" s="1" t="s">
        <v>984</v>
      </c>
      <c r="D1401" s="1" t="s">
        <v>2638</v>
      </c>
      <c r="E1401" s="1">
        <v>1.0</v>
      </c>
      <c r="F1401" s="1">
        <v>0.0</v>
      </c>
    </row>
    <row r="1402" ht="12.75" customHeight="1">
      <c r="A1402" s="1">
        <v>0.0</v>
      </c>
      <c r="B1402" s="2">
        <v>4490113.0</v>
      </c>
      <c r="C1402" s="1" t="s">
        <v>109</v>
      </c>
      <c r="D1402" s="1" t="s">
        <v>2639</v>
      </c>
      <c r="E1402" s="1">
        <v>1.0</v>
      </c>
      <c r="F1402" s="1">
        <v>0.0</v>
      </c>
    </row>
    <row r="1403" ht="12.75" customHeight="1">
      <c r="A1403" s="1">
        <v>0.0</v>
      </c>
      <c r="B1403" s="2" t="s">
        <v>2640</v>
      </c>
      <c r="C1403" s="1" t="s">
        <v>2641</v>
      </c>
      <c r="D1403" s="1" t="s">
        <v>2642</v>
      </c>
      <c r="E1403" s="1">
        <v>1.0</v>
      </c>
      <c r="F1403" s="1">
        <v>0.0</v>
      </c>
    </row>
    <row r="1404" ht="12.75" customHeight="1">
      <c r="A1404" s="1">
        <v>0.0</v>
      </c>
      <c r="B1404" s="2">
        <v>6820102.0</v>
      </c>
      <c r="C1404" s="1" t="s">
        <v>2643</v>
      </c>
      <c r="D1404" s="1" t="s">
        <v>995</v>
      </c>
      <c r="E1404" s="1">
        <v>1.0</v>
      </c>
      <c r="F1404" s="1">
        <v>0.0</v>
      </c>
    </row>
    <row r="1405" ht="12.75" customHeight="1">
      <c r="A1405" s="1">
        <v>0.0</v>
      </c>
      <c r="B1405" s="2" t="s">
        <v>2644</v>
      </c>
      <c r="C1405" s="1" t="s">
        <v>2645</v>
      </c>
      <c r="D1405" s="1" t="s">
        <v>2646</v>
      </c>
      <c r="E1405" s="1">
        <v>1.0</v>
      </c>
      <c r="F1405" s="1">
        <v>0.0</v>
      </c>
    </row>
    <row r="1406" ht="12.75" customHeight="1">
      <c r="A1406" s="1">
        <v>0.0</v>
      </c>
      <c r="B1406" s="2" t="s">
        <v>2647</v>
      </c>
      <c r="C1406" s="1" t="s">
        <v>2648</v>
      </c>
      <c r="D1406" s="1" t="s">
        <v>2649</v>
      </c>
      <c r="E1406" s="1">
        <v>1.0</v>
      </c>
      <c r="F1406" s="1">
        <v>0.0</v>
      </c>
    </row>
    <row r="1407" ht="12.75" customHeight="1">
      <c r="A1407" s="1">
        <v>0.0</v>
      </c>
      <c r="B1407" s="2" t="s">
        <v>2650</v>
      </c>
      <c r="C1407" s="1" t="s">
        <v>2651</v>
      </c>
      <c r="D1407" s="1" t="s">
        <v>2652</v>
      </c>
      <c r="E1407" s="1">
        <v>1.0</v>
      </c>
      <c r="F1407" s="1">
        <v>0.0</v>
      </c>
    </row>
    <row r="1408" ht="12.75" customHeight="1">
      <c r="A1408" s="1">
        <v>0.0</v>
      </c>
      <c r="B1408" s="2" t="s">
        <v>2653</v>
      </c>
      <c r="C1408" s="1" t="s">
        <v>2654</v>
      </c>
      <c r="D1408" s="1" t="s">
        <v>2655</v>
      </c>
      <c r="E1408" s="1">
        <v>1.0</v>
      </c>
      <c r="F1408" s="1">
        <v>0.0</v>
      </c>
    </row>
    <row r="1409" ht="12.75" customHeight="1">
      <c r="A1409" s="1">
        <v>0.0</v>
      </c>
      <c r="B1409" s="2">
        <v>8821639.0</v>
      </c>
      <c r="C1409" s="1" t="s">
        <v>173</v>
      </c>
      <c r="D1409" s="1" t="s">
        <v>2656</v>
      </c>
      <c r="E1409" s="1">
        <v>1.0</v>
      </c>
      <c r="F1409" s="1">
        <v>0.0</v>
      </c>
    </row>
    <row r="1410" ht="12.75" customHeight="1">
      <c r="A1410" s="1">
        <v>0.0</v>
      </c>
      <c r="B1410" s="2">
        <v>8822010.0</v>
      </c>
      <c r="C1410" s="1" t="s">
        <v>2657</v>
      </c>
      <c r="D1410" s="1" t="s">
        <v>2658</v>
      </c>
      <c r="E1410" s="1">
        <v>1.0</v>
      </c>
      <c r="F1410" s="1">
        <v>0.0</v>
      </c>
    </row>
    <row r="1411" ht="12.75" customHeight="1">
      <c r="A1411" s="1">
        <v>0.0</v>
      </c>
      <c r="B1411" s="2" t="s">
        <v>2659</v>
      </c>
      <c r="C1411" s="1" t="s">
        <v>2660</v>
      </c>
      <c r="D1411" s="1" t="s">
        <v>2661</v>
      </c>
      <c r="E1411" s="1">
        <v>1.0</v>
      </c>
      <c r="F1411" s="1">
        <v>0.0</v>
      </c>
    </row>
    <row r="1412" ht="12.75" customHeight="1">
      <c r="A1412" s="1">
        <v>0.0</v>
      </c>
      <c r="B1412" s="2">
        <v>3802010.0</v>
      </c>
      <c r="C1412" s="1" t="s">
        <v>25</v>
      </c>
      <c r="D1412" s="1" t="s">
        <v>1532</v>
      </c>
      <c r="E1412" s="1">
        <v>1.0</v>
      </c>
      <c r="F1412" s="1">
        <v>0.0</v>
      </c>
    </row>
    <row r="1413" ht="12.75" customHeight="1">
      <c r="A1413" s="1">
        <v>0.0</v>
      </c>
      <c r="B1413" s="2" t="s">
        <v>2662</v>
      </c>
      <c r="C1413" s="1" t="s">
        <v>2663</v>
      </c>
      <c r="D1413" s="1" t="s">
        <v>2664</v>
      </c>
      <c r="E1413" s="1">
        <v>1.0</v>
      </c>
      <c r="F1413" s="1">
        <v>0.0</v>
      </c>
    </row>
    <row r="1414" ht="12.75" customHeight="1">
      <c r="A1414" s="1">
        <v>0.0</v>
      </c>
      <c r="B1414" s="2" t="s">
        <v>2665</v>
      </c>
      <c r="C1414" s="1" t="s">
        <v>2666</v>
      </c>
      <c r="D1414" s="1" t="s">
        <v>2667</v>
      </c>
      <c r="E1414" s="1">
        <v>1.0</v>
      </c>
      <c r="F1414" s="1">
        <v>0.0</v>
      </c>
    </row>
    <row r="1415" ht="12.75" customHeight="1">
      <c r="A1415" s="1">
        <v>0.0</v>
      </c>
      <c r="B1415" s="2" t="s">
        <v>2668</v>
      </c>
      <c r="C1415" s="1" t="s">
        <v>2669</v>
      </c>
      <c r="D1415" s="1" t="s">
        <v>2670</v>
      </c>
      <c r="E1415" s="1">
        <v>1.0</v>
      </c>
      <c r="F1415" s="1">
        <v>0.0</v>
      </c>
    </row>
    <row r="1416" ht="12.75" customHeight="1">
      <c r="A1416" s="1">
        <v>0.0</v>
      </c>
      <c r="B1416" s="2" t="s">
        <v>2671</v>
      </c>
      <c r="C1416" s="1" t="s">
        <v>2672</v>
      </c>
      <c r="D1416" s="1" t="s">
        <v>2673</v>
      </c>
      <c r="E1416" s="1">
        <v>1.0</v>
      </c>
      <c r="F1416" s="1">
        <v>0.0</v>
      </c>
    </row>
    <row r="1417" ht="12.75" customHeight="1">
      <c r="A1417" s="1">
        <v>0.0</v>
      </c>
      <c r="B1417" s="2" t="s">
        <v>2674</v>
      </c>
      <c r="C1417" s="1" t="s">
        <v>2675</v>
      </c>
      <c r="D1417" s="1" t="s">
        <v>2676</v>
      </c>
      <c r="E1417" s="1">
        <v>1.0</v>
      </c>
      <c r="F1417" s="1">
        <v>0.0</v>
      </c>
    </row>
    <row r="1418" ht="12.75" customHeight="1">
      <c r="A1418" s="1">
        <v>0.0</v>
      </c>
      <c r="B1418" s="2">
        <v>567603.0</v>
      </c>
      <c r="C1418" s="1" t="s">
        <v>2677</v>
      </c>
      <c r="D1418" s="1" t="s">
        <v>2678</v>
      </c>
      <c r="E1418" s="1">
        <v>1.0</v>
      </c>
      <c r="F1418" s="1">
        <v>0.0</v>
      </c>
    </row>
    <row r="1419" ht="12.75" customHeight="1">
      <c r="A1419" s="1">
        <v>0.0</v>
      </c>
      <c r="B1419" s="2" t="s">
        <v>2679</v>
      </c>
      <c r="C1419" s="1" t="s">
        <v>2680</v>
      </c>
      <c r="D1419" s="1" t="s">
        <v>2681</v>
      </c>
      <c r="E1419" s="1">
        <v>1.0</v>
      </c>
      <c r="F1419" s="1">
        <v>0.0</v>
      </c>
    </row>
    <row r="1420" ht="12.75" customHeight="1">
      <c r="A1420" s="1">
        <v>0.0</v>
      </c>
      <c r="B1420" s="2" t="s">
        <v>2682</v>
      </c>
      <c r="C1420" s="1" t="s">
        <v>352</v>
      </c>
      <c r="D1420" s="1" t="s">
        <v>2683</v>
      </c>
      <c r="E1420" s="1">
        <v>1.0</v>
      </c>
      <c r="F1420" s="1">
        <v>0.0</v>
      </c>
    </row>
    <row r="1421" ht="12.75" customHeight="1">
      <c r="A1421" s="1">
        <v>0.0</v>
      </c>
      <c r="B1421" s="2" t="s">
        <v>2684</v>
      </c>
      <c r="C1421" s="1" t="s">
        <v>143</v>
      </c>
      <c r="D1421" s="1" t="s">
        <v>2685</v>
      </c>
      <c r="E1421" s="1">
        <v>1.0</v>
      </c>
      <c r="F1421" s="1">
        <v>0.0</v>
      </c>
    </row>
    <row r="1422" ht="12.75" customHeight="1">
      <c r="A1422" s="1">
        <v>0.0</v>
      </c>
      <c r="B1422" s="2" t="s">
        <v>2686</v>
      </c>
      <c r="C1422" s="1" t="s">
        <v>2687</v>
      </c>
      <c r="D1422" s="1" t="s">
        <v>2688</v>
      </c>
      <c r="E1422" s="1">
        <v>1.0</v>
      </c>
      <c r="F1422" s="1">
        <v>0.0</v>
      </c>
    </row>
    <row r="1423" ht="12.75" customHeight="1">
      <c r="A1423" s="1">
        <v>0.0</v>
      </c>
      <c r="B1423" s="2">
        <v>3801569.0</v>
      </c>
      <c r="C1423" s="1" t="s">
        <v>21</v>
      </c>
      <c r="D1423" s="1" t="s">
        <v>2689</v>
      </c>
      <c r="E1423" s="1">
        <v>1.0</v>
      </c>
      <c r="F1423" s="1">
        <v>0.0</v>
      </c>
    </row>
    <row r="1424" ht="12.75" customHeight="1">
      <c r="A1424" s="1">
        <v>0.0</v>
      </c>
      <c r="B1424" s="2">
        <v>3801547.0</v>
      </c>
      <c r="C1424" s="1" t="s">
        <v>47</v>
      </c>
      <c r="D1424" s="1" t="s">
        <v>146</v>
      </c>
      <c r="E1424" s="1">
        <v>1.0</v>
      </c>
      <c r="F1424" s="1">
        <v>0.0</v>
      </c>
    </row>
    <row r="1425" ht="12.75" customHeight="1">
      <c r="A1425" s="1">
        <v>0.0</v>
      </c>
      <c r="B1425" s="2" t="s">
        <v>2690</v>
      </c>
      <c r="C1425" s="1" t="s">
        <v>1018</v>
      </c>
      <c r="D1425" s="1" t="s">
        <v>2691</v>
      </c>
      <c r="E1425" s="1">
        <v>1.0</v>
      </c>
      <c r="F1425" s="1">
        <v>0.0</v>
      </c>
    </row>
    <row r="1426" ht="12.75" customHeight="1">
      <c r="A1426" s="1">
        <v>0.0</v>
      </c>
      <c r="B1426" s="2" t="s">
        <v>2692</v>
      </c>
      <c r="C1426" s="1" t="s">
        <v>2693</v>
      </c>
      <c r="D1426" s="1" t="s">
        <v>2694</v>
      </c>
      <c r="E1426" s="1">
        <v>1.0</v>
      </c>
      <c r="F1426" s="1">
        <v>0.0</v>
      </c>
    </row>
    <row r="1427" ht="12.75" customHeight="1">
      <c r="A1427" s="1">
        <v>0.0</v>
      </c>
      <c r="B1427" s="2" t="s">
        <v>2695</v>
      </c>
      <c r="C1427" s="1" t="s">
        <v>2696</v>
      </c>
      <c r="D1427" s="1" t="s">
        <v>2697</v>
      </c>
      <c r="E1427" s="1">
        <v>1.0</v>
      </c>
      <c r="F1427" s="1">
        <v>0.0</v>
      </c>
    </row>
    <row r="1428" ht="12.75" customHeight="1">
      <c r="A1428" s="1">
        <v>0.0</v>
      </c>
      <c r="B1428" s="2" t="s">
        <v>2698</v>
      </c>
      <c r="C1428" s="1" t="s">
        <v>2699</v>
      </c>
      <c r="D1428" s="1" t="s">
        <v>2700</v>
      </c>
      <c r="E1428" s="1">
        <v>1.0</v>
      </c>
      <c r="F1428" s="1">
        <v>0.0</v>
      </c>
    </row>
    <row r="1429" ht="12.75" customHeight="1">
      <c r="A1429" s="1">
        <v>0.0</v>
      </c>
      <c r="B1429" s="2" t="s">
        <v>2701</v>
      </c>
      <c r="C1429" s="1" t="s">
        <v>21</v>
      </c>
      <c r="D1429" s="1" t="s">
        <v>2702</v>
      </c>
      <c r="E1429" s="1">
        <v>1.0</v>
      </c>
      <c r="F1429" s="1">
        <v>0.0</v>
      </c>
    </row>
    <row r="1430" ht="12.75" customHeight="1">
      <c r="A1430" s="1">
        <v>0.0</v>
      </c>
      <c r="B1430" s="2">
        <v>3801536.0</v>
      </c>
      <c r="C1430" s="1" t="s">
        <v>21</v>
      </c>
      <c r="D1430" s="1" t="s">
        <v>2703</v>
      </c>
      <c r="E1430" s="1">
        <v>1.0</v>
      </c>
      <c r="F1430" s="1">
        <v>0.0</v>
      </c>
    </row>
    <row r="1431" ht="12.75" customHeight="1">
      <c r="A1431" s="1">
        <v>0.0</v>
      </c>
      <c r="B1431" s="2">
        <v>561054.0</v>
      </c>
      <c r="C1431" s="1" t="s">
        <v>2704</v>
      </c>
      <c r="D1431" s="1" t="s">
        <v>2705</v>
      </c>
      <c r="E1431" s="1">
        <v>1.0</v>
      </c>
      <c r="F1431" s="1">
        <v>0.0</v>
      </c>
    </row>
    <row r="1432" ht="12.75" customHeight="1">
      <c r="A1432" s="1">
        <v>0.0</v>
      </c>
      <c r="B1432" s="2">
        <v>3801533.0</v>
      </c>
      <c r="C1432" s="1" t="s">
        <v>21</v>
      </c>
      <c r="D1432" s="1" t="s">
        <v>2706</v>
      </c>
      <c r="E1432" s="1">
        <v>1.0</v>
      </c>
      <c r="F1432" s="1">
        <v>0.0</v>
      </c>
    </row>
    <row r="1433" ht="12.75" customHeight="1">
      <c r="A1433" s="1">
        <v>0.0</v>
      </c>
      <c r="B1433" s="2">
        <v>3801516.0</v>
      </c>
      <c r="C1433" s="1" t="s">
        <v>21</v>
      </c>
      <c r="D1433" s="1" t="s">
        <v>2707</v>
      </c>
      <c r="E1433" s="1">
        <v>1.0</v>
      </c>
      <c r="F1433" s="1">
        <v>0.0</v>
      </c>
    </row>
    <row r="1434" ht="12.75" customHeight="1">
      <c r="A1434" s="1">
        <v>0.0</v>
      </c>
      <c r="B1434" s="2">
        <v>3801519.0</v>
      </c>
      <c r="C1434" s="1" t="s">
        <v>21</v>
      </c>
      <c r="D1434" s="1" t="s">
        <v>2708</v>
      </c>
      <c r="E1434" s="1">
        <v>1.0</v>
      </c>
      <c r="F1434" s="1">
        <v>0.0</v>
      </c>
    </row>
    <row r="1435" ht="12.75" customHeight="1">
      <c r="A1435" s="1">
        <v>0.0</v>
      </c>
      <c r="B1435" s="2" t="s">
        <v>2709</v>
      </c>
      <c r="C1435" s="1" t="s">
        <v>2710</v>
      </c>
      <c r="D1435" s="1" t="s">
        <v>2711</v>
      </c>
      <c r="E1435" s="1">
        <v>1.0</v>
      </c>
      <c r="F1435" s="1">
        <v>0.0</v>
      </c>
    </row>
    <row r="1436" ht="12.75" customHeight="1">
      <c r="A1436" s="1">
        <v>0.0</v>
      </c>
      <c r="B1436" s="2" t="s">
        <v>2712</v>
      </c>
      <c r="C1436" s="1" t="s">
        <v>2713</v>
      </c>
      <c r="D1436" s="1" t="s">
        <v>2714</v>
      </c>
      <c r="E1436" s="1">
        <v>1.0</v>
      </c>
      <c r="F1436" s="1">
        <v>0.0</v>
      </c>
    </row>
    <row r="1437" ht="12.75" customHeight="1">
      <c r="A1437" s="1">
        <v>0.0</v>
      </c>
      <c r="B1437" s="2" t="s">
        <v>2715</v>
      </c>
      <c r="C1437" s="1" t="s">
        <v>2716</v>
      </c>
      <c r="D1437" s="1" t="s">
        <v>2717</v>
      </c>
      <c r="E1437" s="1">
        <v>1.0</v>
      </c>
      <c r="F1437" s="1">
        <v>0.0</v>
      </c>
    </row>
    <row r="1438" ht="12.75" customHeight="1">
      <c r="A1438" s="1">
        <v>0.0</v>
      </c>
      <c r="B1438" s="2" t="s">
        <v>2718</v>
      </c>
      <c r="C1438" s="1" t="s">
        <v>2719</v>
      </c>
      <c r="D1438" s="1" t="s">
        <v>2720</v>
      </c>
      <c r="E1438" s="1">
        <v>1.0</v>
      </c>
      <c r="F1438" s="1">
        <v>0.0</v>
      </c>
    </row>
    <row r="1439" ht="12.75" customHeight="1">
      <c r="A1439" s="1">
        <v>0.0</v>
      </c>
      <c r="B1439" s="2">
        <v>4950102.0</v>
      </c>
      <c r="C1439" s="1" t="s">
        <v>2721</v>
      </c>
      <c r="D1439" s="1" t="s">
        <v>2722</v>
      </c>
      <c r="E1439" s="1">
        <v>1.0</v>
      </c>
      <c r="F1439" s="1">
        <v>0.0</v>
      </c>
    </row>
    <row r="1440" ht="12.75" customHeight="1">
      <c r="A1440" s="1">
        <v>0.0</v>
      </c>
      <c r="B1440" s="2" t="s">
        <v>2723</v>
      </c>
      <c r="C1440" s="1" t="s">
        <v>2724</v>
      </c>
      <c r="D1440" s="1" t="s">
        <v>2725</v>
      </c>
      <c r="E1440" s="1">
        <v>1.0</v>
      </c>
      <c r="F1440" s="1">
        <v>0.0</v>
      </c>
    </row>
    <row r="1441" ht="12.75" customHeight="1">
      <c r="A1441" s="1">
        <v>0.0</v>
      </c>
      <c r="B1441" s="2" t="s">
        <v>2726</v>
      </c>
      <c r="C1441" s="1" t="s">
        <v>2727</v>
      </c>
      <c r="D1441" s="1" t="s">
        <v>2728</v>
      </c>
      <c r="E1441" s="1">
        <v>1.0</v>
      </c>
      <c r="F1441" s="1">
        <v>0.0</v>
      </c>
    </row>
    <row r="1442" ht="12.75" customHeight="1">
      <c r="A1442" s="1">
        <v>0.0</v>
      </c>
      <c r="B1442" s="2">
        <v>3801526.0</v>
      </c>
      <c r="C1442" s="1" t="s">
        <v>47</v>
      </c>
      <c r="D1442" s="1" t="s">
        <v>2729</v>
      </c>
      <c r="E1442" s="1">
        <v>1.0</v>
      </c>
      <c r="F1442" s="1">
        <v>0.0</v>
      </c>
    </row>
    <row r="1443" ht="12.75" customHeight="1">
      <c r="A1443" s="1">
        <v>0.0</v>
      </c>
      <c r="B1443" s="2" t="s">
        <v>2730</v>
      </c>
      <c r="C1443" s="1" t="s">
        <v>2731</v>
      </c>
      <c r="D1443" s="1" t="s">
        <v>2732</v>
      </c>
      <c r="E1443" s="1">
        <v>1.0</v>
      </c>
      <c r="F1443" s="1">
        <v>0.0</v>
      </c>
    </row>
    <row r="1444" ht="12.75" customHeight="1">
      <c r="A1444" s="1">
        <v>0.0</v>
      </c>
      <c r="B1444" s="2" t="s">
        <v>2733</v>
      </c>
      <c r="C1444" s="1" t="s">
        <v>2734</v>
      </c>
      <c r="D1444" s="1" t="s">
        <v>2735</v>
      </c>
      <c r="E1444" s="1">
        <v>1.0</v>
      </c>
      <c r="F1444" s="1">
        <v>0.0</v>
      </c>
    </row>
    <row r="1445" ht="12.75" customHeight="1">
      <c r="A1445" s="1">
        <v>0.0</v>
      </c>
      <c r="B1445" s="2" t="s">
        <v>2736</v>
      </c>
      <c r="C1445" s="1" t="s">
        <v>2737</v>
      </c>
      <c r="D1445" s="1" t="s">
        <v>2738</v>
      </c>
      <c r="E1445" s="1">
        <v>1.0</v>
      </c>
      <c r="F1445" s="1">
        <v>0.0</v>
      </c>
    </row>
    <row r="1446" ht="12.75" customHeight="1">
      <c r="A1446" s="1">
        <v>0.0</v>
      </c>
      <c r="B1446" s="2">
        <v>1360315.0</v>
      </c>
      <c r="C1446" s="1" t="s">
        <v>2739</v>
      </c>
      <c r="D1446" s="1" t="s">
        <v>354</v>
      </c>
      <c r="E1446" s="1">
        <v>1.0</v>
      </c>
      <c r="F1446" s="1">
        <v>0.0</v>
      </c>
    </row>
    <row r="1447" ht="12.75" customHeight="1">
      <c r="A1447" s="1">
        <v>0.0</v>
      </c>
      <c r="B1447" s="2">
        <v>8059001.0</v>
      </c>
      <c r="C1447" s="1" t="s">
        <v>6</v>
      </c>
      <c r="D1447" s="1" t="s">
        <v>2740</v>
      </c>
      <c r="E1447" s="1">
        <v>1.0</v>
      </c>
      <c r="F1447" s="1">
        <v>0.0</v>
      </c>
    </row>
    <row r="1448" ht="12.75" customHeight="1">
      <c r="A1448" s="1">
        <v>0.0</v>
      </c>
      <c r="B1448" s="2" t="s">
        <v>2741</v>
      </c>
      <c r="C1448" s="1" t="s">
        <v>2742</v>
      </c>
      <c r="D1448" s="1" t="s">
        <v>2743</v>
      </c>
      <c r="E1448" s="1">
        <v>1.0</v>
      </c>
      <c r="F1448" s="1">
        <v>0.0</v>
      </c>
    </row>
    <row r="1449" ht="12.75" customHeight="1">
      <c r="A1449" s="1">
        <v>0.0</v>
      </c>
      <c r="B1449" s="2" t="s">
        <v>2744</v>
      </c>
      <c r="C1449" s="1" t="s">
        <v>2745</v>
      </c>
      <c r="D1449" s="1" t="s">
        <v>1044</v>
      </c>
      <c r="E1449" s="1">
        <v>1.0</v>
      </c>
      <c r="F1449" s="1">
        <v>0.0</v>
      </c>
    </row>
    <row r="1450" ht="12.75" customHeight="1">
      <c r="A1450" s="1">
        <v>0.0</v>
      </c>
      <c r="B1450" s="2" t="s">
        <v>2746</v>
      </c>
      <c r="C1450" s="1" t="s">
        <v>2747</v>
      </c>
      <c r="D1450" s="1" t="s">
        <v>1044</v>
      </c>
      <c r="E1450" s="1">
        <v>1.0</v>
      </c>
      <c r="F1450" s="1">
        <v>0.0</v>
      </c>
    </row>
    <row r="1451" ht="12.75" customHeight="1">
      <c r="A1451" s="1">
        <v>0.0</v>
      </c>
      <c r="B1451" s="2" t="s">
        <v>2748</v>
      </c>
      <c r="C1451" s="1" t="s">
        <v>2749</v>
      </c>
      <c r="D1451" s="1" t="s">
        <v>2750</v>
      </c>
      <c r="E1451" s="1">
        <v>1.0</v>
      </c>
      <c r="F1451" s="1">
        <v>0.0</v>
      </c>
    </row>
    <row r="1452" ht="12.75" customHeight="1">
      <c r="A1452" s="1">
        <v>0.0</v>
      </c>
      <c r="B1452" s="2" t="s">
        <v>2751</v>
      </c>
      <c r="C1452" s="1" t="s">
        <v>1059</v>
      </c>
      <c r="D1452" s="1" t="s">
        <v>1060</v>
      </c>
      <c r="E1452" s="1">
        <v>1.0</v>
      </c>
      <c r="F1452" s="1">
        <v>0.0</v>
      </c>
    </row>
    <row r="1453" ht="12.75" customHeight="1">
      <c r="A1453" s="1">
        <v>0.0</v>
      </c>
      <c r="B1453" s="2" t="s">
        <v>2752</v>
      </c>
      <c r="C1453" s="1" t="s">
        <v>2753</v>
      </c>
      <c r="D1453" s="1" t="s">
        <v>2754</v>
      </c>
      <c r="E1453" s="1">
        <v>1.0</v>
      </c>
      <c r="F1453" s="1">
        <v>0.0</v>
      </c>
    </row>
    <row r="1454" ht="12.75" customHeight="1">
      <c r="A1454" s="1">
        <v>0.0</v>
      </c>
      <c r="B1454" s="2" t="s">
        <v>2755</v>
      </c>
      <c r="C1454" s="1" t="s">
        <v>2756</v>
      </c>
      <c r="D1454" s="1" t="s">
        <v>2757</v>
      </c>
      <c r="E1454" s="1">
        <v>1.0</v>
      </c>
      <c r="F1454" s="1">
        <v>0.0</v>
      </c>
    </row>
    <row r="1455" ht="12.75" customHeight="1">
      <c r="A1455" s="1">
        <v>0.0</v>
      </c>
      <c r="B1455" s="2" t="s">
        <v>2758</v>
      </c>
      <c r="C1455" s="1" t="s">
        <v>921</v>
      </c>
      <c r="D1455" s="1" t="s">
        <v>168</v>
      </c>
      <c r="E1455" s="1">
        <v>1.0</v>
      </c>
      <c r="F1455" s="1">
        <v>0.0</v>
      </c>
    </row>
    <row r="1456" ht="12.75" customHeight="1">
      <c r="A1456" s="1">
        <v>0.0</v>
      </c>
      <c r="B1456" s="2">
        <v>5090208.0</v>
      </c>
      <c r="C1456" s="1" t="s">
        <v>2759</v>
      </c>
      <c r="D1456" s="1" t="s">
        <v>2760</v>
      </c>
      <c r="E1456" s="1">
        <v>1.0</v>
      </c>
      <c r="F1456" s="1">
        <v>0.0</v>
      </c>
    </row>
    <row r="1457" ht="12.75" customHeight="1">
      <c r="A1457" s="1">
        <v>0.0</v>
      </c>
      <c r="B1457" s="2" t="s">
        <v>2761</v>
      </c>
      <c r="C1457" s="1" t="s">
        <v>2762</v>
      </c>
      <c r="D1457" s="1" t="s">
        <v>2763</v>
      </c>
      <c r="E1457" s="1">
        <v>1.0</v>
      </c>
      <c r="F1457" s="1">
        <v>0.0</v>
      </c>
    </row>
    <row r="1458" ht="12.75" customHeight="1">
      <c r="A1458" s="1">
        <v>0.0</v>
      </c>
      <c r="B1458" s="2">
        <v>7300106.0</v>
      </c>
      <c r="C1458" s="1" t="s">
        <v>364</v>
      </c>
      <c r="D1458" s="1" t="s">
        <v>2764</v>
      </c>
      <c r="E1458" s="1">
        <v>1.0</v>
      </c>
      <c r="F1458" s="1">
        <v>0.0</v>
      </c>
    </row>
    <row r="1459" ht="12.75" customHeight="1">
      <c r="A1459" s="1">
        <v>0.0</v>
      </c>
      <c r="B1459" s="2" t="s">
        <v>2765</v>
      </c>
      <c r="C1459" s="1" t="s">
        <v>2766</v>
      </c>
      <c r="D1459" s="1" t="s">
        <v>2767</v>
      </c>
      <c r="E1459" s="1">
        <v>1.0</v>
      </c>
      <c r="F1459" s="1">
        <v>0.0</v>
      </c>
    </row>
    <row r="1460" ht="12.75" customHeight="1">
      <c r="A1460" s="1">
        <v>0.0</v>
      </c>
      <c r="B1460" s="2">
        <v>562884.0</v>
      </c>
      <c r="C1460" s="1" t="s">
        <v>1062</v>
      </c>
      <c r="D1460" s="1" t="s">
        <v>1063</v>
      </c>
      <c r="E1460" s="1">
        <v>1.0</v>
      </c>
      <c r="F1460" s="1">
        <v>0.0</v>
      </c>
    </row>
    <row r="1461" ht="12.75" customHeight="1">
      <c r="A1461" s="1">
        <v>0.0</v>
      </c>
      <c r="B1461" s="2" t="s">
        <v>2768</v>
      </c>
      <c r="C1461" s="1" t="s">
        <v>2769</v>
      </c>
      <c r="D1461" s="1" t="s">
        <v>2770</v>
      </c>
      <c r="E1461" s="1">
        <v>1.0</v>
      </c>
      <c r="F1461" s="1">
        <v>0.0</v>
      </c>
    </row>
    <row r="1462" ht="12.75" customHeight="1">
      <c r="A1462" s="1">
        <v>0.0</v>
      </c>
      <c r="B1462" s="2">
        <v>5100204.0</v>
      </c>
      <c r="C1462" s="1" t="s">
        <v>2771</v>
      </c>
      <c r="D1462" s="1" t="s">
        <v>1064</v>
      </c>
      <c r="E1462" s="1">
        <v>1.0</v>
      </c>
      <c r="F1462" s="1">
        <v>0.0</v>
      </c>
    </row>
    <row r="1463" ht="12.75" customHeight="1">
      <c r="A1463" s="1">
        <v>0.0</v>
      </c>
      <c r="B1463" s="2">
        <v>5100206.0</v>
      </c>
      <c r="C1463" s="1" t="s">
        <v>2771</v>
      </c>
      <c r="D1463" s="1" t="s">
        <v>318</v>
      </c>
      <c r="E1463" s="1">
        <v>1.0</v>
      </c>
      <c r="F1463" s="1">
        <v>0.0</v>
      </c>
    </row>
    <row r="1464" ht="12.75" customHeight="1">
      <c r="A1464" s="1">
        <v>0.0</v>
      </c>
      <c r="B1464" s="2" t="s">
        <v>2772</v>
      </c>
      <c r="C1464" s="1" t="s">
        <v>2773</v>
      </c>
      <c r="D1464" s="1" t="s">
        <v>318</v>
      </c>
      <c r="E1464" s="1">
        <v>1.0</v>
      </c>
      <c r="F1464" s="1">
        <v>0.0</v>
      </c>
    </row>
    <row r="1465" ht="12.75" customHeight="1">
      <c r="A1465" s="1">
        <v>0.0</v>
      </c>
      <c r="B1465" s="2" t="s">
        <v>2774</v>
      </c>
      <c r="C1465" s="1" t="s">
        <v>2775</v>
      </c>
      <c r="D1465" s="1" t="s">
        <v>318</v>
      </c>
      <c r="E1465" s="1">
        <v>1.0</v>
      </c>
      <c r="F1465" s="1">
        <v>0.0</v>
      </c>
    </row>
    <row r="1466" ht="12.75" customHeight="1">
      <c r="A1466" s="1">
        <v>0.0</v>
      </c>
      <c r="B1466" s="2" t="s">
        <v>2776</v>
      </c>
      <c r="C1466" s="1" t="s">
        <v>2777</v>
      </c>
      <c r="D1466" s="1" t="s">
        <v>318</v>
      </c>
      <c r="E1466" s="1">
        <v>1.0</v>
      </c>
      <c r="F1466" s="1">
        <v>0.0</v>
      </c>
    </row>
    <row r="1467" ht="12.75" customHeight="1">
      <c r="A1467" s="1">
        <v>0.0</v>
      </c>
      <c r="B1467" s="2" t="s">
        <v>2778</v>
      </c>
      <c r="C1467" s="1" t="s">
        <v>2779</v>
      </c>
      <c r="D1467" s="1" t="s">
        <v>318</v>
      </c>
      <c r="E1467" s="1">
        <v>1.0</v>
      </c>
      <c r="F1467" s="1">
        <v>0.0</v>
      </c>
    </row>
    <row r="1468" ht="12.75" customHeight="1">
      <c r="A1468" s="1">
        <v>0.0</v>
      </c>
      <c r="B1468" s="2" t="s">
        <v>2780</v>
      </c>
      <c r="C1468" s="1" t="s">
        <v>2781</v>
      </c>
      <c r="D1468" s="1" t="s">
        <v>2782</v>
      </c>
      <c r="E1468" s="1">
        <v>1.0</v>
      </c>
      <c r="F1468" s="1">
        <v>0.0</v>
      </c>
    </row>
    <row r="1469" ht="12.75" customHeight="1">
      <c r="A1469" s="1">
        <v>0.0</v>
      </c>
      <c r="B1469" s="2" t="s">
        <v>2783</v>
      </c>
      <c r="C1469" s="1" t="s">
        <v>2784</v>
      </c>
      <c r="D1469" s="1" t="s">
        <v>2785</v>
      </c>
      <c r="E1469" s="1">
        <v>1.0</v>
      </c>
      <c r="F1469" s="1">
        <v>0.0</v>
      </c>
    </row>
    <row r="1470" ht="12.75" customHeight="1">
      <c r="A1470" s="1">
        <v>0.0</v>
      </c>
      <c r="B1470" s="2">
        <v>564766.0</v>
      </c>
      <c r="C1470" s="1" t="s">
        <v>2786</v>
      </c>
      <c r="D1470" s="1" t="s">
        <v>2787</v>
      </c>
      <c r="E1470" s="1">
        <v>1.0</v>
      </c>
      <c r="F1470" s="1">
        <v>0.0</v>
      </c>
    </row>
    <row r="1471" ht="12.75" customHeight="1">
      <c r="A1471" s="1">
        <v>0.0</v>
      </c>
      <c r="B1471" s="2" t="s">
        <v>2788</v>
      </c>
      <c r="C1471" s="1" t="s">
        <v>2789</v>
      </c>
      <c r="D1471" s="1" t="s">
        <v>2790</v>
      </c>
      <c r="E1471" s="1">
        <v>1.0</v>
      </c>
      <c r="F1471" s="1">
        <v>0.0</v>
      </c>
    </row>
    <row r="1472" ht="12.75" customHeight="1">
      <c r="A1472" s="1">
        <v>0.0</v>
      </c>
      <c r="B1472" s="2" t="s">
        <v>2791</v>
      </c>
      <c r="C1472" s="1" t="s">
        <v>2792</v>
      </c>
      <c r="D1472" s="1" t="s">
        <v>2793</v>
      </c>
      <c r="E1472" s="1">
        <v>1.0</v>
      </c>
      <c r="F1472" s="1">
        <v>0.0</v>
      </c>
    </row>
    <row r="1473" ht="12.75" customHeight="1">
      <c r="A1473" s="1">
        <v>0.0</v>
      </c>
      <c r="B1473" s="2" t="s">
        <v>2794</v>
      </c>
      <c r="C1473" s="1" t="s">
        <v>2795</v>
      </c>
      <c r="D1473" s="1" t="s">
        <v>2796</v>
      </c>
      <c r="E1473" s="1">
        <v>1.0</v>
      </c>
      <c r="F1473" s="1">
        <v>0.0</v>
      </c>
    </row>
    <row r="1474" ht="12.75" customHeight="1">
      <c r="A1474" s="1">
        <v>0.0</v>
      </c>
      <c r="B1474" s="2" t="s">
        <v>2797</v>
      </c>
      <c r="C1474" s="1" t="s">
        <v>923</v>
      </c>
      <c r="D1474" s="1" t="s">
        <v>2796</v>
      </c>
      <c r="E1474" s="1">
        <v>1.0</v>
      </c>
      <c r="F1474" s="1">
        <v>0.0</v>
      </c>
    </row>
    <row r="1475" ht="12.75" customHeight="1">
      <c r="A1475" s="1">
        <v>0.0</v>
      </c>
      <c r="B1475" s="2" t="s">
        <v>2798</v>
      </c>
      <c r="C1475" s="1" t="s">
        <v>2799</v>
      </c>
      <c r="D1475" s="1" t="s">
        <v>2796</v>
      </c>
      <c r="E1475" s="1">
        <v>1.0</v>
      </c>
      <c r="F1475" s="1">
        <v>0.0</v>
      </c>
    </row>
    <row r="1476" ht="12.75" customHeight="1">
      <c r="A1476" s="1">
        <v>0.0</v>
      </c>
      <c r="B1476" s="2" t="s">
        <v>2800</v>
      </c>
      <c r="C1476" s="1" t="s">
        <v>2801</v>
      </c>
      <c r="D1476" s="1" t="s">
        <v>2802</v>
      </c>
      <c r="E1476" s="1">
        <v>1.0</v>
      </c>
      <c r="F1476" s="1">
        <v>0.0</v>
      </c>
    </row>
    <row r="1477" ht="12.75" customHeight="1">
      <c r="A1477" s="1">
        <v>0.0</v>
      </c>
      <c r="B1477" s="2" t="s">
        <v>2803</v>
      </c>
      <c r="C1477" s="1" t="s">
        <v>2804</v>
      </c>
      <c r="D1477" s="1" t="s">
        <v>2805</v>
      </c>
      <c r="E1477" s="1">
        <v>1.0</v>
      </c>
      <c r="F1477" s="1">
        <v>0.0</v>
      </c>
    </row>
    <row r="1478" ht="12.75" customHeight="1">
      <c r="A1478" s="1">
        <v>0.0</v>
      </c>
      <c r="B1478" s="2" t="s">
        <v>2806</v>
      </c>
      <c r="C1478" s="1" t="s">
        <v>2807</v>
      </c>
      <c r="D1478" s="1" t="s">
        <v>2808</v>
      </c>
      <c r="E1478" s="1">
        <v>1.0</v>
      </c>
      <c r="F1478" s="1">
        <v>0.0</v>
      </c>
    </row>
    <row r="1479" ht="12.75" customHeight="1">
      <c r="A1479" s="1">
        <v>0.0</v>
      </c>
      <c r="B1479" s="2" t="s">
        <v>2809</v>
      </c>
      <c r="C1479" s="1" t="s">
        <v>2810</v>
      </c>
      <c r="D1479" s="1" t="s">
        <v>2811</v>
      </c>
      <c r="E1479" s="1">
        <v>1.0</v>
      </c>
      <c r="F1479" s="1">
        <v>0.0</v>
      </c>
    </row>
    <row r="1480" ht="12.75" customHeight="1">
      <c r="A1480" s="1">
        <v>0.0</v>
      </c>
      <c r="B1480" s="2" t="s">
        <v>2812</v>
      </c>
      <c r="C1480" s="1" t="s">
        <v>2813</v>
      </c>
      <c r="D1480" s="1" t="s">
        <v>2814</v>
      </c>
      <c r="E1480" s="1">
        <v>1.0</v>
      </c>
      <c r="F1480" s="1">
        <v>0.0</v>
      </c>
    </row>
    <row r="1481" ht="12.75" customHeight="1">
      <c r="A1481" s="1">
        <v>0.0</v>
      </c>
      <c r="B1481" s="2" t="s">
        <v>2815</v>
      </c>
      <c r="C1481" s="1" t="s">
        <v>997</v>
      </c>
      <c r="D1481" s="1" t="s">
        <v>2816</v>
      </c>
      <c r="E1481" s="1">
        <v>1.0</v>
      </c>
      <c r="F1481" s="1">
        <v>0.0</v>
      </c>
    </row>
    <row r="1482" ht="12.75" customHeight="1">
      <c r="A1482" s="1">
        <v>0.0</v>
      </c>
      <c r="B1482" s="2" t="s">
        <v>2817</v>
      </c>
      <c r="C1482" s="1" t="s">
        <v>2818</v>
      </c>
      <c r="D1482" s="1" t="s">
        <v>1089</v>
      </c>
      <c r="E1482" s="1">
        <v>1.0</v>
      </c>
      <c r="F1482" s="1">
        <v>0.0</v>
      </c>
    </row>
    <row r="1483" ht="12.75" customHeight="1">
      <c r="A1483" s="1">
        <v>0.0</v>
      </c>
      <c r="B1483" s="2" t="s">
        <v>2819</v>
      </c>
      <c r="C1483" s="1" t="s">
        <v>814</v>
      </c>
      <c r="D1483" s="1" t="s">
        <v>1089</v>
      </c>
      <c r="E1483" s="1">
        <v>1.0</v>
      </c>
      <c r="F1483" s="1">
        <v>0.0</v>
      </c>
    </row>
    <row r="1484" ht="12.75" customHeight="1">
      <c r="A1484" s="1">
        <v>0.0</v>
      </c>
      <c r="B1484" s="2" t="s">
        <v>2820</v>
      </c>
      <c r="C1484" s="1" t="s">
        <v>2821</v>
      </c>
      <c r="D1484" s="1" t="s">
        <v>2822</v>
      </c>
      <c r="E1484" s="1">
        <v>1.0</v>
      </c>
      <c r="F1484" s="1">
        <v>0.0</v>
      </c>
    </row>
    <row r="1485" ht="12.75" customHeight="1">
      <c r="A1485" s="1">
        <v>0.0</v>
      </c>
      <c r="B1485" s="2" t="s">
        <v>2823</v>
      </c>
      <c r="C1485" s="1" t="s">
        <v>2821</v>
      </c>
      <c r="D1485" s="1" t="s">
        <v>2824</v>
      </c>
      <c r="E1485" s="1">
        <v>1.0</v>
      </c>
      <c r="F1485" s="1">
        <v>0.0</v>
      </c>
    </row>
    <row r="1486" ht="12.75" customHeight="1">
      <c r="A1486" s="1">
        <v>0.0</v>
      </c>
      <c r="B1486" s="2" t="s">
        <v>2825</v>
      </c>
      <c r="C1486" s="1" t="s">
        <v>2821</v>
      </c>
      <c r="D1486" s="1" t="s">
        <v>2826</v>
      </c>
      <c r="E1486" s="1">
        <v>1.0</v>
      </c>
      <c r="F1486" s="1">
        <v>0.0</v>
      </c>
    </row>
    <row r="1487" ht="12.75" customHeight="1">
      <c r="A1487" s="1">
        <v>0.0</v>
      </c>
      <c r="B1487" s="2">
        <v>562292.0</v>
      </c>
      <c r="C1487" s="1" t="s">
        <v>2827</v>
      </c>
      <c r="D1487" s="1" t="s">
        <v>2828</v>
      </c>
      <c r="E1487" s="1">
        <v>1.0</v>
      </c>
      <c r="F1487" s="1">
        <v>0.0</v>
      </c>
    </row>
    <row r="1488" ht="12.75" customHeight="1">
      <c r="A1488" s="1">
        <v>0.0</v>
      </c>
      <c r="B1488" s="2" t="s">
        <v>2829</v>
      </c>
      <c r="C1488" s="1" t="s">
        <v>2830</v>
      </c>
      <c r="D1488" s="1" t="s">
        <v>2828</v>
      </c>
      <c r="E1488" s="1">
        <v>1.0</v>
      </c>
      <c r="F1488" s="1">
        <v>0.0</v>
      </c>
    </row>
    <row r="1489" ht="12.75" customHeight="1">
      <c r="A1489" s="1">
        <v>0.0</v>
      </c>
      <c r="B1489" s="2" t="s">
        <v>2831</v>
      </c>
      <c r="C1489" s="1" t="s">
        <v>2832</v>
      </c>
      <c r="D1489" s="1" t="s">
        <v>2828</v>
      </c>
      <c r="E1489" s="1">
        <v>1.0</v>
      </c>
      <c r="F1489" s="1">
        <v>0.0</v>
      </c>
    </row>
    <row r="1490" ht="12.75" customHeight="1">
      <c r="A1490" s="1">
        <v>0.0</v>
      </c>
      <c r="B1490" s="2" t="s">
        <v>2833</v>
      </c>
      <c r="C1490" s="1" t="s">
        <v>2821</v>
      </c>
      <c r="D1490" s="1" t="s">
        <v>2834</v>
      </c>
      <c r="E1490" s="1">
        <v>1.0</v>
      </c>
      <c r="F1490" s="1">
        <v>0.0</v>
      </c>
    </row>
    <row r="1491" ht="12.75" customHeight="1">
      <c r="A1491" s="1">
        <v>0.0</v>
      </c>
      <c r="B1491" s="2">
        <v>3801048.0</v>
      </c>
      <c r="C1491" s="1" t="s">
        <v>528</v>
      </c>
      <c r="D1491" s="1" t="s">
        <v>2835</v>
      </c>
      <c r="E1491" s="1">
        <v>1.0</v>
      </c>
      <c r="F1491" s="1">
        <v>0.0</v>
      </c>
    </row>
    <row r="1492" ht="12.75" customHeight="1">
      <c r="A1492" s="1">
        <v>0.0</v>
      </c>
      <c r="B1492" s="2">
        <v>5690103.0</v>
      </c>
      <c r="C1492" s="1" t="s">
        <v>2836</v>
      </c>
      <c r="D1492" s="1" t="s">
        <v>2837</v>
      </c>
      <c r="E1492" s="1">
        <v>1.0</v>
      </c>
      <c r="F1492" s="1">
        <v>0.0</v>
      </c>
    </row>
    <row r="1493" ht="12.75" customHeight="1">
      <c r="A1493" s="1">
        <v>0.0</v>
      </c>
      <c r="B1493" s="2">
        <v>562646.0</v>
      </c>
      <c r="C1493" s="1" t="s">
        <v>2838</v>
      </c>
      <c r="D1493" s="1" t="s">
        <v>2839</v>
      </c>
      <c r="E1493" s="1">
        <v>1.0</v>
      </c>
      <c r="F1493" s="1">
        <v>0.0</v>
      </c>
    </row>
    <row r="1494" ht="12.75" customHeight="1">
      <c r="A1494" s="1">
        <v>0.0</v>
      </c>
      <c r="B1494" s="2">
        <v>562802.0</v>
      </c>
      <c r="C1494" s="1" t="s">
        <v>2840</v>
      </c>
      <c r="D1494" s="1" t="s">
        <v>2841</v>
      </c>
      <c r="E1494" s="1">
        <v>1.0</v>
      </c>
      <c r="F1494" s="1">
        <v>0.0</v>
      </c>
    </row>
    <row r="1495" ht="12.75" customHeight="1">
      <c r="A1495" s="1">
        <v>0.0</v>
      </c>
      <c r="B1495" s="2">
        <v>562913.0</v>
      </c>
      <c r="C1495" s="1" t="s">
        <v>2842</v>
      </c>
      <c r="D1495" s="1" t="s">
        <v>2843</v>
      </c>
      <c r="E1495" s="1">
        <v>1.0</v>
      </c>
      <c r="F1495" s="1">
        <v>0.0</v>
      </c>
    </row>
    <row r="1496" ht="12.75" customHeight="1">
      <c r="A1496" s="1">
        <v>0.0</v>
      </c>
      <c r="B1496" s="2" t="s">
        <v>2844</v>
      </c>
      <c r="C1496" s="1" t="s">
        <v>2845</v>
      </c>
      <c r="D1496" s="1" t="s">
        <v>2846</v>
      </c>
      <c r="E1496" s="1">
        <v>1.0</v>
      </c>
      <c r="F1496" s="1">
        <v>0.0</v>
      </c>
    </row>
    <row r="1497" ht="12.75" customHeight="1">
      <c r="A1497" s="1">
        <v>0.0</v>
      </c>
      <c r="B1497" s="2" t="s">
        <v>2847</v>
      </c>
      <c r="C1497" s="1" t="s">
        <v>2848</v>
      </c>
      <c r="D1497" s="1" t="s">
        <v>2849</v>
      </c>
      <c r="E1497" s="1">
        <v>1.0</v>
      </c>
      <c r="F1497" s="1">
        <v>0.0</v>
      </c>
    </row>
    <row r="1498" ht="12.75" customHeight="1">
      <c r="A1498" s="1">
        <v>0.0</v>
      </c>
      <c r="B1498" s="2" t="s">
        <v>2850</v>
      </c>
      <c r="C1498" s="1" t="s">
        <v>2851</v>
      </c>
      <c r="D1498" s="1" t="s">
        <v>2852</v>
      </c>
      <c r="E1498" s="1">
        <v>1.0</v>
      </c>
      <c r="F1498" s="1">
        <v>0.0</v>
      </c>
    </row>
    <row r="1499" ht="12.75" customHeight="1">
      <c r="A1499" s="1">
        <v>0.0</v>
      </c>
      <c r="B1499" s="2">
        <v>567642.0</v>
      </c>
      <c r="C1499" s="1" t="s">
        <v>2853</v>
      </c>
      <c r="D1499" s="1" t="s">
        <v>2854</v>
      </c>
      <c r="E1499" s="1">
        <v>1.0</v>
      </c>
      <c r="F1499" s="1">
        <v>0.0</v>
      </c>
    </row>
    <row r="1500" ht="12.75" customHeight="1">
      <c r="A1500" s="1">
        <v>0.0</v>
      </c>
      <c r="B1500" s="2">
        <v>564713.0</v>
      </c>
      <c r="C1500" s="1" t="s">
        <v>2855</v>
      </c>
      <c r="D1500" s="1" t="s">
        <v>2856</v>
      </c>
      <c r="E1500" s="1">
        <v>1.0</v>
      </c>
      <c r="F1500" s="1">
        <v>0.0</v>
      </c>
    </row>
    <row r="1501" ht="12.75" customHeight="1">
      <c r="A1501" s="1">
        <v>0.0</v>
      </c>
      <c r="B1501" s="2" t="s">
        <v>2857</v>
      </c>
      <c r="C1501" s="1" t="s">
        <v>2858</v>
      </c>
      <c r="D1501" s="1" t="s">
        <v>2856</v>
      </c>
      <c r="E1501" s="1">
        <v>1.0</v>
      </c>
      <c r="F1501" s="1">
        <v>0.0</v>
      </c>
    </row>
    <row r="1502" ht="12.75" customHeight="1">
      <c r="A1502" s="1">
        <v>0.0</v>
      </c>
      <c r="B1502" s="2" t="s">
        <v>2859</v>
      </c>
      <c r="C1502" s="1" t="s">
        <v>2860</v>
      </c>
      <c r="D1502" s="1" t="s">
        <v>2856</v>
      </c>
      <c r="E1502" s="1">
        <v>1.0</v>
      </c>
      <c r="F1502" s="1">
        <v>0.0</v>
      </c>
    </row>
    <row r="1503" ht="12.75" customHeight="1">
      <c r="A1503" s="1">
        <v>0.0</v>
      </c>
      <c r="B1503" s="2" t="s">
        <v>2861</v>
      </c>
      <c r="C1503" s="1" t="s">
        <v>2862</v>
      </c>
      <c r="D1503" s="1" t="s">
        <v>1097</v>
      </c>
      <c r="E1503" s="1">
        <v>1.0</v>
      </c>
      <c r="F1503" s="1">
        <v>0.0</v>
      </c>
    </row>
    <row r="1504" ht="12.75" customHeight="1">
      <c r="A1504" s="1">
        <v>0.0</v>
      </c>
      <c r="B1504" s="2" t="s">
        <v>2863</v>
      </c>
      <c r="C1504" s="1" t="s">
        <v>2864</v>
      </c>
      <c r="D1504" s="1" t="s">
        <v>1097</v>
      </c>
      <c r="E1504" s="1">
        <v>1.0</v>
      </c>
      <c r="F1504" s="1">
        <v>0.0</v>
      </c>
    </row>
    <row r="1505" ht="12.75" customHeight="1">
      <c r="A1505" s="1">
        <v>0.0</v>
      </c>
      <c r="B1505" s="2" t="s">
        <v>2865</v>
      </c>
      <c r="C1505" s="1" t="s">
        <v>2866</v>
      </c>
      <c r="D1505" s="1" t="s">
        <v>1097</v>
      </c>
      <c r="E1505" s="1">
        <v>1.0</v>
      </c>
      <c r="F1505" s="1">
        <v>0.0</v>
      </c>
    </row>
    <row r="1506" ht="12.75" customHeight="1">
      <c r="A1506" s="1">
        <v>0.0</v>
      </c>
      <c r="B1506" s="2" t="s">
        <v>2867</v>
      </c>
      <c r="C1506" s="1" t="s">
        <v>2868</v>
      </c>
      <c r="D1506" s="1" t="s">
        <v>1097</v>
      </c>
      <c r="E1506" s="1">
        <v>1.0</v>
      </c>
      <c r="F1506" s="1">
        <v>0.0</v>
      </c>
    </row>
    <row r="1507" ht="12.75" customHeight="1">
      <c r="A1507" s="1">
        <v>0.0</v>
      </c>
      <c r="B1507" s="2" t="s">
        <v>2869</v>
      </c>
      <c r="C1507" s="1" t="s">
        <v>2870</v>
      </c>
      <c r="D1507" s="1" t="s">
        <v>1097</v>
      </c>
      <c r="E1507" s="1">
        <v>1.0</v>
      </c>
      <c r="F1507" s="1">
        <v>0.0</v>
      </c>
    </row>
    <row r="1508" ht="12.75" customHeight="1">
      <c r="A1508" s="1">
        <v>0.0</v>
      </c>
      <c r="B1508" s="2" t="s">
        <v>2871</v>
      </c>
      <c r="C1508" s="1" t="s">
        <v>2872</v>
      </c>
      <c r="D1508" s="1" t="s">
        <v>1097</v>
      </c>
      <c r="E1508" s="1">
        <v>1.0</v>
      </c>
      <c r="F1508" s="1">
        <v>0.0</v>
      </c>
    </row>
    <row r="1509" ht="12.75" customHeight="1">
      <c r="A1509" s="1">
        <v>0.0</v>
      </c>
      <c r="B1509" s="2" t="s">
        <v>2873</v>
      </c>
      <c r="C1509" s="1" t="s">
        <v>2874</v>
      </c>
      <c r="D1509" s="1" t="s">
        <v>1097</v>
      </c>
      <c r="E1509" s="1">
        <v>1.0</v>
      </c>
      <c r="F1509" s="1">
        <v>0.0</v>
      </c>
    </row>
    <row r="1510" ht="12.75" customHeight="1">
      <c r="A1510" s="1">
        <v>0.0</v>
      </c>
      <c r="B1510" s="2" t="s">
        <v>2875</v>
      </c>
      <c r="C1510" s="1" t="s">
        <v>2876</v>
      </c>
      <c r="D1510" s="1" t="s">
        <v>1097</v>
      </c>
      <c r="E1510" s="1">
        <v>1.0</v>
      </c>
      <c r="F1510" s="1">
        <v>0.0</v>
      </c>
    </row>
    <row r="1511" ht="12.75" customHeight="1">
      <c r="A1511" s="1">
        <v>0.0</v>
      </c>
      <c r="B1511" s="2" t="s">
        <v>2877</v>
      </c>
      <c r="C1511" s="1" t="s">
        <v>2878</v>
      </c>
      <c r="D1511" s="1" t="s">
        <v>1097</v>
      </c>
      <c r="E1511" s="1">
        <v>1.0</v>
      </c>
      <c r="F1511" s="1">
        <v>0.0</v>
      </c>
    </row>
    <row r="1512" ht="12.75" customHeight="1">
      <c r="A1512" s="1">
        <v>0.0</v>
      </c>
      <c r="B1512" s="2" t="s">
        <v>2879</v>
      </c>
      <c r="C1512" s="1" t="s">
        <v>2880</v>
      </c>
      <c r="D1512" s="1" t="s">
        <v>1097</v>
      </c>
      <c r="E1512" s="1">
        <v>1.0</v>
      </c>
      <c r="F1512" s="1">
        <v>0.0</v>
      </c>
    </row>
    <row r="1513" ht="12.75" customHeight="1">
      <c r="A1513" s="1">
        <v>0.0</v>
      </c>
      <c r="B1513" s="2" t="s">
        <v>2881</v>
      </c>
      <c r="C1513" s="1" t="s">
        <v>2882</v>
      </c>
      <c r="D1513" s="1" t="s">
        <v>1097</v>
      </c>
      <c r="E1513" s="1">
        <v>1.0</v>
      </c>
      <c r="F1513" s="1">
        <v>0.0</v>
      </c>
    </row>
    <row r="1514" ht="12.75" customHeight="1">
      <c r="A1514" s="1">
        <v>0.0</v>
      </c>
      <c r="B1514" s="2" t="s">
        <v>2883</v>
      </c>
      <c r="C1514" s="1" t="s">
        <v>2884</v>
      </c>
      <c r="D1514" s="1" t="s">
        <v>1097</v>
      </c>
      <c r="E1514" s="1">
        <v>1.0</v>
      </c>
      <c r="F1514" s="1">
        <v>0.0</v>
      </c>
    </row>
    <row r="1515" ht="12.75" customHeight="1">
      <c r="A1515" s="1">
        <v>0.0</v>
      </c>
      <c r="B1515" s="2" t="s">
        <v>2885</v>
      </c>
      <c r="C1515" s="1" t="s">
        <v>2886</v>
      </c>
      <c r="D1515" s="1" t="s">
        <v>1097</v>
      </c>
      <c r="E1515" s="1">
        <v>1.0</v>
      </c>
      <c r="F1515" s="1">
        <v>0.0</v>
      </c>
    </row>
    <row r="1516" ht="12.75" customHeight="1">
      <c r="A1516" s="1">
        <v>0.0</v>
      </c>
      <c r="B1516" s="2" t="s">
        <v>2887</v>
      </c>
      <c r="C1516" s="1" t="s">
        <v>2888</v>
      </c>
      <c r="D1516" s="1" t="s">
        <v>1097</v>
      </c>
      <c r="E1516" s="1">
        <v>1.0</v>
      </c>
      <c r="F1516" s="1">
        <v>0.0</v>
      </c>
    </row>
    <row r="1517" ht="12.75" customHeight="1">
      <c r="A1517" s="1">
        <v>0.0</v>
      </c>
      <c r="B1517" s="2" t="s">
        <v>2889</v>
      </c>
      <c r="C1517" s="1" t="s">
        <v>2890</v>
      </c>
      <c r="D1517" s="1" t="s">
        <v>1097</v>
      </c>
      <c r="E1517" s="1">
        <v>1.0</v>
      </c>
      <c r="F1517" s="1">
        <v>0.0</v>
      </c>
    </row>
    <row r="1518" ht="12.75" customHeight="1">
      <c r="A1518" s="1">
        <v>0.0</v>
      </c>
      <c r="B1518" s="2" t="s">
        <v>2891</v>
      </c>
      <c r="C1518" s="1" t="s">
        <v>2892</v>
      </c>
      <c r="D1518" s="1" t="s">
        <v>1097</v>
      </c>
      <c r="E1518" s="1">
        <v>1.0</v>
      </c>
      <c r="F1518" s="1">
        <v>0.0</v>
      </c>
    </row>
    <row r="1519" ht="12.75" customHeight="1">
      <c r="A1519" s="1">
        <v>0.0</v>
      </c>
      <c r="B1519" s="2" t="s">
        <v>2893</v>
      </c>
      <c r="C1519" s="1" t="s">
        <v>2894</v>
      </c>
      <c r="D1519" s="1" t="s">
        <v>1097</v>
      </c>
      <c r="E1519" s="1">
        <v>1.0</v>
      </c>
      <c r="F1519" s="1">
        <v>0.0</v>
      </c>
    </row>
    <row r="1520" ht="12.75" customHeight="1">
      <c r="A1520" s="1">
        <v>0.0</v>
      </c>
      <c r="B1520" s="2" t="s">
        <v>2895</v>
      </c>
      <c r="C1520" s="1" t="s">
        <v>2896</v>
      </c>
      <c r="D1520" s="1" t="s">
        <v>1097</v>
      </c>
      <c r="E1520" s="1">
        <v>1.0</v>
      </c>
      <c r="F1520" s="1">
        <v>0.0</v>
      </c>
    </row>
    <row r="1521" ht="12.75" customHeight="1">
      <c r="A1521" s="1">
        <v>0.0</v>
      </c>
      <c r="B1521" s="2" t="s">
        <v>2897</v>
      </c>
      <c r="C1521" s="1" t="s">
        <v>2898</v>
      </c>
      <c r="D1521" s="1" t="s">
        <v>1097</v>
      </c>
      <c r="E1521" s="1">
        <v>1.0</v>
      </c>
      <c r="F1521" s="1">
        <v>0.0</v>
      </c>
    </row>
    <row r="1522" ht="12.75" customHeight="1">
      <c r="A1522" s="1">
        <v>0.0</v>
      </c>
      <c r="B1522" s="2" t="s">
        <v>2899</v>
      </c>
      <c r="C1522" s="1" t="s">
        <v>2900</v>
      </c>
      <c r="D1522" s="1" t="s">
        <v>1097</v>
      </c>
      <c r="E1522" s="1">
        <v>1.0</v>
      </c>
      <c r="F1522" s="1">
        <v>0.0</v>
      </c>
    </row>
    <row r="1523" ht="12.75" customHeight="1">
      <c r="A1523" s="1">
        <v>0.0</v>
      </c>
      <c r="B1523" s="2" t="s">
        <v>2901</v>
      </c>
      <c r="C1523" s="1" t="s">
        <v>2902</v>
      </c>
      <c r="D1523" s="1" t="s">
        <v>1097</v>
      </c>
      <c r="E1523" s="1">
        <v>1.0</v>
      </c>
      <c r="F1523" s="1">
        <v>0.0</v>
      </c>
    </row>
    <row r="1524" ht="12.75" customHeight="1">
      <c r="A1524" s="1">
        <v>0.0</v>
      </c>
      <c r="B1524" s="2" t="s">
        <v>2903</v>
      </c>
      <c r="C1524" s="1" t="s">
        <v>2904</v>
      </c>
      <c r="D1524" s="1" t="s">
        <v>1097</v>
      </c>
      <c r="E1524" s="1">
        <v>1.0</v>
      </c>
      <c r="F1524" s="1">
        <v>0.0</v>
      </c>
    </row>
    <row r="1525" ht="12.75" customHeight="1">
      <c r="A1525" s="1">
        <v>0.0</v>
      </c>
      <c r="B1525" s="2" t="s">
        <v>2905</v>
      </c>
      <c r="C1525" s="1" t="s">
        <v>2906</v>
      </c>
      <c r="D1525" s="1" t="s">
        <v>1097</v>
      </c>
      <c r="E1525" s="1">
        <v>1.0</v>
      </c>
      <c r="F1525" s="1">
        <v>0.0</v>
      </c>
    </row>
    <row r="1526" ht="12.75" customHeight="1">
      <c r="A1526" s="1">
        <v>0.0</v>
      </c>
      <c r="B1526" s="2" t="s">
        <v>2907</v>
      </c>
      <c r="C1526" s="1" t="s">
        <v>2908</v>
      </c>
      <c r="D1526" s="1" t="s">
        <v>1097</v>
      </c>
      <c r="E1526" s="1">
        <v>1.0</v>
      </c>
      <c r="F1526" s="1">
        <v>0.0</v>
      </c>
    </row>
    <row r="1527" ht="12.75" customHeight="1">
      <c r="A1527" s="1">
        <v>0.0</v>
      </c>
      <c r="B1527" s="2" t="s">
        <v>2909</v>
      </c>
      <c r="C1527" s="1" t="s">
        <v>2910</v>
      </c>
      <c r="D1527" s="1" t="s">
        <v>1097</v>
      </c>
      <c r="E1527" s="1">
        <v>1.0</v>
      </c>
      <c r="F1527" s="1">
        <v>0.0</v>
      </c>
    </row>
    <row r="1528" ht="12.75" customHeight="1">
      <c r="A1528" s="1">
        <v>0.0</v>
      </c>
      <c r="B1528" s="2" t="s">
        <v>2911</v>
      </c>
      <c r="C1528" s="1" t="s">
        <v>2912</v>
      </c>
      <c r="D1528" s="1" t="s">
        <v>1097</v>
      </c>
      <c r="E1528" s="1">
        <v>1.0</v>
      </c>
      <c r="F1528" s="1">
        <v>0.0</v>
      </c>
    </row>
    <row r="1529" ht="12.75" customHeight="1">
      <c r="A1529" s="1">
        <v>0.0</v>
      </c>
      <c r="B1529" s="2" t="s">
        <v>2913</v>
      </c>
      <c r="C1529" s="1" t="s">
        <v>2914</v>
      </c>
      <c r="D1529" s="1" t="s">
        <v>1097</v>
      </c>
      <c r="E1529" s="1">
        <v>1.0</v>
      </c>
      <c r="F1529" s="1">
        <v>0.0</v>
      </c>
    </row>
    <row r="1530" ht="12.75" customHeight="1">
      <c r="A1530" s="1">
        <v>0.0</v>
      </c>
      <c r="B1530" s="2" t="s">
        <v>2915</v>
      </c>
      <c r="C1530" s="1" t="s">
        <v>2916</v>
      </c>
      <c r="D1530" s="1" t="s">
        <v>1097</v>
      </c>
      <c r="E1530" s="1">
        <v>1.0</v>
      </c>
      <c r="F1530" s="1">
        <v>0.0</v>
      </c>
    </row>
    <row r="1531" ht="12.75" customHeight="1">
      <c r="A1531" s="1">
        <v>0.0</v>
      </c>
      <c r="B1531" s="2" t="s">
        <v>2917</v>
      </c>
      <c r="C1531" s="1" t="s">
        <v>2918</v>
      </c>
      <c r="D1531" s="1" t="s">
        <v>1097</v>
      </c>
      <c r="E1531" s="1">
        <v>1.0</v>
      </c>
      <c r="F1531" s="1">
        <v>0.0</v>
      </c>
    </row>
    <row r="1532" ht="12.75" customHeight="1">
      <c r="A1532" s="1">
        <v>0.0</v>
      </c>
      <c r="B1532" s="2" t="s">
        <v>2919</v>
      </c>
      <c r="C1532" s="1" t="s">
        <v>2920</v>
      </c>
      <c r="D1532" s="1" t="s">
        <v>1097</v>
      </c>
      <c r="E1532" s="1">
        <v>1.0</v>
      </c>
      <c r="F1532" s="1">
        <v>0.0</v>
      </c>
    </row>
    <row r="1533" ht="12.75" customHeight="1">
      <c r="A1533" s="1">
        <v>0.0</v>
      </c>
      <c r="B1533" s="2" t="s">
        <v>2921</v>
      </c>
      <c r="C1533" s="1" t="s">
        <v>2922</v>
      </c>
      <c r="D1533" s="1" t="s">
        <v>1097</v>
      </c>
      <c r="E1533" s="1">
        <v>1.0</v>
      </c>
      <c r="F1533" s="1">
        <v>0.0</v>
      </c>
    </row>
    <row r="1534" ht="12.75" customHeight="1">
      <c r="A1534" s="1">
        <v>0.0</v>
      </c>
      <c r="B1534" s="2" t="s">
        <v>2923</v>
      </c>
      <c r="C1534" s="1" t="s">
        <v>2924</v>
      </c>
      <c r="D1534" s="1" t="s">
        <v>1097</v>
      </c>
      <c r="E1534" s="1">
        <v>1.0</v>
      </c>
      <c r="F1534" s="1">
        <v>0.0</v>
      </c>
    </row>
    <row r="1535" ht="12.75" customHeight="1">
      <c r="A1535" s="1">
        <v>0.0</v>
      </c>
      <c r="B1535" s="2" t="s">
        <v>2925</v>
      </c>
      <c r="C1535" s="1" t="s">
        <v>2926</v>
      </c>
      <c r="D1535" s="1" t="s">
        <v>1097</v>
      </c>
      <c r="E1535" s="1">
        <v>1.0</v>
      </c>
      <c r="F1535" s="1">
        <v>0.0</v>
      </c>
    </row>
    <row r="1536" ht="12.75" customHeight="1">
      <c r="A1536" s="1">
        <v>0.0</v>
      </c>
      <c r="B1536" s="2" t="s">
        <v>2927</v>
      </c>
      <c r="C1536" s="1" t="s">
        <v>2928</v>
      </c>
      <c r="D1536" s="1" t="s">
        <v>1097</v>
      </c>
      <c r="E1536" s="1">
        <v>1.0</v>
      </c>
      <c r="F1536" s="1">
        <v>0.0</v>
      </c>
    </row>
    <row r="1537" ht="12.75" customHeight="1">
      <c r="A1537" s="1">
        <v>0.0</v>
      </c>
      <c r="B1537" s="2" t="s">
        <v>2929</v>
      </c>
      <c r="C1537" s="1" t="s">
        <v>2930</v>
      </c>
      <c r="D1537" s="1" t="s">
        <v>1097</v>
      </c>
      <c r="E1537" s="1">
        <v>1.0</v>
      </c>
      <c r="F1537" s="1">
        <v>0.0</v>
      </c>
    </row>
    <row r="1538" ht="12.75" customHeight="1">
      <c r="A1538" s="1">
        <v>0.0</v>
      </c>
      <c r="B1538" s="2" t="s">
        <v>2931</v>
      </c>
      <c r="C1538" s="1" t="s">
        <v>2932</v>
      </c>
      <c r="D1538" s="1" t="s">
        <v>1097</v>
      </c>
      <c r="E1538" s="1">
        <v>1.0</v>
      </c>
      <c r="F1538" s="1">
        <v>0.0</v>
      </c>
    </row>
    <row r="1539" ht="12.75" customHeight="1">
      <c r="A1539" s="1">
        <v>0.0</v>
      </c>
      <c r="B1539" s="2" t="s">
        <v>2933</v>
      </c>
      <c r="C1539" s="1" t="s">
        <v>2934</v>
      </c>
      <c r="D1539" s="1" t="s">
        <v>1097</v>
      </c>
      <c r="E1539" s="1">
        <v>1.0</v>
      </c>
      <c r="F1539" s="1">
        <v>0.0</v>
      </c>
    </row>
    <row r="1540" ht="12.75" customHeight="1">
      <c r="A1540" s="1">
        <v>0.0</v>
      </c>
      <c r="B1540" s="2" t="s">
        <v>2935</v>
      </c>
      <c r="C1540" s="1" t="s">
        <v>2936</v>
      </c>
      <c r="D1540" s="1" t="s">
        <v>1097</v>
      </c>
      <c r="E1540" s="1">
        <v>1.0</v>
      </c>
      <c r="F1540" s="1">
        <v>0.0</v>
      </c>
    </row>
    <row r="1541" ht="12.75" customHeight="1">
      <c r="A1541" s="1">
        <v>0.0</v>
      </c>
      <c r="B1541" s="2" t="s">
        <v>2937</v>
      </c>
      <c r="C1541" s="1" t="s">
        <v>2938</v>
      </c>
      <c r="D1541" s="1" t="s">
        <v>1097</v>
      </c>
      <c r="E1541" s="1">
        <v>1.0</v>
      </c>
      <c r="F1541" s="1">
        <v>0.0</v>
      </c>
    </row>
    <row r="1542" ht="12.75" customHeight="1">
      <c r="A1542" s="1">
        <v>0.0</v>
      </c>
      <c r="B1542" s="2" t="s">
        <v>2939</v>
      </c>
      <c r="C1542" s="1" t="s">
        <v>2940</v>
      </c>
      <c r="D1542" s="1" t="s">
        <v>1097</v>
      </c>
      <c r="E1542" s="1">
        <v>1.0</v>
      </c>
      <c r="F1542" s="1">
        <v>0.0</v>
      </c>
    </row>
    <row r="1543" ht="12.75" customHeight="1">
      <c r="A1543" s="1">
        <v>0.0</v>
      </c>
      <c r="B1543" s="2" t="s">
        <v>2941</v>
      </c>
      <c r="C1543" s="1" t="s">
        <v>2942</v>
      </c>
      <c r="D1543" s="1" t="s">
        <v>1097</v>
      </c>
      <c r="E1543" s="1">
        <v>1.0</v>
      </c>
      <c r="F1543" s="1">
        <v>0.0</v>
      </c>
    </row>
    <row r="1544" ht="12.75" customHeight="1">
      <c r="A1544" s="1">
        <v>0.0</v>
      </c>
      <c r="B1544" s="2" t="s">
        <v>2943</v>
      </c>
      <c r="C1544" s="1" t="s">
        <v>2944</v>
      </c>
      <c r="D1544" s="1" t="s">
        <v>1097</v>
      </c>
      <c r="E1544" s="1">
        <v>1.0</v>
      </c>
      <c r="F1544" s="1">
        <v>0.0</v>
      </c>
    </row>
    <row r="1545" ht="12.75" customHeight="1">
      <c r="A1545" s="1">
        <v>0.0</v>
      </c>
      <c r="B1545" s="2" t="s">
        <v>2945</v>
      </c>
      <c r="C1545" s="1" t="s">
        <v>2946</v>
      </c>
      <c r="D1545" s="1" t="s">
        <v>1097</v>
      </c>
      <c r="E1545" s="1">
        <v>1.0</v>
      </c>
      <c r="F1545" s="1">
        <v>0.0</v>
      </c>
    </row>
    <row r="1546" ht="12.75" customHeight="1">
      <c r="A1546" s="1">
        <v>0.0</v>
      </c>
      <c r="B1546" s="2" t="s">
        <v>2947</v>
      </c>
      <c r="C1546" s="1" t="s">
        <v>2948</v>
      </c>
      <c r="D1546" s="1" t="s">
        <v>1097</v>
      </c>
      <c r="E1546" s="1">
        <v>1.0</v>
      </c>
      <c r="F1546" s="1">
        <v>0.0</v>
      </c>
    </row>
    <row r="1547" ht="12.75" customHeight="1">
      <c r="A1547" s="1">
        <v>0.0</v>
      </c>
      <c r="B1547" s="2" t="s">
        <v>2949</v>
      </c>
      <c r="C1547" s="1" t="s">
        <v>2950</v>
      </c>
      <c r="D1547" s="1" t="s">
        <v>1097</v>
      </c>
      <c r="E1547" s="1">
        <v>1.0</v>
      </c>
      <c r="F1547" s="1">
        <v>0.0</v>
      </c>
    </row>
    <row r="1548" ht="12.75" customHeight="1">
      <c r="A1548" s="1">
        <v>0.0</v>
      </c>
      <c r="B1548" s="2" t="s">
        <v>2951</v>
      </c>
      <c r="C1548" s="1" t="s">
        <v>2952</v>
      </c>
      <c r="D1548" s="1" t="s">
        <v>1097</v>
      </c>
      <c r="E1548" s="1">
        <v>1.0</v>
      </c>
      <c r="F1548" s="1">
        <v>0.0</v>
      </c>
    </row>
    <row r="1549" ht="12.75" customHeight="1">
      <c r="A1549" s="1">
        <v>0.0</v>
      </c>
      <c r="B1549" s="2" t="s">
        <v>2953</v>
      </c>
      <c r="C1549" s="1" t="s">
        <v>2954</v>
      </c>
      <c r="D1549" s="1" t="s">
        <v>2955</v>
      </c>
      <c r="E1549" s="1">
        <v>1.0</v>
      </c>
      <c r="F1549" s="1">
        <v>0.0</v>
      </c>
    </row>
    <row r="1550" ht="12.75" customHeight="1">
      <c r="A1550" s="1">
        <v>0.0</v>
      </c>
      <c r="B1550" s="2" t="s">
        <v>2956</v>
      </c>
      <c r="C1550" s="1" t="s">
        <v>2957</v>
      </c>
      <c r="D1550" s="1" t="s">
        <v>2958</v>
      </c>
      <c r="E1550" s="1">
        <v>1.0</v>
      </c>
      <c r="F1550" s="1">
        <v>0.0</v>
      </c>
    </row>
    <row r="1551" ht="12.75" customHeight="1">
      <c r="A1551" s="1">
        <v>0.0</v>
      </c>
      <c r="B1551" s="2" t="s">
        <v>2959</v>
      </c>
      <c r="C1551" s="1" t="s">
        <v>2960</v>
      </c>
      <c r="D1551" s="1" t="s">
        <v>2961</v>
      </c>
      <c r="E1551" s="1">
        <v>1.0</v>
      </c>
      <c r="F1551" s="1">
        <v>0.0</v>
      </c>
    </row>
    <row r="1552" ht="12.75" customHeight="1">
      <c r="A1552" s="1">
        <v>0.0</v>
      </c>
      <c r="B1552" s="2" t="s">
        <v>2962</v>
      </c>
      <c r="C1552" s="1" t="s">
        <v>2963</v>
      </c>
      <c r="D1552" s="1" t="s">
        <v>2964</v>
      </c>
      <c r="E1552" s="1">
        <v>1.0</v>
      </c>
      <c r="F1552" s="1">
        <v>0.0</v>
      </c>
    </row>
    <row r="1553" ht="12.75" customHeight="1">
      <c r="A1553" s="1">
        <v>0.0</v>
      </c>
      <c r="B1553" s="2">
        <v>1130844.0</v>
      </c>
      <c r="C1553" s="1" t="s">
        <v>2965</v>
      </c>
      <c r="D1553" s="1" t="s">
        <v>1114</v>
      </c>
      <c r="E1553" s="1">
        <v>1.0</v>
      </c>
      <c r="F1553" s="1">
        <v>0.0</v>
      </c>
    </row>
    <row r="1554" ht="12.75" customHeight="1">
      <c r="A1554" s="1">
        <v>0.0</v>
      </c>
      <c r="B1554" s="2" t="s">
        <v>2966</v>
      </c>
      <c r="C1554" s="1" t="s">
        <v>2967</v>
      </c>
      <c r="D1554" s="1" t="s">
        <v>1114</v>
      </c>
      <c r="E1554" s="1">
        <v>1.0</v>
      </c>
      <c r="F1554" s="1">
        <v>0.0</v>
      </c>
    </row>
    <row r="1555" ht="12.75" customHeight="1">
      <c r="A1555" s="1">
        <v>0.0</v>
      </c>
      <c r="B1555" s="2" t="s">
        <v>2968</v>
      </c>
      <c r="C1555" s="1" t="s">
        <v>2969</v>
      </c>
      <c r="D1555" s="1" t="s">
        <v>1114</v>
      </c>
      <c r="E1555" s="1">
        <v>1.0</v>
      </c>
      <c r="F1555" s="1">
        <v>0.0</v>
      </c>
    </row>
    <row r="1556" ht="12.75" customHeight="1">
      <c r="A1556" s="1">
        <v>0.0</v>
      </c>
      <c r="B1556" s="2" t="s">
        <v>2970</v>
      </c>
      <c r="C1556" s="1" t="s">
        <v>2971</v>
      </c>
      <c r="D1556" s="1" t="s">
        <v>1114</v>
      </c>
      <c r="E1556" s="1">
        <v>1.0</v>
      </c>
      <c r="F1556" s="1">
        <v>0.0</v>
      </c>
    </row>
    <row r="1557" ht="12.75" customHeight="1">
      <c r="A1557" s="1">
        <v>0.0</v>
      </c>
      <c r="B1557" s="2" t="s">
        <v>2972</v>
      </c>
      <c r="C1557" s="1" t="s">
        <v>2973</v>
      </c>
      <c r="D1557" s="1" t="s">
        <v>1114</v>
      </c>
      <c r="E1557" s="1">
        <v>1.0</v>
      </c>
      <c r="F1557" s="1">
        <v>0.0</v>
      </c>
    </row>
    <row r="1558" ht="12.75" customHeight="1">
      <c r="A1558" s="1">
        <v>0.0</v>
      </c>
      <c r="B1558" s="2" t="s">
        <v>2974</v>
      </c>
      <c r="C1558" s="1" t="s">
        <v>2975</v>
      </c>
      <c r="D1558" s="1" t="s">
        <v>1114</v>
      </c>
      <c r="E1558" s="1">
        <v>1.0</v>
      </c>
      <c r="F1558" s="1">
        <v>0.0</v>
      </c>
    </row>
    <row r="1559" ht="12.75" customHeight="1">
      <c r="A1559" s="1">
        <v>0.0</v>
      </c>
      <c r="B1559" s="2" t="s">
        <v>2976</v>
      </c>
      <c r="C1559" s="1" t="s">
        <v>2977</v>
      </c>
      <c r="D1559" s="1" t="s">
        <v>1114</v>
      </c>
      <c r="E1559" s="1">
        <v>1.0</v>
      </c>
      <c r="F1559" s="1">
        <v>0.0</v>
      </c>
    </row>
    <row r="1560" ht="12.75" customHeight="1">
      <c r="A1560" s="1">
        <v>0.0</v>
      </c>
      <c r="B1560" s="2" t="s">
        <v>2978</v>
      </c>
      <c r="C1560" s="1" t="s">
        <v>2979</v>
      </c>
      <c r="D1560" s="1" t="s">
        <v>1114</v>
      </c>
      <c r="E1560" s="1">
        <v>1.0</v>
      </c>
      <c r="F1560" s="1">
        <v>0.0</v>
      </c>
    </row>
    <row r="1561" ht="12.75" customHeight="1">
      <c r="A1561" s="1">
        <v>0.0</v>
      </c>
      <c r="B1561" s="2" t="s">
        <v>2980</v>
      </c>
      <c r="C1561" s="1" t="s">
        <v>2981</v>
      </c>
      <c r="D1561" s="1" t="s">
        <v>1114</v>
      </c>
      <c r="E1561" s="1">
        <v>1.0</v>
      </c>
      <c r="F1561" s="1">
        <v>0.0</v>
      </c>
    </row>
    <row r="1562" ht="12.75" customHeight="1">
      <c r="A1562" s="1">
        <v>0.0</v>
      </c>
      <c r="B1562" s="2" t="s">
        <v>2982</v>
      </c>
      <c r="C1562" s="1" t="s">
        <v>2983</v>
      </c>
      <c r="D1562" s="1" t="s">
        <v>1114</v>
      </c>
      <c r="E1562" s="1">
        <v>1.0</v>
      </c>
      <c r="F1562" s="1">
        <v>0.0</v>
      </c>
    </row>
    <row r="1563" ht="12.75" customHeight="1">
      <c r="A1563" s="1">
        <v>0.0</v>
      </c>
      <c r="B1563" s="2" t="s">
        <v>2984</v>
      </c>
      <c r="C1563" s="1" t="s">
        <v>2985</v>
      </c>
      <c r="D1563" s="1" t="s">
        <v>2986</v>
      </c>
      <c r="E1563" s="1">
        <v>1.0</v>
      </c>
      <c r="F1563" s="1">
        <v>0.0</v>
      </c>
    </row>
    <row r="1564" ht="12.75" customHeight="1">
      <c r="A1564" s="1">
        <v>0.0</v>
      </c>
      <c r="B1564" s="2" t="s">
        <v>2987</v>
      </c>
      <c r="C1564" s="1" t="s">
        <v>2988</v>
      </c>
      <c r="D1564" s="1" t="s">
        <v>1408</v>
      </c>
      <c r="E1564" s="1">
        <v>1.0</v>
      </c>
      <c r="F1564" s="1">
        <v>0.0</v>
      </c>
    </row>
    <row r="1565" ht="12.75" customHeight="1">
      <c r="A1565" s="1">
        <v>0.0</v>
      </c>
      <c r="B1565" s="2" t="s">
        <v>2989</v>
      </c>
      <c r="C1565" s="1" t="s">
        <v>2990</v>
      </c>
      <c r="D1565" s="1" t="s">
        <v>2991</v>
      </c>
      <c r="E1565" s="1">
        <v>1.0</v>
      </c>
      <c r="F1565" s="1">
        <v>0.0</v>
      </c>
    </row>
    <row r="1566" ht="12.75" customHeight="1">
      <c r="A1566" s="1">
        <v>0.0</v>
      </c>
      <c r="B1566" s="2" t="s">
        <v>2992</v>
      </c>
      <c r="C1566" s="1" t="s">
        <v>2993</v>
      </c>
      <c r="D1566" s="1" t="s">
        <v>1117</v>
      </c>
      <c r="E1566" s="1">
        <v>1.0</v>
      </c>
      <c r="F1566" s="1">
        <v>0.0</v>
      </c>
    </row>
    <row r="1567" ht="12.75" customHeight="1">
      <c r="A1567" s="1">
        <v>0.0</v>
      </c>
      <c r="B1567" s="2" t="s">
        <v>2994</v>
      </c>
      <c r="C1567" s="1" t="s">
        <v>2995</v>
      </c>
      <c r="D1567" s="1" t="s">
        <v>1120</v>
      </c>
      <c r="E1567" s="1">
        <v>1.0</v>
      </c>
      <c r="F1567" s="1">
        <v>0.0</v>
      </c>
    </row>
    <row r="1568" ht="12.75" customHeight="1">
      <c r="A1568" s="1">
        <v>0.0</v>
      </c>
      <c r="B1568" s="2" t="s">
        <v>2996</v>
      </c>
      <c r="C1568" s="1" t="s">
        <v>2997</v>
      </c>
      <c r="D1568" s="1" t="s">
        <v>1120</v>
      </c>
      <c r="E1568" s="1">
        <v>1.0</v>
      </c>
      <c r="F1568" s="1">
        <v>0.0</v>
      </c>
    </row>
    <row r="1569" ht="12.75" customHeight="1">
      <c r="A1569" s="1">
        <v>0.0</v>
      </c>
      <c r="B1569" s="2" t="s">
        <v>2998</v>
      </c>
      <c r="C1569" s="1" t="s">
        <v>2999</v>
      </c>
      <c r="D1569" s="1" t="s">
        <v>1120</v>
      </c>
      <c r="E1569" s="1">
        <v>1.0</v>
      </c>
      <c r="F1569" s="1">
        <v>0.0</v>
      </c>
    </row>
    <row r="1570" ht="12.75" customHeight="1">
      <c r="A1570" s="1">
        <v>0.0</v>
      </c>
      <c r="B1570" s="2" t="s">
        <v>3000</v>
      </c>
      <c r="C1570" s="1" t="s">
        <v>3001</v>
      </c>
      <c r="D1570" s="1" t="s">
        <v>1120</v>
      </c>
      <c r="E1570" s="1">
        <v>1.0</v>
      </c>
      <c r="F1570" s="1">
        <v>0.0</v>
      </c>
    </row>
    <row r="1571" ht="12.75" customHeight="1">
      <c r="A1571" s="1">
        <v>0.0</v>
      </c>
      <c r="B1571" s="2" t="s">
        <v>3002</v>
      </c>
      <c r="C1571" s="1" t="s">
        <v>3003</v>
      </c>
      <c r="D1571" s="1" t="s">
        <v>1120</v>
      </c>
      <c r="E1571" s="1">
        <v>1.0</v>
      </c>
      <c r="F1571" s="1">
        <v>0.0</v>
      </c>
    </row>
    <row r="1572" ht="12.75" customHeight="1">
      <c r="A1572" s="1">
        <v>0.0</v>
      </c>
      <c r="B1572" s="2" t="s">
        <v>3004</v>
      </c>
      <c r="C1572" s="1" t="s">
        <v>3005</v>
      </c>
      <c r="D1572" s="1" t="s">
        <v>1120</v>
      </c>
      <c r="E1572" s="1">
        <v>1.0</v>
      </c>
      <c r="F1572" s="1">
        <v>0.0</v>
      </c>
    </row>
    <row r="1573" ht="12.75" customHeight="1">
      <c r="A1573" s="1">
        <v>0.0</v>
      </c>
      <c r="B1573" s="2" t="s">
        <v>3006</v>
      </c>
      <c r="C1573" s="1" t="s">
        <v>3007</v>
      </c>
      <c r="D1573" s="1" t="s">
        <v>1120</v>
      </c>
      <c r="E1573" s="1">
        <v>1.0</v>
      </c>
      <c r="F1573" s="1">
        <v>0.0</v>
      </c>
    </row>
    <row r="1574" ht="12.75" customHeight="1">
      <c r="A1574" s="1">
        <v>0.0</v>
      </c>
      <c r="B1574" s="2" t="s">
        <v>3008</v>
      </c>
      <c r="C1574" s="1" t="s">
        <v>3009</v>
      </c>
      <c r="D1574" s="1" t="s">
        <v>1120</v>
      </c>
      <c r="E1574" s="1">
        <v>1.0</v>
      </c>
      <c r="F1574" s="1">
        <v>0.0</v>
      </c>
    </row>
    <row r="1575" ht="12.75" customHeight="1">
      <c r="A1575" s="1">
        <v>0.0</v>
      </c>
      <c r="B1575" s="2" t="s">
        <v>3010</v>
      </c>
      <c r="C1575" s="1" t="s">
        <v>3011</v>
      </c>
      <c r="D1575" s="1" t="s">
        <v>1120</v>
      </c>
      <c r="E1575" s="1">
        <v>1.0</v>
      </c>
      <c r="F1575" s="1">
        <v>0.0</v>
      </c>
    </row>
    <row r="1576" ht="12.75" customHeight="1">
      <c r="A1576" s="1">
        <v>0.0</v>
      </c>
      <c r="B1576" s="2" t="s">
        <v>3012</v>
      </c>
      <c r="C1576" s="1" t="s">
        <v>3013</v>
      </c>
      <c r="D1576" s="1" t="s">
        <v>1120</v>
      </c>
      <c r="E1576" s="1">
        <v>1.0</v>
      </c>
      <c r="F1576" s="1">
        <v>0.0</v>
      </c>
    </row>
    <row r="1577" ht="12.75" customHeight="1">
      <c r="A1577" s="1">
        <v>0.0</v>
      </c>
      <c r="B1577" s="2" t="s">
        <v>3014</v>
      </c>
      <c r="C1577" s="1" t="s">
        <v>3015</v>
      </c>
      <c r="D1577" s="1" t="s">
        <v>1120</v>
      </c>
      <c r="E1577" s="1">
        <v>1.0</v>
      </c>
      <c r="F1577" s="1">
        <v>0.0</v>
      </c>
    </row>
    <row r="1578" ht="12.75" customHeight="1">
      <c r="A1578" s="1">
        <v>0.0</v>
      </c>
      <c r="B1578" s="2" t="s">
        <v>3016</v>
      </c>
      <c r="C1578" s="1" t="s">
        <v>3017</v>
      </c>
      <c r="D1578" s="1" t="s">
        <v>1120</v>
      </c>
      <c r="E1578" s="1">
        <v>1.0</v>
      </c>
      <c r="F1578" s="1">
        <v>0.0</v>
      </c>
    </row>
    <row r="1579" ht="12.75" customHeight="1">
      <c r="A1579" s="1">
        <v>0.0</v>
      </c>
      <c r="B1579" s="2" t="s">
        <v>3018</v>
      </c>
      <c r="C1579" s="1" t="s">
        <v>3019</v>
      </c>
      <c r="D1579" s="1" t="s">
        <v>1120</v>
      </c>
      <c r="E1579" s="1">
        <v>1.0</v>
      </c>
      <c r="F1579" s="1">
        <v>0.0</v>
      </c>
    </row>
    <row r="1580" ht="12.75" customHeight="1">
      <c r="A1580" s="1">
        <v>0.0</v>
      </c>
      <c r="B1580" s="2" t="s">
        <v>3020</v>
      </c>
      <c r="C1580" s="1" t="s">
        <v>3021</v>
      </c>
      <c r="D1580" s="1" t="s">
        <v>1120</v>
      </c>
      <c r="E1580" s="1">
        <v>1.0</v>
      </c>
      <c r="F1580" s="1">
        <v>0.0</v>
      </c>
    </row>
    <row r="1581" ht="12.75" customHeight="1">
      <c r="A1581" s="1">
        <v>0.0</v>
      </c>
      <c r="B1581" s="2" t="s">
        <v>3022</v>
      </c>
      <c r="C1581" s="1" t="s">
        <v>3023</v>
      </c>
      <c r="D1581" s="1" t="s">
        <v>1120</v>
      </c>
      <c r="E1581" s="1">
        <v>1.0</v>
      </c>
      <c r="F1581" s="1">
        <v>0.0</v>
      </c>
    </row>
    <row r="1582" ht="12.75" customHeight="1">
      <c r="A1582" s="1">
        <v>0.0</v>
      </c>
      <c r="B1582" s="2" t="s">
        <v>3024</v>
      </c>
      <c r="C1582" s="1" t="s">
        <v>3025</v>
      </c>
      <c r="D1582" s="1" t="s">
        <v>1120</v>
      </c>
      <c r="E1582" s="1">
        <v>1.0</v>
      </c>
      <c r="F1582" s="1">
        <v>0.0</v>
      </c>
    </row>
    <row r="1583" ht="12.75" customHeight="1">
      <c r="A1583" s="1">
        <v>0.0</v>
      </c>
      <c r="B1583" s="2" t="s">
        <v>3026</v>
      </c>
      <c r="C1583" s="1" t="s">
        <v>3027</v>
      </c>
      <c r="D1583" s="1" t="s">
        <v>1120</v>
      </c>
      <c r="E1583" s="1">
        <v>1.0</v>
      </c>
      <c r="F1583" s="1">
        <v>0.0</v>
      </c>
    </row>
    <row r="1584" ht="12.75" customHeight="1">
      <c r="A1584" s="1">
        <v>0.0</v>
      </c>
      <c r="B1584" s="2" t="s">
        <v>3028</v>
      </c>
      <c r="C1584" s="1" t="s">
        <v>3029</v>
      </c>
      <c r="D1584" s="1" t="s">
        <v>1120</v>
      </c>
      <c r="E1584" s="1">
        <v>1.0</v>
      </c>
      <c r="F1584" s="1">
        <v>0.0</v>
      </c>
    </row>
    <row r="1585" ht="12.75" customHeight="1">
      <c r="A1585" s="1">
        <v>0.0</v>
      </c>
      <c r="B1585" s="2" t="s">
        <v>3030</v>
      </c>
      <c r="C1585" s="1" t="s">
        <v>3031</v>
      </c>
      <c r="D1585" s="1" t="s">
        <v>1120</v>
      </c>
      <c r="E1585" s="1">
        <v>1.0</v>
      </c>
      <c r="F1585" s="1">
        <v>0.0</v>
      </c>
    </row>
    <row r="1586" ht="12.75" customHeight="1">
      <c r="A1586" s="1">
        <v>0.0</v>
      </c>
      <c r="B1586" s="2" t="s">
        <v>3032</v>
      </c>
      <c r="C1586" s="1" t="s">
        <v>3033</v>
      </c>
      <c r="D1586" s="1" t="s">
        <v>1120</v>
      </c>
      <c r="E1586" s="1">
        <v>1.0</v>
      </c>
      <c r="F1586" s="1">
        <v>0.0</v>
      </c>
    </row>
    <row r="1587" ht="12.75" customHeight="1">
      <c r="A1587" s="1">
        <v>0.0</v>
      </c>
      <c r="B1587" s="2" t="s">
        <v>3034</v>
      </c>
      <c r="C1587" s="1" t="s">
        <v>3035</v>
      </c>
      <c r="D1587" s="1" t="s">
        <v>1120</v>
      </c>
      <c r="E1587" s="1">
        <v>1.0</v>
      </c>
      <c r="F1587" s="1">
        <v>0.0</v>
      </c>
    </row>
    <row r="1588" ht="12.75" customHeight="1">
      <c r="A1588" s="1">
        <v>0.0</v>
      </c>
      <c r="B1588" s="2" t="s">
        <v>3036</v>
      </c>
      <c r="C1588" s="1" t="s">
        <v>3037</v>
      </c>
      <c r="D1588" s="1" t="s">
        <v>1120</v>
      </c>
      <c r="E1588" s="1">
        <v>1.0</v>
      </c>
      <c r="F1588" s="1">
        <v>0.0</v>
      </c>
    </row>
    <row r="1589" ht="12.75" customHeight="1">
      <c r="A1589" s="1">
        <v>0.0</v>
      </c>
      <c r="B1589" s="2" t="s">
        <v>3038</v>
      </c>
      <c r="C1589" s="1" t="s">
        <v>3039</v>
      </c>
      <c r="D1589" s="1" t="s">
        <v>1120</v>
      </c>
      <c r="E1589" s="1">
        <v>1.0</v>
      </c>
      <c r="F1589" s="1">
        <v>0.0</v>
      </c>
    </row>
    <row r="1590" ht="12.75" customHeight="1">
      <c r="A1590" s="1">
        <v>0.0</v>
      </c>
      <c r="B1590" s="2" t="s">
        <v>3040</v>
      </c>
      <c r="C1590" s="1" t="s">
        <v>3041</v>
      </c>
      <c r="D1590" s="1" t="s">
        <v>1120</v>
      </c>
      <c r="E1590" s="1">
        <v>1.0</v>
      </c>
      <c r="F1590" s="1">
        <v>0.0</v>
      </c>
    </row>
    <row r="1591" ht="12.75" customHeight="1">
      <c r="A1591" s="1">
        <v>0.0</v>
      </c>
      <c r="B1591" s="2" t="s">
        <v>3042</v>
      </c>
      <c r="C1591" s="1" t="s">
        <v>3043</v>
      </c>
      <c r="D1591" s="1" t="s">
        <v>1120</v>
      </c>
      <c r="E1591" s="1">
        <v>1.0</v>
      </c>
      <c r="F1591" s="1">
        <v>0.0</v>
      </c>
    </row>
    <row r="1592" ht="12.75" customHeight="1">
      <c r="A1592" s="1">
        <v>0.0</v>
      </c>
      <c r="B1592" s="2" t="s">
        <v>3044</v>
      </c>
      <c r="C1592" s="1" t="s">
        <v>3045</v>
      </c>
      <c r="D1592" s="1" t="s">
        <v>1120</v>
      </c>
      <c r="E1592" s="1">
        <v>1.0</v>
      </c>
      <c r="F1592" s="1">
        <v>0.0</v>
      </c>
    </row>
    <row r="1593" ht="12.75" customHeight="1">
      <c r="A1593" s="1">
        <v>0.0</v>
      </c>
      <c r="B1593" s="2" t="s">
        <v>3046</v>
      </c>
      <c r="C1593" s="1" t="s">
        <v>3047</v>
      </c>
      <c r="D1593" s="1" t="s">
        <v>1120</v>
      </c>
      <c r="E1593" s="1">
        <v>1.0</v>
      </c>
      <c r="F1593" s="1">
        <v>0.0</v>
      </c>
    </row>
    <row r="1594" ht="12.75" customHeight="1">
      <c r="A1594" s="1">
        <v>0.0</v>
      </c>
      <c r="B1594" s="2" t="s">
        <v>3048</v>
      </c>
      <c r="C1594" s="1" t="s">
        <v>3049</v>
      </c>
      <c r="D1594" s="1" t="s">
        <v>1120</v>
      </c>
      <c r="E1594" s="1">
        <v>1.0</v>
      </c>
      <c r="F1594" s="1">
        <v>0.0</v>
      </c>
    </row>
    <row r="1595" ht="12.75" customHeight="1">
      <c r="A1595" s="1">
        <v>0.0</v>
      </c>
      <c r="B1595" s="2" t="s">
        <v>3050</v>
      </c>
      <c r="C1595" s="1" t="s">
        <v>3051</v>
      </c>
      <c r="D1595" s="1" t="s">
        <v>1120</v>
      </c>
      <c r="E1595" s="1">
        <v>1.0</v>
      </c>
      <c r="F1595" s="1">
        <v>0.0</v>
      </c>
    </row>
    <row r="1596" ht="12.75" customHeight="1">
      <c r="A1596" s="1">
        <v>0.0</v>
      </c>
      <c r="B1596" s="2" t="s">
        <v>3052</v>
      </c>
      <c r="C1596" s="1" t="s">
        <v>3053</v>
      </c>
      <c r="D1596" s="1" t="s">
        <v>1120</v>
      </c>
      <c r="E1596" s="1">
        <v>1.0</v>
      </c>
      <c r="F1596" s="1">
        <v>0.0</v>
      </c>
    </row>
    <row r="1597" ht="12.75" customHeight="1">
      <c r="A1597" s="1">
        <v>0.0</v>
      </c>
      <c r="B1597" s="2" t="s">
        <v>3054</v>
      </c>
      <c r="C1597" s="1" t="s">
        <v>3055</v>
      </c>
      <c r="D1597" s="1" t="s">
        <v>1120</v>
      </c>
      <c r="E1597" s="1">
        <v>1.0</v>
      </c>
      <c r="F1597" s="1">
        <v>0.0</v>
      </c>
    </row>
    <row r="1598" ht="12.75" customHeight="1">
      <c r="A1598" s="1">
        <v>0.0</v>
      </c>
      <c r="B1598" s="2" t="s">
        <v>3056</v>
      </c>
      <c r="C1598" s="1" t="s">
        <v>3057</v>
      </c>
      <c r="D1598" s="1" t="s">
        <v>1120</v>
      </c>
      <c r="E1598" s="1">
        <v>1.0</v>
      </c>
      <c r="F1598" s="1">
        <v>0.0</v>
      </c>
    </row>
    <row r="1599" ht="12.75" customHeight="1">
      <c r="A1599" s="1">
        <v>0.0</v>
      </c>
      <c r="B1599" s="2" t="s">
        <v>3058</v>
      </c>
      <c r="C1599" s="1" t="s">
        <v>3059</v>
      </c>
      <c r="D1599" s="1" t="s">
        <v>1120</v>
      </c>
      <c r="E1599" s="1">
        <v>1.0</v>
      </c>
      <c r="F1599" s="1">
        <v>0.0</v>
      </c>
    </row>
    <row r="1600" ht="12.75" customHeight="1">
      <c r="A1600" s="1">
        <v>0.0</v>
      </c>
      <c r="B1600" s="2" t="s">
        <v>3060</v>
      </c>
      <c r="C1600" s="1" t="s">
        <v>3061</v>
      </c>
      <c r="D1600" s="1" t="s">
        <v>1120</v>
      </c>
      <c r="E1600" s="1">
        <v>1.0</v>
      </c>
      <c r="F1600" s="1">
        <v>0.0</v>
      </c>
    </row>
    <row r="1601" ht="12.75" customHeight="1">
      <c r="A1601" s="1">
        <v>0.0</v>
      </c>
      <c r="B1601" s="2" t="s">
        <v>3062</v>
      </c>
      <c r="C1601" s="1" t="s">
        <v>3063</v>
      </c>
      <c r="D1601" s="1" t="s">
        <v>1120</v>
      </c>
      <c r="E1601" s="1">
        <v>1.0</v>
      </c>
      <c r="F1601" s="1">
        <v>0.0</v>
      </c>
    </row>
    <row r="1602" ht="12.75" customHeight="1">
      <c r="A1602" s="1">
        <v>0.0</v>
      </c>
      <c r="B1602" s="2" t="s">
        <v>3064</v>
      </c>
      <c r="C1602" s="1" t="s">
        <v>3065</v>
      </c>
      <c r="D1602" s="1" t="s">
        <v>1120</v>
      </c>
      <c r="E1602" s="1">
        <v>1.0</v>
      </c>
      <c r="F1602" s="1">
        <v>0.0</v>
      </c>
    </row>
    <row r="1603" ht="12.75" customHeight="1">
      <c r="A1603" s="1">
        <v>0.0</v>
      </c>
      <c r="B1603" s="2" t="s">
        <v>3066</v>
      </c>
      <c r="C1603" s="1" t="s">
        <v>3067</v>
      </c>
      <c r="D1603" s="1" t="s">
        <v>1120</v>
      </c>
      <c r="E1603" s="1">
        <v>1.0</v>
      </c>
      <c r="F1603" s="1">
        <v>0.0</v>
      </c>
    </row>
    <row r="1604" ht="12.75" customHeight="1">
      <c r="A1604" s="1">
        <v>0.0</v>
      </c>
      <c r="B1604" s="2" t="s">
        <v>3068</v>
      </c>
      <c r="C1604" s="1" t="s">
        <v>3069</v>
      </c>
      <c r="D1604" s="1" t="s">
        <v>1120</v>
      </c>
      <c r="E1604" s="1">
        <v>1.0</v>
      </c>
      <c r="F1604" s="1">
        <v>0.0</v>
      </c>
    </row>
    <row r="1605" ht="12.75" customHeight="1">
      <c r="A1605" s="1">
        <v>0.0</v>
      </c>
      <c r="B1605" s="2" t="s">
        <v>3070</v>
      </c>
      <c r="C1605" s="1" t="s">
        <v>3071</v>
      </c>
      <c r="D1605" s="1" t="s">
        <v>1120</v>
      </c>
      <c r="E1605" s="1">
        <v>1.0</v>
      </c>
      <c r="F1605" s="1">
        <v>0.0</v>
      </c>
    </row>
    <row r="1606" ht="12.75" customHeight="1">
      <c r="A1606" s="1">
        <v>0.0</v>
      </c>
      <c r="B1606" s="2" t="s">
        <v>3072</v>
      </c>
      <c r="C1606" s="1" t="s">
        <v>3073</v>
      </c>
      <c r="D1606" s="1" t="s">
        <v>1120</v>
      </c>
      <c r="E1606" s="1">
        <v>1.0</v>
      </c>
      <c r="F1606" s="1">
        <v>0.0</v>
      </c>
    </row>
    <row r="1607" ht="12.75" customHeight="1">
      <c r="A1607" s="1">
        <v>0.0</v>
      </c>
      <c r="B1607" s="2" t="s">
        <v>3074</v>
      </c>
      <c r="C1607" s="1" t="s">
        <v>3075</v>
      </c>
      <c r="D1607" s="1" t="s">
        <v>3076</v>
      </c>
      <c r="E1607" s="1">
        <v>1.0</v>
      </c>
      <c r="F1607" s="1">
        <v>0.0</v>
      </c>
    </row>
    <row r="1608" ht="12.75" customHeight="1">
      <c r="A1608" s="1">
        <v>0.0</v>
      </c>
      <c r="B1608" s="2" t="s">
        <v>3077</v>
      </c>
      <c r="C1608" s="1" t="s">
        <v>3078</v>
      </c>
      <c r="D1608" s="1" t="s">
        <v>3079</v>
      </c>
      <c r="E1608" s="1">
        <v>1.0</v>
      </c>
      <c r="F1608" s="1">
        <v>0.0</v>
      </c>
    </row>
    <row r="1609" ht="12.75" customHeight="1">
      <c r="A1609" s="1">
        <v>0.0</v>
      </c>
      <c r="B1609" s="2" t="s">
        <v>3080</v>
      </c>
      <c r="C1609" s="1" t="s">
        <v>3081</v>
      </c>
      <c r="D1609" s="1" t="s">
        <v>1418</v>
      </c>
      <c r="E1609" s="1">
        <v>1.0</v>
      </c>
      <c r="F1609" s="1">
        <v>0.0</v>
      </c>
    </row>
    <row r="1610" ht="12.75" customHeight="1">
      <c r="A1610" s="1">
        <v>0.0</v>
      </c>
      <c r="B1610" s="2" t="s">
        <v>3082</v>
      </c>
      <c r="C1610" s="1" t="s">
        <v>3083</v>
      </c>
      <c r="D1610" s="1" t="s">
        <v>3084</v>
      </c>
      <c r="E1610" s="1">
        <v>1.0</v>
      </c>
      <c r="F1610" s="1">
        <v>0.0</v>
      </c>
    </row>
    <row r="1611" ht="12.75" customHeight="1">
      <c r="A1611" s="1">
        <v>0.0</v>
      </c>
      <c r="B1611" s="2" t="s">
        <v>3085</v>
      </c>
      <c r="C1611" s="1" t="s">
        <v>3086</v>
      </c>
      <c r="D1611" s="1" t="s">
        <v>3087</v>
      </c>
      <c r="E1611" s="1">
        <v>1.0</v>
      </c>
      <c r="F1611" s="1">
        <v>0.0</v>
      </c>
    </row>
    <row r="1612" ht="12.75" customHeight="1">
      <c r="A1612" s="1">
        <v>0.0</v>
      </c>
      <c r="B1612" s="2">
        <v>1130823.0</v>
      </c>
      <c r="C1612" s="1" t="s">
        <v>3088</v>
      </c>
      <c r="D1612" s="1" t="s">
        <v>3089</v>
      </c>
      <c r="E1612" s="1">
        <v>1.0</v>
      </c>
      <c r="F1612" s="1">
        <v>0.0</v>
      </c>
    </row>
    <row r="1613" ht="12.75" customHeight="1">
      <c r="A1613" s="1">
        <v>0.0</v>
      </c>
      <c r="B1613" s="2" t="s">
        <v>3090</v>
      </c>
      <c r="C1613" s="1" t="s">
        <v>3091</v>
      </c>
      <c r="D1613" s="1" t="s">
        <v>3092</v>
      </c>
      <c r="E1613" s="1">
        <v>1.0</v>
      </c>
      <c r="F1613" s="1">
        <v>0.0</v>
      </c>
    </row>
    <row r="1614" ht="12.75" customHeight="1">
      <c r="A1614" s="1">
        <v>0.0</v>
      </c>
      <c r="B1614" s="2" t="s">
        <v>3093</v>
      </c>
      <c r="C1614" s="1" t="s">
        <v>3094</v>
      </c>
      <c r="D1614" s="1" t="s">
        <v>3095</v>
      </c>
      <c r="E1614" s="1">
        <v>1.0</v>
      </c>
      <c r="F1614" s="1">
        <v>0.0</v>
      </c>
    </row>
    <row r="1615" ht="12.75" customHeight="1">
      <c r="A1615" s="1">
        <v>0.0</v>
      </c>
      <c r="B1615" s="2" t="s">
        <v>3096</v>
      </c>
      <c r="C1615" s="1" t="s">
        <v>3097</v>
      </c>
      <c r="D1615" s="1" t="s">
        <v>3098</v>
      </c>
      <c r="E1615" s="1">
        <v>1.0</v>
      </c>
      <c r="F1615" s="1">
        <v>0.0</v>
      </c>
    </row>
    <row r="1616" ht="12.75" customHeight="1">
      <c r="A1616" s="1">
        <v>0.0</v>
      </c>
      <c r="B1616" s="2" t="s">
        <v>3099</v>
      </c>
      <c r="C1616" s="1" t="s">
        <v>2001</v>
      </c>
      <c r="D1616" s="1" t="s">
        <v>3100</v>
      </c>
      <c r="E1616" s="1">
        <v>1.0</v>
      </c>
      <c r="F1616" s="1">
        <v>0.0</v>
      </c>
    </row>
    <row r="1617" ht="12.75" customHeight="1">
      <c r="A1617" s="1">
        <v>0.0</v>
      </c>
      <c r="B1617" s="2" t="s">
        <v>3101</v>
      </c>
      <c r="C1617" s="1" t="s">
        <v>3102</v>
      </c>
      <c r="D1617" s="1" t="s">
        <v>3103</v>
      </c>
      <c r="E1617" s="1">
        <v>1.0</v>
      </c>
      <c r="F1617" s="1">
        <v>0.0</v>
      </c>
    </row>
    <row r="1618" ht="12.75" customHeight="1">
      <c r="A1618" s="1">
        <v>0.0</v>
      </c>
      <c r="B1618" s="2" t="s">
        <v>3104</v>
      </c>
      <c r="C1618" s="1" t="s">
        <v>3105</v>
      </c>
      <c r="D1618" s="1" t="s">
        <v>3106</v>
      </c>
      <c r="E1618" s="1">
        <v>1.0</v>
      </c>
      <c r="F1618" s="1">
        <v>0.0</v>
      </c>
    </row>
    <row r="1619" ht="12.75" customHeight="1">
      <c r="A1619" s="1">
        <v>0.0</v>
      </c>
      <c r="B1619" s="2">
        <v>563289.0</v>
      </c>
      <c r="C1619" s="1" t="s">
        <v>3107</v>
      </c>
      <c r="D1619" s="1" t="s">
        <v>3108</v>
      </c>
      <c r="E1619" s="1">
        <v>1.0</v>
      </c>
      <c r="F1619" s="1">
        <v>0.0</v>
      </c>
    </row>
    <row r="1620" ht="12.75" customHeight="1">
      <c r="A1620" s="1">
        <v>0.0</v>
      </c>
      <c r="B1620" s="2" t="s">
        <v>3109</v>
      </c>
      <c r="C1620" s="1" t="s">
        <v>3110</v>
      </c>
      <c r="D1620" s="1" t="s">
        <v>3111</v>
      </c>
      <c r="E1620" s="1">
        <v>1.0</v>
      </c>
      <c r="F1620" s="1">
        <v>0.0</v>
      </c>
    </row>
    <row r="1621" ht="12.75" customHeight="1">
      <c r="A1621" s="1">
        <v>0.0</v>
      </c>
      <c r="B1621" s="2">
        <v>564742.0</v>
      </c>
      <c r="C1621" s="1" t="s">
        <v>3112</v>
      </c>
      <c r="D1621" s="1" t="s">
        <v>3113</v>
      </c>
      <c r="E1621" s="1">
        <v>1.0</v>
      </c>
      <c r="F1621" s="1">
        <v>0.0</v>
      </c>
    </row>
    <row r="1622" ht="12.75" customHeight="1">
      <c r="A1622" s="1">
        <v>0.0</v>
      </c>
      <c r="B1622" s="2" t="s">
        <v>3114</v>
      </c>
      <c r="C1622" s="1" t="s">
        <v>3115</v>
      </c>
      <c r="D1622" s="1" t="s">
        <v>3116</v>
      </c>
      <c r="E1622" s="1">
        <v>1.0</v>
      </c>
      <c r="F1622" s="1">
        <v>0.0</v>
      </c>
    </row>
    <row r="1623" ht="12.75" customHeight="1">
      <c r="A1623" s="1">
        <v>0.0</v>
      </c>
      <c r="B1623" s="2" t="s">
        <v>3117</v>
      </c>
      <c r="C1623" s="1" t="s">
        <v>3118</v>
      </c>
      <c r="D1623" s="1" t="s">
        <v>3119</v>
      </c>
      <c r="E1623" s="1">
        <v>1.0</v>
      </c>
      <c r="F1623" s="1">
        <v>0.0</v>
      </c>
    </row>
    <row r="1624" ht="12.75" customHeight="1">
      <c r="A1624" s="1">
        <v>0.0</v>
      </c>
      <c r="B1624" s="2">
        <v>7480301.0</v>
      </c>
      <c r="C1624" s="1" t="s">
        <v>3120</v>
      </c>
      <c r="D1624" s="1" t="s">
        <v>3121</v>
      </c>
      <c r="E1624" s="1">
        <v>1.0</v>
      </c>
      <c r="F1624" s="1">
        <v>0.0</v>
      </c>
    </row>
    <row r="1625" ht="12.75" customHeight="1">
      <c r="A1625" s="1">
        <v>0.0</v>
      </c>
      <c r="B1625" s="2" t="s">
        <v>3122</v>
      </c>
      <c r="C1625" s="1" t="s">
        <v>3123</v>
      </c>
      <c r="D1625" s="1" t="s">
        <v>3124</v>
      </c>
      <c r="E1625" s="1">
        <v>1.0</v>
      </c>
      <c r="F1625" s="1">
        <v>0.0</v>
      </c>
    </row>
    <row r="1626" ht="12.75" customHeight="1">
      <c r="A1626" s="1">
        <v>0.0</v>
      </c>
      <c r="B1626" s="2" t="s">
        <v>3125</v>
      </c>
      <c r="C1626" s="1" t="s">
        <v>3126</v>
      </c>
      <c r="D1626" s="1" t="s">
        <v>3127</v>
      </c>
      <c r="E1626" s="1">
        <v>1.0</v>
      </c>
      <c r="F1626" s="1">
        <v>0.0</v>
      </c>
    </row>
    <row r="1627" ht="12.75" customHeight="1">
      <c r="A1627" s="1">
        <v>0.0</v>
      </c>
      <c r="B1627" s="2" t="s">
        <v>3128</v>
      </c>
      <c r="C1627" s="1" t="s">
        <v>3129</v>
      </c>
      <c r="D1627" s="1" t="s">
        <v>3130</v>
      </c>
      <c r="E1627" s="1">
        <v>1.0</v>
      </c>
      <c r="F1627" s="1">
        <v>0.0</v>
      </c>
    </row>
    <row r="1628" ht="12.75" customHeight="1">
      <c r="A1628" s="1">
        <v>0.0</v>
      </c>
      <c r="B1628" s="2" t="s">
        <v>3131</v>
      </c>
      <c r="C1628" s="1" t="s">
        <v>3132</v>
      </c>
      <c r="D1628" s="1" t="s">
        <v>3133</v>
      </c>
      <c r="E1628" s="1">
        <v>1.0</v>
      </c>
      <c r="F1628" s="1">
        <v>0.0</v>
      </c>
    </row>
    <row r="1629" ht="12.75" customHeight="1">
      <c r="A1629" s="1">
        <v>0.0</v>
      </c>
      <c r="B1629" s="2">
        <v>3801966.0</v>
      </c>
      <c r="C1629" s="1" t="s">
        <v>25</v>
      </c>
      <c r="D1629" s="1" t="s">
        <v>3134</v>
      </c>
      <c r="E1629" s="1">
        <v>1.0</v>
      </c>
      <c r="F1629" s="1">
        <v>0.0</v>
      </c>
    </row>
    <row r="1630" ht="12.75" customHeight="1">
      <c r="A1630" s="1">
        <v>0.0</v>
      </c>
      <c r="B1630" s="2">
        <v>3801968.0</v>
      </c>
      <c r="C1630" s="1" t="s">
        <v>25</v>
      </c>
      <c r="D1630" s="1" t="s">
        <v>3135</v>
      </c>
      <c r="E1630" s="1">
        <v>1.0</v>
      </c>
      <c r="F1630" s="1">
        <v>0.0</v>
      </c>
    </row>
    <row r="1631" ht="12.75" customHeight="1">
      <c r="A1631" s="1">
        <v>0.0</v>
      </c>
      <c r="B1631" s="2">
        <v>562266.0</v>
      </c>
      <c r="C1631" s="1" t="s">
        <v>3136</v>
      </c>
      <c r="D1631" s="1" t="s">
        <v>415</v>
      </c>
      <c r="E1631" s="1">
        <v>1.0</v>
      </c>
      <c r="F1631" s="1">
        <v>0.0</v>
      </c>
    </row>
    <row r="1632" ht="12.75" customHeight="1">
      <c r="A1632" s="1">
        <v>0.0</v>
      </c>
      <c r="B1632" s="2" t="s">
        <v>3137</v>
      </c>
      <c r="C1632" s="1" t="s">
        <v>3132</v>
      </c>
      <c r="D1632" s="1" t="s">
        <v>3138</v>
      </c>
      <c r="E1632" s="1">
        <v>1.0</v>
      </c>
      <c r="F1632" s="1">
        <v>0.0</v>
      </c>
    </row>
    <row r="1633" ht="12.75" customHeight="1">
      <c r="A1633" s="1">
        <v>0.0</v>
      </c>
      <c r="B1633" s="2" t="s">
        <v>3139</v>
      </c>
      <c r="C1633" s="1" t="s">
        <v>3140</v>
      </c>
      <c r="D1633" s="1" t="s">
        <v>3141</v>
      </c>
      <c r="E1633" s="1">
        <v>1.0</v>
      </c>
      <c r="F1633" s="1">
        <v>0.0</v>
      </c>
    </row>
    <row r="1634" ht="12.75" customHeight="1">
      <c r="A1634" s="1">
        <v>0.0</v>
      </c>
      <c r="B1634" s="2" t="s">
        <v>3142</v>
      </c>
      <c r="C1634" s="1" t="s">
        <v>3132</v>
      </c>
      <c r="D1634" s="1" t="s">
        <v>3143</v>
      </c>
      <c r="E1634" s="1">
        <v>1.0</v>
      </c>
      <c r="F1634" s="1">
        <v>0.0</v>
      </c>
    </row>
    <row r="1635" ht="12.75" customHeight="1">
      <c r="A1635" s="1">
        <v>0.0</v>
      </c>
      <c r="B1635" s="2" t="s">
        <v>3144</v>
      </c>
      <c r="C1635" s="1" t="s">
        <v>3145</v>
      </c>
      <c r="D1635" s="1" t="s">
        <v>3146</v>
      </c>
      <c r="E1635" s="1">
        <v>1.0</v>
      </c>
      <c r="F1635" s="1">
        <v>0.0</v>
      </c>
    </row>
    <row r="1636" ht="12.75" customHeight="1">
      <c r="A1636" s="1">
        <v>0.0</v>
      </c>
      <c r="B1636" s="2" t="s">
        <v>3147</v>
      </c>
      <c r="C1636" s="1" t="s">
        <v>3148</v>
      </c>
      <c r="D1636" s="1" t="s">
        <v>3149</v>
      </c>
      <c r="E1636" s="1">
        <v>1.0</v>
      </c>
      <c r="F1636" s="1">
        <v>0.0</v>
      </c>
    </row>
    <row r="1637" ht="12.75" customHeight="1">
      <c r="A1637" s="1">
        <v>0.0</v>
      </c>
      <c r="B1637" s="2">
        <v>563280.0</v>
      </c>
      <c r="C1637" s="1" t="s">
        <v>3150</v>
      </c>
      <c r="D1637" s="1" t="s">
        <v>3151</v>
      </c>
      <c r="E1637" s="1">
        <v>1.0</v>
      </c>
      <c r="F1637" s="1">
        <v>0.0</v>
      </c>
    </row>
    <row r="1638" ht="12.75" customHeight="1">
      <c r="A1638" s="1">
        <v>0.0</v>
      </c>
      <c r="B1638" s="2" t="s">
        <v>3152</v>
      </c>
      <c r="C1638" s="1" t="s">
        <v>3153</v>
      </c>
      <c r="D1638" s="1" t="s">
        <v>3151</v>
      </c>
      <c r="E1638" s="1">
        <v>1.0</v>
      </c>
      <c r="F1638" s="1">
        <v>0.0</v>
      </c>
    </row>
    <row r="1639" ht="12.75" customHeight="1">
      <c r="A1639" s="1">
        <v>0.0</v>
      </c>
      <c r="B1639" s="2" t="s">
        <v>3154</v>
      </c>
      <c r="C1639" s="1" t="s">
        <v>3155</v>
      </c>
      <c r="D1639" s="1" t="s">
        <v>3151</v>
      </c>
      <c r="E1639" s="1">
        <v>1.0</v>
      </c>
      <c r="F1639" s="1">
        <v>0.0</v>
      </c>
    </row>
    <row r="1640" ht="12.75" customHeight="1">
      <c r="A1640" s="1">
        <v>0.0</v>
      </c>
      <c r="B1640" s="2" t="s">
        <v>3156</v>
      </c>
      <c r="C1640" s="1" t="s">
        <v>3157</v>
      </c>
      <c r="D1640" s="1" t="s">
        <v>3151</v>
      </c>
      <c r="E1640" s="1">
        <v>1.0</v>
      </c>
      <c r="F1640" s="1">
        <v>0.0</v>
      </c>
    </row>
    <row r="1641" ht="12.75" customHeight="1">
      <c r="A1641" s="1">
        <v>0.0</v>
      </c>
      <c r="B1641" s="2">
        <v>6459007.0</v>
      </c>
      <c r="C1641" s="1" t="s">
        <v>3151</v>
      </c>
      <c r="D1641" s="1" t="s">
        <v>3158</v>
      </c>
      <c r="E1641" s="1">
        <v>1.0</v>
      </c>
      <c r="F1641" s="1">
        <v>0.0</v>
      </c>
    </row>
    <row r="1642" ht="12.75" customHeight="1">
      <c r="A1642" s="1">
        <v>0.0</v>
      </c>
      <c r="B1642" s="2" t="s">
        <v>3159</v>
      </c>
      <c r="C1642" s="1" t="s">
        <v>3160</v>
      </c>
      <c r="D1642" s="1" t="s">
        <v>3161</v>
      </c>
      <c r="E1642" s="1">
        <v>1.0</v>
      </c>
      <c r="F1642" s="1">
        <v>0.0</v>
      </c>
    </row>
    <row r="1643" ht="12.75" customHeight="1">
      <c r="A1643" s="1">
        <v>0.0</v>
      </c>
      <c r="B1643" s="2" t="s">
        <v>3162</v>
      </c>
      <c r="C1643" s="1" t="s">
        <v>3163</v>
      </c>
      <c r="D1643" s="1" t="s">
        <v>3161</v>
      </c>
      <c r="E1643" s="1">
        <v>1.0</v>
      </c>
      <c r="F1643" s="1">
        <v>0.0</v>
      </c>
    </row>
    <row r="1644" ht="12.75" customHeight="1">
      <c r="A1644" s="1">
        <v>0.0</v>
      </c>
      <c r="B1644" s="2">
        <v>3800479.0</v>
      </c>
      <c r="C1644" s="1" t="s">
        <v>3164</v>
      </c>
      <c r="D1644" s="1" t="s">
        <v>3165</v>
      </c>
      <c r="E1644" s="1">
        <v>1.0</v>
      </c>
      <c r="F1644" s="1">
        <v>0.0</v>
      </c>
    </row>
    <row r="1645" ht="12.75" customHeight="1">
      <c r="A1645" s="1">
        <v>0.0</v>
      </c>
      <c r="B1645" s="2" t="s">
        <v>3166</v>
      </c>
      <c r="C1645" s="1" t="s">
        <v>3167</v>
      </c>
      <c r="D1645" s="1" t="s">
        <v>3168</v>
      </c>
      <c r="E1645" s="1">
        <v>1.0</v>
      </c>
      <c r="F1645" s="1">
        <v>0.0</v>
      </c>
    </row>
    <row r="1646" ht="12.75" customHeight="1">
      <c r="A1646" s="1">
        <v>0.0</v>
      </c>
      <c r="B1646" s="2" t="s">
        <v>3169</v>
      </c>
      <c r="C1646" s="1" t="s">
        <v>3170</v>
      </c>
      <c r="D1646" s="1" t="s">
        <v>3171</v>
      </c>
      <c r="E1646" s="1">
        <v>1.0</v>
      </c>
      <c r="F1646" s="1">
        <v>0.0</v>
      </c>
    </row>
    <row r="1647" ht="12.75" customHeight="1">
      <c r="A1647" s="1">
        <v>0.0</v>
      </c>
      <c r="B1647" s="2">
        <v>1130828.0</v>
      </c>
      <c r="C1647" s="1" t="s">
        <v>3172</v>
      </c>
      <c r="D1647" s="1" t="s">
        <v>3173</v>
      </c>
      <c r="E1647" s="1">
        <v>1.0</v>
      </c>
      <c r="F1647" s="1">
        <v>0.0</v>
      </c>
    </row>
    <row r="1648" ht="12.75" customHeight="1">
      <c r="A1648" s="1">
        <v>0.0</v>
      </c>
      <c r="B1648" s="2" t="s">
        <v>3174</v>
      </c>
      <c r="C1648" s="1" t="s">
        <v>3175</v>
      </c>
      <c r="D1648" s="1" t="s">
        <v>3176</v>
      </c>
      <c r="E1648" s="1">
        <v>1.0</v>
      </c>
      <c r="F1648" s="1">
        <v>0.0</v>
      </c>
    </row>
    <row r="1649" ht="12.75" customHeight="1">
      <c r="A1649" s="1">
        <v>0.0</v>
      </c>
      <c r="B1649" s="2" t="s">
        <v>3177</v>
      </c>
      <c r="C1649" s="1" t="s">
        <v>3178</v>
      </c>
      <c r="D1649" s="1" t="s">
        <v>3179</v>
      </c>
      <c r="E1649" s="1">
        <v>1.0</v>
      </c>
      <c r="F1649" s="1">
        <v>0.0</v>
      </c>
    </row>
    <row r="1650" ht="12.75" customHeight="1">
      <c r="A1650" s="1">
        <v>0.0</v>
      </c>
      <c r="B1650" s="2" t="s">
        <v>3180</v>
      </c>
      <c r="C1650" s="1" t="s">
        <v>3178</v>
      </c>
      <c r="D1650" s="1" t="s">
        <v>3181</v>
      </c>
      <c r="E1650" s="1">
        <v>1.0</v>
      </c>
      <c r="F1650" s="1">
        <v>0.0</v>
      </c>
    </row>
    <row r="1651" ht="12.75" customHeight="1">
      <c r="A1651" s="1">
        <v>0.0</v>
      </c>
      <c r="B1651" s="2" t="s">
        <v>3182</v>
      </c>
      <c r="C1651" s="1" t="s">
        <v>3183</v>
      </c>
      <c r="D1651" s="1" t="s">
        <v>3184</v>
      </c>
      <c r="E1651" s="1">
        <v>1.0</v>
      </c>
      <c r="F1651" s="1">
        <v>0.0</v>
      </c>
    </row>
    <row r="1652" ht="12.75" customHeight="1">
      <c r="A1652" s="1">
        <v>0.0</v>
      </c>
      <c r="B1652" s="2" t="s">
        <v>3185</v>
      </c>
      <c r="C1652" s="1" t="s">
        <v>3186</v>
      </c>
      <c r="D1652" s="1" t="s">
        <v>3187</v>
      </c>
      <c r="E1652" s="1">
        <v>1.0</v>
      </c>
      <c r="F1652" s="1">
        <v>0.0</v>
      </c>
    </row>
    <row r="1653" ht="12.75" customHeight="1">
      <c r="A1653" s="1">
        <v>0.0</v>
      </c>
      <c r="B1653" s="2" t="s">
        <v>3188</v>
      </c>
      <c r="C1653" s="1" t="s">
        <v>3189</v>
      </c>
      <c r="D1653" s="1" t="s">
        <v>613</v>
      </c>
      <c r="E1653" s="1">
        <v>1.0</v>
      </c>
      <c r="F1653" s="1">
        <v>0.0</v>
      </c>
    </row>
    <row r="1654" ht="12.75" customHeight="1">
      <c r="A1654" s="1">
        <v>0.0</v>
      </c>
      <c r="B1654" s="2">
        <v>563307.0</v>
      </c>
      <c r="C1654" s="1" t="s">
        <v>3190</v>
      </c>
      <c r="D1654" s="1" t="s">
        <v>3191</v>
      </c>
      <c r="E1654" s="1">
        <v>1.0</v>
      </c>
      <c r="F1654" s="1">
        <v>0.0</v>
      </c>
    </row>
    <row r="1655" ht="12.75" customHeight="1">
      <c r="A1655" s="1">
        <v>0.0</v>
      </c>
      <c r="B1655" s="2">
        <v>1130818.0</v>
      </c>
      <c r="C1655" s="1" t="s">
        <v>3192</v>
      </c>
      <c r="D1655" s="1" t="s">
        <v>3193</v>
      </c>
      <c r="E1655" s="1">
        <v>1.0</v>
      </c>
      <c r="F1655" s="1">
        <v>0.0</v>
      </c>
    </row>
    <row r="1656" ht="12.75" customHeight="1">
      <c r="A1656" s="1">
        <v>0.0</v>
      </c>
      <c r="B1656" s="2">
        <v>3801188.0</v>
      </c>
      <c r="C1656" s="1" t="s">
        <v>3194</v>
      </c>
      <c r="D1656" s="1" t="s">
        <v>3195</v>
      </c>
      <c r="E1656" s="1">
        <v>1.0</v>
      </c>
      <c r="F1656" s="1">
        <v>0.0</v>
      </c>
    </row>
    <row r="1657" ht="12.75" customHeight="1">
      <c r="A1657" s="1">
        <v>0.0</v>
      </c>
      <c r="B1657" s="2" t="s">
        <v>3196</v>
      </c>
      <c r="C1657" s="1" t="s">
        <v>2214</v>
      </c>
      <c r="D1657" s="1" t="s">
        <v>3197</v>
      </c>
      <c r="E1657" s="1">
        <v>1.0</v>
      </c>
      <c r="F1657" s="1">
        <v>0.0</v>
      </c>
    </row>
    <row r="1658" ht="12.75" customHeight="1">
      <c r="A1658" s="1">
        <v>0.0</v>
      </c>
      <c r="B1658" s="2">
        <v>5.647E8</v>
      </c>
      <c r="C1658" s="1" t="s">
        <v>3198</v>
      </c>
      <c r="D1658" s="1" t="s">
        <v>3199</v>
      </c>
      <c r="E1658" s="1">
        <v>1.0</v>
      </c>
      <c r="F1658" s="1">
        <v>0.0</v>
      </c>
    </row>
    <row r="1659" ht="12.75" customHeight="1">
      <c r="A1659" s="1">
        <v>0.0</v>
      </c>
      <c r="B1659" s="2" t="s">
        <v>3200</v>
      </c>
      <c r="C1659" s="1" t="s">
        <v>3201</v>
      </c>
      <c r="D1659" s="1" t="s">
        <v>3202</v>
      </c>
      <c r="E1659" s="1">
        <v>1.0</v>
      </c>
      <c r="F1659" s="1">
        <v>0.0</v>
      </c>
    </row>
    <row r="1660" ht="12.75" customHeight="1">
      <c r="A1660" s="1">
        <v>0.0</v>
      </c>
      <c r="B1660" s="2" t="s">
        <v>3203</v>
      </c>
      <c r="C1660" s="1" t="s">
        <v>3204</v>
      </c>
      <c r="D1660" s="1" t="s">
        <v>3205</v>
      </c>
      <c r="E1660" s="1">
        <v>1.0</v>
      </c>
      <c r="F1660" s="1">
        <v>0.0</v>
      </c>
    </row>
    <row r="1661" ht="12.75" customHeight="1">
      <c r="A1661" s="1">
        <v>0.0</v>
      </c>
      <c r="B1661" s="2">
        <v>564778.0</v>
      </c>
      <c r="C1661" s="1" t="s">
        <v>1365</v>
      </c>
      <c r="D1661" s="1" t="s">
        <v>3206</v>
      </c>
      <c r="E1661" s="1">
        <v>1.0</v>
      </c>
      <c r="F1661" s="1">
        <v>0.0</v>
      </c>
    </row>
    <row r="1662" ht="12.75" customHeight="1">
      <c r="A1662" s="1">
        <v>0.0</v>
      </c>
      <c r="B1662" s="2">
        <v>563958.0</v>
      </c>
      <c r="C1662" s="1" t="s">
        <v>3207</v>
      </c>
      <c r="D1662" s="1" t="s">
        <v>3208</v>
      </c>
      <c r="E1662" s="1">
        <v>1.0</v>
      </c>
      <c r="F1662" s="1">
        <v>0.0</v>
      </c>
    </row>
    <row r="1663" ht="12.75" customHeight="1">
      <c r="A1663" s="1">
        <v>0.0</v>
      </c>
      <c r="B1663" s="2">
        <v>6100202.0</v>
      </c>
      <c r="C1663" s="1" t="s">
        <v>3209</v>
      </c>
      <c r="D1663" s="1" t="s">
        <v>3210</v>
      </c>
      <c r="E1663" s="1">
        <v>1.0</v>
      </c>
      <c r="F1663" s="1">
        <v>0.0</v>
      </c>
    </row>
    <row r="1664" ht="12.75" customHeight="1">
      <c r="A1664" s="1">
        <v>0.0</v>
      </c>
      <c r="B1664" s="2" t="s">
        <v>3211</v>
      </c>
      <c r="C1664" s="1" t="s">
        <v>3212</v>
      </c>
      <c r="D1664" s="1" t="s">
        <v>3213</v>
      </c>
      <c r="E1664" s="1">
        <v>1.0</v>
      </c>
      <c r="F1664" s="1">
        <v>0.0</v>
      </c>
    </row>
    <row r="1665" ht="12.75" customHeight="1">
      <c r="A1665" s="1">
        <v>0.0</v>
      </c>
      <c r="B1665" s="2" t="s">
        <v>3214</v>
      </c>
      <c r="C1665" s="1" t="s">
        <v>3215</v>
      </c>
      <c r="D1665" s="1" t="s">
        <v>3216</v>
      </c>
      <c r="E1665" s="1">
        <v>1.0</v>
      </c>
      <c r="F1665" s="1">
        <v>0.0</v>
      </c>
    </row>
    <row r="1666" ht="12.75" customHeight="1">
      <c r="A1666" s="1">
        <v>0.0</v>
      </c>
      <c r="B1666" s="2" t="s">
        <v>3217</v>
      </c>
      <c r="C1666" s="1" t="s">
        <v>3218</v>
      </c>
      <c r="D1666" s="1" t="s">
        <v>3219</v>
      </c>
      <c r="E1666" s="1">
        <v>1.0</v>
      </c>
      <c r="F1666" s="1">
        <v>0.0</v>
      </c>
    </row>
    <row r="1667" ht="12.75" customHeight="1">
      <c r="A1667" s="1">
        <v>0.0</v>
      </c>
      <c r="B1667" s="2" t="s">
        <v>3220</v>
      </c>
      <c r="C1667" s="1" t="s">
        <v>3221</v>
      </c>
      <c r="D1667" s="1" t="s">
        <v>3222</v>
      </c>
      <c r="E1667" s="1">
        <v>1.0</v>
      </c>
      <c r="F1667" s="1">
        <v>0.0</v>
      </c>
    </row>
    <row r="1668" ht="12.75" customHeight="1">
      <c r="A1668" s="1">
        <v>0.0</v>
      </c>
      <c r="B1668" s="2" t="s">
        <v>3223</v>
      </c>
      <c r="C1668" s="1" t="s">
        <v>3224</v>
      </c>
      <c r="D1668" s="1" t="s">
        <v>3225</v>
      </c>
      <c r="E1668" s="1">
        <v>1.0</v>
      </c>
      <c r="F1668" s="1">
        <v>0.0</v>
      </c>
    </row>
    <row r="1669" ht="12.75" customHeight="1">
      <c r="A1669" s="1">
        <v>0.0</v>
      </c>
      <c r="B1669" s="2">
        <v>3321204.0</v>
      </c>
      <c r="C1669" s="1" t="s">
        <v>1163</v>
      </c>
      <c r="D1669" s="1" t="s">
        <v>3226</v>
      </c>
      <c r="E1669" s="1">
        <v>1.0</v>
      </c>
      <c r="F1669" s="1">
        <v>0.0</v>
      </c>
    </row>
    <row r="1670" ht="12.75" customHeight="1">
      <c r="A1670" s="1">
        <v>0.0</v>
      </c>
      <c r="B1670" s="2">
        <v>3321210.0</v>
      </c>
      <c r="C1670" s="1" t="s">
        <v>1163</v>
      </c>
      <c r="D1670" s="1" t="s">
        <v>418</v>
      </c>
      <c r="E1670" s="1">
        <v>1.0</v>
      </c>
      <c r="F1670" s="1">
        <v>0.0</v>
      </c>
    </row>
    <row r="1671" ht="12.75" customHeight="1">
      <c r="A1671" s="1">
        <v>0.0</v>
      </c>
      <c r="B1671" s="2">
        <v>9620212.0</v>
      </c>
      <c r="C1671" s="1" t="s">
        <v>3227</v>
      </c>
      <c r="D1671" s="1" t="s">
        <v>418</v>
      </c>
      <c r="E1671" s="1">
        <v>1.0</v>
      </c>
      <c r="F1671" s="1">
        <v>0.0</v>
      </c>
    </row>
    <row r="1672" ht="12.75" customHeight="1">
      <c r="A1672" s="1">
        <v>0.0</v>
      </c>
      <c r="B1672" s="2" t="s">
        <v>3228</v>
      </c>
      <c r="C1672" s="1" t="s">
        <v>2855</v>
      </c>
      <c r="D1672" s="1" t="s">
        <v>3229</v>
      </c>
      <c r="E1672" s="1">
        <v>1.0</v>
      </c>
      <c r="F1672" s="1">
        <v>0.0</v>
      </c>
    </row>
    <row r="1673" ht="12.75" customHeight="1">
      <c r="A1673" s="1">
        <v>0.0</v>
      </c>
      <c r="B1673" s="2">
        <v>564750.0</v>
      </c>
      <c r="C1673" s="1" t="s">
        <v>3230</v>
      </c>
      <c r="D1673" s="1" t="s">
        <v>3231</v>
      </c>
      <c r="E1673" s="1">
        <v>1.0</v>
      </c>
      <c r="F1673" s="1">
        <v>0.0</v>
      </c>
    </row>
    <row r="1674" ht="12.75" customHeight="1">
      <c r="A1674" s="1">
        <v>0.0</v>
      </c>
      <c r="B1674" s="2">
        <v>562281.0</v>
      </c>
      <c r="C1674" s="1" t="s">
        <v>3232</v>
      </c>
      <c r="D1674" s="1" t="s">
        <v>1172</v>
      </c>
      <c r="E1674" s="1">
        <v>1.0</v>
      </c>
      <c r="F1674" s="1">
        <v>0.0</v>
      </c>
    </row>
    <row r="1675" ht="12.75" customHeight="1">
      <c r="A1675" s="1">
        <v>0.0</v>
      </c>
      <c r="B1675" s="2">
        <v>564726.0</v>
      </c>
      <c r="C1675" s="1" t="s">
        <v>765</v>
      </c>
      <c r="D1675" s="1" t="s">
        <v>1172</v>
      </c>
      <c r="E1675" s="1">
        <v>1.0</v>
      </c>
      <c r="F1675" s="1">
        <v>0.0</v>
      </c>
    </row>
    <row r="1676" ht="12.75" customHeight="1">
      <c r="A1676" s="1">
        <v>0.0</v>
      </c>
      <c r="B1676" s="2" t="s">
        <v>3233</v>
      </c>
      <c r="C1676" s="1" t="s">
        <v>3234</v>
      </c>
      <c r="D1676" s="1" t="s">
        <v>3235</v>
      </c>
      <c r="E1676" s="1">
        <v>1.0</v>
      </c>
      <c r="F1676" s="1">
        <v>0.0</v>
      </c>
    </row>
    <row r="1677" ht="12.75" customHeight="1">
      <c r="A1677" s="1">
        <v>0.0</v>
      </c>
      <c r="B1677" s="2">
        <v>2860101.0</v>
      </c>
      <c r="C1677" s="1" t="s">
        <v>3236</v>
      </c>
      <c r="D1677" s="1" t="s">
        <v>3237</v>
      </c>
      <c r="E1677" s="1">
        <v>1.0</v>
      </c>
      <c r="F1677" s="1">
        <v>0.0</v>
      </c>
    </row>
    <row r="1678" ht="12.75" customHeight="1">
      <c r="A1678" s="1">
        <v>0.0</v>
      </c>
      <c r="B1678" s="2" t="s">
        <v>3238</v>
      </c>
      <c r="C1678" s="1" t="s">
        <v>3239</v>
      </c>
      <c r="D1678" s="1" t="s">
        <v>3240</v>
      </c>
      <c r="E1678" s="1">
        <v>1.0</v>
      </c>
      <c r="F1678" s="1">
        <v>0.0</v>
      </c>
    </row>
    <row r="1679" ht="12.75" customHeight="1">
      <c r="A1679" s="1">
        <v>0.0</v>
      </c>
      <c r="B1679" s="2" t="s">
        <v>3241</v>
      </c>
      <c r="C1679" s="1" t="s">
        <v>3242</v>
      </c>
      <c r="D1679" s="1" t="s">
        <v>3243</v>
      </c>
      <c r="E1679" s="1">
        <v>1.0</v>
      </c>
      <c r="F1679" s="1">
        <v>0.0</v>
      </c>
    </row>
    <row r="1680" ht="12.75" customHeight="1">
      <c r="A1680" s="1">
        <v>0.0</v>
      </c>
      <c r="B1680" s="2" t="s">
        <v>3244</v>
      </c>
      <c r="C1680" s="1" t="s">
        <v>3245</v>
      </c>
      <c r="D1680" s="1" t="s">
        <v>3246</v>
      </c>
      <c r="E1680" s="1">
        <v>1.0</v>
      </c>
      <c r="F1680" s="1">
        <v>0.0</v>
      </c>
    </row>
    <row r="1681" ht="12.75" customHeight="1">
      <c r="A1681" s="1">
        <v>0.0</v>
      </c>
      <c r="B1681" s="2" t="s">
        <v>3247</v>
      </c>
      <c r="C1681" s="1" t="s">
        <v>3248</v>
      </c>
      <c r="D1681" s="1" t="s">
        <v>1184</v>
      </c>
      <c r="E1681" s="1">
        <v>1.0</v>
      </c>
      <c r="F1681" s="1">
        <v>0.0</v>
      </c>
    </row>
    <row r="1682" ht="12.75" customHeight="1">
      <c r="A1682" s="1">
        <v>0.0</v>
      </c>
      <c r="B1682" s="2" t="s">
        <v>3249</v>
      </c>
      <c r="C1682" s="1" t="s">
        <v>3250</v>
      </c>
      <c r="D1682" s="1" t="s">
        <v>1184</v>
      </c>
      <c r="E1682" s="1">
        <v>1.0</v>
      </c>
      <c r="F1682" s="1">
        <v>0.0</v>
      </c>
    </row>
    <row r="1683" ht="12.75" customHeight="1">
      <c r="A1683" s="1">
        <v>0.0</v>
      </c>
      <c r="B1683" s="2" t="s">
        <v>3251</v>
      </c>
      <c r="C1683" s="1" t="s">
        <v>3252</v>
      </c>
      <c r="D1683" s="1" t="s">
        <v>1184</v>
      </c>
      <c r="E1683" s="1">
        <v>1.0</v>
      </c>
      <c r="F1683" s="1">
        <v>0.0</v>
      </c>
    </row>
    <row r="1684" ht="12.75" customHeight="1">
      <c r="A1684" s="1">
        <v>0.0</v>
      </c>
      <c r="B1684" s="2" t="s">
        <v>3253</v>
      </c>
      <c r="C1684" s="1" t="s">
        <v>3254</v>
      </c>
      <c r="D1684" s="1" t="s">
        <v>3255</v>
      </c>
      <c r="E1684" s="1">
        <v>1.0</v>
      </c>
      <c r="F1684" s="1">
        <v>0.0</v>
      </c>
    </row>
    <row r="1685" ht="12.75" customHeight="1">
      <c r="A1685" s="1">
        <v>0.0</v>
      </c>
      <c r="B1685" s="2">
        <v>5.62E11</v>
      </c>
      <c r="C1685" s="1" t="s">
        <v>261</v>
      </c>
      <c r="D1685" s="1" t="s">
        <v>3256</v>
      </c>
      <c r="E1685" s="1">
        <v>1.0</v>
      </c>
      <c r="F1685" s="1">
        <v>0.0</v>
      </c>
    </row>
    <row r="1686" ht="12.75" customHeight="1">
      <c r="A1686" s="1">
        <v>0.0</v>
      </c>
      <c r="B1686" s="2" t="s">
        <v>3257</v>
      </c>
      <c r="C1686" s="1" t="s">
        <v>3258</v>
      </c>
      <c r="D1686" s="1" t="s">
        <v>3256</v>
      </c>
      <c r="E1686" s="1">
        <v>1.0</v>
      </c>
      <c r="F1686" s="1">
        <v>0.0</v>
      </c>
    </row>
    <row r="1687" ht="12.75" customHeight="1">
      <c r="A1687" s="1">
        <v>0.0</v>
      </c>
      <c r="B1687" s="2" t="s">
        <v>3259</v>
      </c>
      <c r="C1687" s="1" t="s">
        <v>3260</v>
      </c>
      <c r="D1687" s="1" t="s">
        <v>3256</v>
      </c>
      <c r="E1687" s="1">
        <v>1.0</v>
      </c>
      <c r="F1687" s="1">
        <v>0.0</v>
      </c>
    </row>
    <row r="1688" ht="12.75" customHeight="1">
      <c r="A1688" s="1">
        <v>0.0</v>
      </c>
      <c r="B1688" s="2" t="s">
        <v>3261</v>
      </c>
      <c r="C1688" s="1" t="s">
        <v>3262</v>
      </c>
      <c r="D1688" s="1" t="s">
        <v>3256</v>
      </c>
      <c r="E1688" s="1">
        <v>1.0</v>
      </c>
      <c r="F1688" s="1">
        <v>0.0</v>
      </c>
    </row>
    <row r="1689" ht="12.75" customHeight="1">
      <c r="A1689" s="1">
        <v>0.0</v>
      </c>
      <c r="B1689" s="2" t="s">
        <v>3263</v>
      </c>
      <c r="C1689" s="1" t="s">
        <v>3264</v>
      </c>
      <c r="D1689" s="1" t="s">
        <v>3256</v>
      </c>
      <c r="E1689" s="1">
        <v>1.0</v>
      </c>
      <c r="F1689" s="1">
        <v>0.0</v>
      </c>
    </row>
    <row r="1690" ht="12.75" customHeight="1">
      <c r="A1690" s="1">
        <v>0.0</v>
      </c>
      <c r="B1690" s="2" t="s">
        <v>3265</v>
      </c>
      <c r="C1690" s="1" t="s">
        <v>3266</v>
      </c>
      <c r="D1690" s="1" t="s">
        <v>3256</v>
      </c>
      <c r="E1690" s="1">
        <v>1.0</v>
      </c>
      <c r="F1690" s="1">
        <v>0.0</v>
      </c>
    </row>
    <row r="1691" ht="12.75" customHeight="1">
      <c r="A1691" s="1">
        <v>0.0</v>
      </c>
      <c r="B1691" s="2" t="s">
        <v>3267</v>
      </c>
      <c r="C1691" s="1" t="s">
        <v>3268</v>
      </c>
      <c r="D1691" s="1" t="s">
        <v>3256</v>
      </c>
      <c r="E1691" s="1">
        <v>1.0</v>
      </c>
      <c r="F1691" s="1">
        <v>0.0</v>
      </c>
    </row>
    <row r="1692" ht="12.75" customHeight="1">
      <c r="A1692" s="1">
        <v>0.0</v>
      </c>
      <c r="B1692" s="2" t="s">
        <v>3269</v>
      </c>
      <c r="C1692" s="1" t="s">
        <v>3270</v>
      </c>
      <c r="D1692" s="1" t="s">
        <v>3256</v>
      </c>
      <c r="E1692" s="1">
        <v>1.0</v>
      </c>
      <c r="F1692" s="1">
        <v>0.0</v>
      </c>
    </row>
    <row r="1693" ht="12.75" customHeight="1">
      <c r="A1693" s="1">
        <v>0.0</v>
      </c>
      <c r="B1693" s="2" t="s">
        <v>3271</v>
      </c>
      <c r="C1693" s="1" t="s">
        <v>3272</v>
      </c>
      <c r="D1693" s="1" t="s">
        <v>3256</v>
      </c>
      <c r="E1693" s="1">
        <v>1.0</v>
      </c>
      <c r="F1693" s="1">
        <v>0.0</v>
      </c>
    </row>
    <row r="1694" ht="12.75" customHeight="1">
      <c r="A1694" s="1">
        <v>0.0</v>
      </c>
      <c r="B1694" s="2" t="s">
        <v>3273</v>
      </c>
      <c r="C1694" s="1" t="s">
        <v>3274</v>
      </c>
      <c r="D1694" s="1" t="s">
        <v>3256</v>
      </c>
      <c r="E1694" s="1">
        <v>1.0</v>
      </c>
      <c r="F1694" s="1">
        <v>0.0</v>
      </c>
    </row>
    <row r="1695" ht="12.75" customHeight="1">
      <c r="A1695" s="1">
        <v>0.0</v>
      </c>
      <c r="B1695" s="2" t="s">
        <v>3275</v>
      </c>
      <c r="C1695" s="1" t="s">
        <v>3276</v>
      </c>
      <c r="D1695" s="1" t="s">
        <v>3256</v>
      </c>
      <c r="E1695" s="1">
        <v>1.0</v>
      </c>
      <c r="F1695" s="1">
        <v>0.0</v>
      </c>
    </row>
    <row r="1696" ht="12.75" customHeight="1">
      <c r="A1696" s="1">
        <v>0.0</v>
      </c>
      <c r="B1696" s="2" t="s">
        <v>3277</v>
      </c>
      <c r="C1696" s="1" t="s">
        <v>3278</v>
      </c>
      <c r="D1696" s="1" t="s">
        <v>3256</v>
      </c>
      <c r="E1696" s="1">
        <v>1.0</v>
      </c>
      <c r="F1696" s="1">
        <v>0.0</v>
      </c>
    </row>
    <row r="1697" ht="12.75" customHeight="1">
      <c r="A1697" s="1">
        <v>0.0</v>
      </c>
      <c r="B1697" s="2" t="s">
        <v>3279</v>
      </c>
      <c r="C1697" s="1" t="s">
        <v>3280</v>
      </c>
      <c r="D1697" s="1" t="s">
        <v>3256</v>
      </c>
      <c r="E1697" s="1">
        <v>1.0</v>
      </c>
      <c r="F1697" s="1">
        <v>0.0</v>
      </c>
    </row>
    <row r="1698" ht="12.75" customHeight="1">
      <c r="A1698" s="1">
        <v>0.0</v>
      </c>
      <c r="B1698" s="2" t="s">
        <v>3281</v>
      </c>
      <c r="C1698" s="1" t="s">
        <v>3282</v>
      </c>
      <c r="D1698" s="1" t="s">
        <v>3256</v>
      </c>
      <c r="E1698" s="1">
        <v>1.0</v>
      </c>
      <c r="F1698" s="1">
        <v>0.0</v>
      </c>
    </row>
    <row r="1699" ht="12.75" customHeight="1">
      <c r="A1699" s="1">
        <v>0.0</v>
      </c>
      <c r="B1699" s="2" t="s">
        <v>3283</v>
      </c>
      <c r="C1699" s="1" t="s">
        <v>3284</v>
      </c>
      <c r="D1699" s="1" t="s">
        <v>3256</v>
      </c>
      <c r="E1699" s="1">
        <v>1.0</v>
      </c>
      <c r="F1699" s="1">
        <v>0.0</v>
      </c>
    </row>
    <row r="1700" ht="12.75" customHeight="1">
      <c r="A1700" s="1">
        <v>0.0</v>
      </c>
      <c r="B1700" s="2" t="s">
        <v>3285</v>
      </c>
      <c r="C1700" s="1" t="s">
        <v>3286</v>
      </c>
      <c r="D1700" s="1" t="s">
        <v>3256</v>
      </c>
      <c r="E1700" s="1">
        <v>1.0</v>
      </c>
      <c r="F1700" s="1">
        <v>0.0</v>
      </c>
    </row>
    <row r="1701" ht="12.75" customHeight="1">
      <c r="A1701" s="1">
        <v>0.0</v>
      </c>
      <c r="B1701" s="2" t="s">
        <v>3287</v>
      </c>
      <c r="C1701" s="1" t="s">
        <v>3288</v>
      </c>
      <c r="D1701" s="1" t="s">
        <v>3256</v>
      </c>
      <c r="E1701" s="1">
        <v>1.0</v>
      </c>
      <c r="F1701" s="1">
        <v>0.0</v>
      </c>
    </row>
    <row r="1702" ht="12.75" customHeight="1">
      <c r="A1702" s="1">
        <v>0.0</v>
      </c>
      <c r="B1702" s="2" t="s">
        <v>3289</v>
      </c>
      <c r="C1702" s="1" t="s">
        <v>3290</v>
      </c>
      <c r="D1702" s="1" t="s">
        <v>3256</v>
      </c>
      <c r="E1702" s="1">
        <v>1.0</v>
      </c>
      <c r="F1702" s="1">
        <v>0.0</v>
      </c>
    </row>
    <row r="1703" ht="12.75" customHeight="1">
      <c r="A1703" s="1">
        <v>0.0</v>
      </c>
      <c r="B1703" s="2" t="s">
        <v>3291</v>
      </c>
      <c r="C1703" s="1" t="s">
        <v>3292</v>
      </c>
      <c r="D1703" s="1" t="s">
        <v>3256</v>
      </c>
      <c r="E1703" s="1">
        <v>1.0</v>
      </c>
      <c r="F1703" s="1">
        <v>0.0</v>
      </c>
    </row>
    <row r="1704" ht="12.75" customHeight="1">
      <c r="A1704" s="1">
        <v>0.0</v>
      </c>
      <c r="B1704" s="2" t="s">
        <v>3293</v>
      </c>
      <c r="C1704" s="1" t="s">
        <v>3294</v>
      </c>
      <c r="D1704" s="1" t="s">
        <v>3256</v>
      </c>
      <c r="E1704" s="1">
        <v>1.0</v>
      </c>
      <c r="F1704" s="1">
        <v>0.0</v>
      </c>
    </row>
    <row r="1705" ht="12.75" customHeight="1">
      <c r="A1705" s="1">
        <v>0.0</v>
      </c>
      <c r="B1705" s="2" t="s">
        <v>3295</v>
      </c>
      <c r="C1705" s="1" t="s">
        <v>3296</v>
      </c>
      <c r="D1705" s="1" t="s">
        <v>3256</v>
      </c>
      <c r="E1705" s="1">
        <v>1.0</v>
      </c>
      <c r="F1705" s="1">
        <v>0.0</v>
      </c>
    </row>
    <row r="1706" ht="12.75" customHeight="1">
      <c r="A1706" s="1">
        <v>0.0</v>
      </c>
      <c r="B1706" s="2" t="s">
        <v>3297</v>
      </c>
      <c r="C1706" s="1" t="s">
        <v>3298</v>
      </c>
      <c r="D1706" s="1" t="s">
        <v>3256</v>
      </c>
      <c r="E1706" s="1">
        <v>1.0</v>
      </c>
      <c r="F1706" s="1">
        <v>0.0</v>
      </c>
    </row>
    <row r="1707" ht="12.75" customHeight="1">
      <c r="A1707" s="1">
        <v>0.0</v>
      </c>
      <c r="B1707" s="2" t="s">
        <v>3299</v>
      </c>
      <c r="C1707" s="1" t="s">
        <v>3300</v>
      </c>
      <c r="D1707" s="1" t="s">
        <v>3256</v>
      </c>
      <c r="E1707" s="1">
        <v>1.0</v>
      </c>
      <c r="F1707" s="1">
        <v>0.0</v>
      </c>
    </row>
    <row r="1708" ht="12.75" customHeight="1">
      <c r="A1708" s="1">
        <v>0.0</v>
      </c>
      <c r="B1708" s="2" t="s">
        <v>3301</v>
      </c>
      <c r="C1708" s="1" t="s">
        <v>3302</v>
      </c>
      <c r="D1708" s="1" t="s">
        <v>3256</v>
      </c>
      <c r="E1708" s="1">
        <v>1.0</v>
      </c>
      <c r="F1708" s="1">
        <v>0.0</v>
      </c>
    </row>
    <row r="1709" ht="12.75" customHeight="1">
      <c r="A1709" s="1">
        <v>0.0</v>
      </c>
      <c r="B1709" s="2" t="s">
        <v>3303</v>
      </c>
      <c r="C1709" s="1" t="s">
        <v>3304</v>
      </c>
      <c r="D1709" s="1" t="s">
        <v>3256</v>
      </c>
      <c r="E1709" s="1">
        <v>1.0</v>
      </c>
      <c r="F1709" s="1">
        <v>0.0</v>
      </c>
    </row>
    <row r="1710" ht="12.75" customHeight="1">
      <c r="A1710" s="1">
        <v>0.0</v>
      </c>
      <c r="B1710" s="2" t="s">
        <v>3305</v>
      </c>
      <c r="C1710" s="1" t="s">
        <v>3306</v>
      </c>
      <c r="D1710" s="1" t="s">
        <v>3256</v>
      </c>
      <c r="E1710" s="1">
        <v>1.0</v>
      </c>
      <c r="F1710" s="1">
        <v>0.0</v>
      </c>
    </row>
    <row r="1711" ht="12.75" customHeight="1">
      <c r="A1711" s="1">
        <v>0.0</v>
      </c>
      <c r="B1711" s="2" t="s">
        <v>3307</v>
      </c>
      <c r="C1711" s="1" t="s">
        <v>3308</v>
      </c>
      <c r="D1711" s="1" t="s">
        <v>3256</v>
      </c>
      <c r="E1711" s="1">
        <v>1.0</v>
      </c>
      <c r="F1711" s="1">
        <v>0.0</v>
      </c>
    </row>
    <row r="1712" ht="12.75" customHeight="1">
      <c r="A1712" s="1">
        <v>0.0</v>
      </c>
      <c r="B1712" s="2" t="s">
        <v>3309</v>
      </c>
      <c r="C1712" s="1" t="s">
        <v>3310</v>
      </c>
      <c r="D1712" s="1" t="s">
        <v>3256</v>
      </c>
      <c r="E1712" s="1">
        <v>1.0</v>
      </c>
      <c r="F1712" s="1">
        <v>0.0</v>
      </c>
    </row>
    <row r="1713" ht="12.75" customHeight="1">
      <c r="A1713" s="1">
        <v>0.0</v>
      </c>
      <c r="B1713" s="2" t="s">
        <v>3311</v>
      </c>
      <c r="C1713" s="1" t="s">
        <v>3312</v>
      </c>
      <c r="D1713" s="1" t="s">
        <v>3256</v>
      </c>
      <c r="E1713" s="1">
        <v>1.0</v>
      </c>
      <c r="F1713" s="1">
        <v>0.0</v>
      </c>
    </row>
    <row r="1714" ht="12.75" customHeight="1">
      <c r="A1714" s="1">
        <v>0.0</v>
      </c>
      <c r="B1714" s="2" t="s">
        <v>3313</v>
      </c>
      <c r="C1714" s="1" t="s">
        <v>3314</v>
      </c>
      <c r="D1714" s="1" t="s">
        <v>3256</v>
      </c>
      <c r="E1714" s="1">
        <v>1.0</v>
      </c>
      <c r="F1714" s="1">
        <v>0.0</v>
      </c>
    </row>
    <row r="1715" ht="12.75" customHeight="1">
      <c r="A1715" s="1">
        <v>0.0</v>
      </c>
      <c r="B1715" s="2" t="s">
        <v>3315</v>
      </c>
      <c r="C1715" s="1" t="s">
        <v>3316</v>
      </c>
      <c r="D1715" s="1" t="s">
        <v>3256</v>
      </c>
      <c r="E1715" s="1">
        <v>1.0</v>
      </c>
      <c r="F1715" s="1">
        <v>0.0</v>
      </c>
    </row>
    <row r="1716" ht="12.75" customHeight="1">
      <c r="A1716" s="1">
        <v>0.0</v>
      </c>
      <c r="B1716" s="2" t="s">
        <v>3317</v>
      </c>
      <c r="C1716" s="1" t="s">
        <v>3318</v>
      </c>
      <c r="D1716" s="1" t="s">
        <v>3256</v>
      </c>
      <c r="E1716" s="1">
        <v>1.0</v>
      </c>
      <c r="F1716" s="1">
        <v>0.0</v>
      </c>
    </row>
    <row r="1717" ht="12.75" customHeight="1">
      <c r="A1717" s="1">
        <v>0.0</v>
      </c>
      <c r="B1717" s="2" t="s">
        <v>3319</v>
      </c>
      <c r="C1717" s="1" t="s">
        <v>3320</v>
      </c>
      <c r="D1717" s="1" t="s">
        <v>3256</v>
      </c>
      <c r="E1717" s="1">
        <v>1.0</v>
      </c>
      <c r="F1717" s="1">
        <v>0.0</v>
      </c>
    </row>
    <row r="1718" ht="12.75" customHeight="1">
      <c r="A1718" s="1">
        <v>0.0</v>
      </c>
      <c r="B1718" s="2" t="s">
        <v>3321</v>
      </c>
      <c r="C1718" s="1" t="s">
        <v>3322</v>
      </c>
      <c r="D1718" s="1" t="s">
        <v>3256</v>
      </c>
      <c r="E1718" s="1">
        <v>1.0</v>
      </c>
      <c r="F1718" s="1">
        <v>0.0</v>
      </c>
    </row>
    <row r="1719" ht="12.75" customHeight="1">
      <c r="A1719" s="1">
        <v>0.0</v>
      </c>
      <c r="B1719" s="2" t="s">
        <v>3323</v>
      </c>
      <c r="C1719" s="1" t="s">
        <v>3324</v>
      </c>
      <c r="D1719" s="1" t="s">
        <v>3256</v>
      </c>
      <c r="E1719" s="1">
        <v>1.0</v>
      </c>
      <c r="F1719" s="1">
        <v>0.0</v>
      </c>
    </row>
    <row r="1720" ht="12.75" customHeight="1">
      <c r="A1720" s="1">
        <v>0.0</v>
      </c>
      <c r="B1720" s="2" t="s">
        <v>3325</v>
      </c>
      <c r="C1720" s="1" t="s">
        <v>3326</v>
      </c>
      <c r="D1720" s="1" t="s">
        <v>3256</v>
      </c>
      <c r="E1720" s="1">
        <v>1.0</v>
      </c>
      <c r="F1720" s="1">
        <v>0.0</v>
      </c>
    </row>
    <row r="1721" ht="12.75" customHeight="1">
      <c r="A1721" s="1">
        <v>0.0</v>
      </c>
      <c r="B1721" s="2" t="s">
        <v>3327</v>
      </c>
      <c r="C1721" s="1" t="s">
        <v>3328</v>
      </c>
      <c r="D1721" s="1" t="s">
        <v>3256</v>
      </c>
      <c r="E1721" s="1">
        <v>1.0</v>
      </c>
      <c r="F1721" s="1">
        <v>0.0</v>
      </c>
    </row>
    <row r="1722" ht="12.75" customHeight="1">
      <c r="A1722" s="1">
        <v>0.0</v>
      </c>
      <c r="B1722" s="2" t="s">
        <v>3329</v>
      </c>
      <c r="C1722" s="1" t="s">
        <v>3330</v>
      </c>
      <c r="D1722" s="1" t="s">
        <v>3256</v>
      </c>
      <c r="E1722" s="1">
        <v>1.0</v>
      </c>
      <c r="F1722" s="1">
        <v>0.0</v>
      </c>
    </row>
    <row r="1723" ht="12.75" customHeight="1">
      <c r="A1723" s="1">
        <v>0.0</v>
      </c>
      <c r="B1723" s="2" t="s">
        <v>3331</v>
      </c>
      <c r="C1723" s="1" t="s">
        <v>3332</v>
      </c>
      <c r="D1723" s="1" t="s">
        <v>3256</v>
      </c>
      <c r="E1723" s="1">
        <v>1.0</v>
      </c>
      <c r="F1723" s="1">
        <v>0.0</v>
      </c>
    </row>
    <row r="1724" ht="12.75" customHeight="1">
      <c r="A1724" s="1">
        <v>0.0</v>
      </c>
      <c r="B1724" s="2" t="s">
        <v>3333</v>
      </c>
      <c r="C1724" s="1" t="s">
        <v>3334</v>
      </c>
      <c r="D1724" s="1" t="s">
        <v>3335</v>
      </c>
      <c r="E1724" s="1">
        <v>1.0</v>
      </c>
      <c r="F1724" s="1">
        <v>0.0</v>
      </c>
    </row>
    <row r="1725" ht="12.75" customHeight="1">
      <c r="A1725" s="1">
        <v>0.0</v>
      </c>
      <c r="B1725" s="2" t="s">
        <v>3336</v>
      </c>
      <c r="C1725" s="1" t="s">
        <v>3337</v>
      </c>
      <c r="D1725" s="1" t="s">
        <v>3338</v>
      </c>
      <c r="E1725" s="1">
        <v>1.0</v>
      </c>
      <c r="F1725" s="1">
        <v>0.0</v>
      </c>
    </row>
    <row r="1726" ht="12.75" customHeight="1">
      <c r="A1726" s="1">
        <v>0.0</v>
      </c>
      <c r="B1726" s="2" t="s">
        <v>3339</v>
      </c>
      <c r="C1726" s="1" t="s">
        <v>3340</v>
      </c>
      <c r="D1726" s="1" t="s">
        <v>3341</v>
      </c>
      <c r="E1726" s="1">
        <v>1.0</v>
      </c>
      <c r="F1726" s="1">
        <v>0.0</v>
      </c>
    </row>
    <row r="1727" ht="12.75" customHeight="1">
      <c r="A1727" s="1">
        <v>0.0</v>
      </c>
      <c r="B1727" s="2" t="s">
        <v>3342</v>
      </c>
      <c r="C1727" s="1" t="s">
        <v>3343</v>
      </c>
      <c r="D1727" s="1" t="s">
        <v>3344</v>
      </c>
      <c r="E1727" s="1">
        <v>1.0</v>
      </c>
      <c r="F1727" s="1">
        <v>0.0</v>
      </c>
    </row>
    <row r="1728" ht="12.75" customHeight="1">
      <c r="A1728" s="1">
        <v>0.0</v>
      </c>
      <c r="B1728" s="2">
        <v>7340102.0</v>
      </c>
      <c r="C1728" s="1" t="s">
        <v>627</v>
      </c>
      <c r="D1728" s="1" t="s">
        <v>3345</v>
      </c>
      <c r="E1728" s="1">
        <v>1.0</v>
      </c>
      <c r="F1728" s="1">
        <v>0.0</v>
      </c>
    </row>
    <row r="1729" ht="12.75" customHeight="1">
      <c r="A1729" s="1">
        <v>0.0</v>
      </c>
      <c r="B1729" s="2">
        <v>7340103.0</v>
      </c>
      <c r="C1729" s="1" t="s">
        <v>627</v>
      </c>
      <c r="D1729" s="1" t="s">
        <v>3346</v>
      </c>
      <c r="E1729" s="1">
        <v>1.0</v>
      </c>
      <c r="F1729" s="1">
        <v>0.0</v>
      </c>
    </row>
    <row r="1730" ht="12.75" customHeight="1">
      <c r="A1730" s="1">
        <v>0.0</v>
      </c>
      <c r="B1730" s="2" t="s">
        <v>3347</v>
      </c>
      <c r="C1730" s="1" t="s">
        <v>3348</v>
      </c>
      <c r="D1730" s="1" t="s">
        <v>3349</v>
      </c>
      <c r="E1730" s="1">
        <v>1.0</v>
      </c>
      <c r="F1730" s="1">
        <v>0.0</v>
      </c>
    </row>
    <row r="1731" ht="12.75" customHeight="1">
      <c r="A1731" s="1">
        <v>0.0</v>
      </c>
      <c r="B1731" s="2" t="s">
        <v>3350</v>
      </c>
      <c r="C1731" s="1" t="s">
        <v>3351</v>
      </c>
      <c r="D1731" s="1" t="s">
        <v>540</v>
      </c>
      <c r="E1731" s="1">
        <v>1.0</v>
      </c>
      <c r="F1731" s="1">
        <v>0.0</v>
      </c>
    </row>
    <row r="1732" ht="12.75" customHeight="1">
      <c r="A1732" s="1">
        <v>0.0</v>
      </c>
      <c r="B1732" s="2" t="s">
        <v>3352</v>
      </c>
      <c r="C1732" s="1" t="s">
        <v>3353</v>
      </c>
      <c r="D1732" s="1" t="s">
        <v>3354</v>
      </c>
      <c r="E1732" s="1">
        <v>1.0</v>
      </c>
      <c r="F1732" s="1">
        <v>0.0</v>
      </c>
    </row>
    <row r="1733" ht="12.75" customHeight="1">
      <c r="A1733" s="1">
        <v>0.0</v>
      </c>
      <c r="B1733" s="2" t="s">
        <v>3355</v>
      </c>
      <c r="C1733" s="1" t="s">
        <v>3356</v>
      </c>
      <c r="D1733" s="1" t="s">
        <v>3357</v>
      </c>
      <c r="E1733" s="1">
        <v>1.0</v>
      </c>
      <c r="F1733" s="1">
        <v>0.0</v>
      </c>
    </row>
    <row r="1734" ht="12.75" customHeight="1">
      <c r="A1734" s="1">
        <v>0.0</v>
      </c>
      <c r="B1734" s="2" t="s">
        <v>3358</v>
      </c>
      <c r="C1734" s="1" t="s">
        <v>3359</v>
      </c>
      <c r="D1734" s="1" t="s">
        <v>3357</v>
      </c>
      <c r="E1734" s="1">
        <v>1.0</v>
      </c>
      <c r="F1734" s="1">
        <v>0.0</v>
      </c>
    </row>
    <row r="1735" ht="12.75" customHeight="1">
      <c r="A1735" s="1">
        <v>0.0</v>
      </c>
      <c r="B1735" s="2" t="s">
        <v>3360</v>
      </c>
      <c r="C1735" s="1" t="s">
        <v>3361</v>
      </c>
      <c r="D1735" s="1" t="s">
        <v>3357</v>
      </c>
      <c r="E1735" s="1">
        <v>1.0</v>
      </c>
      <c r="F1735" s="1">
        <v>0.0</v>
      </c>
    </row>
    <row r="1736" ht="12.75" customHeight="1">
      <c r="A1736" s="1">
        <v>0.0</v>
      </c>
      <c r="B1736" s="2" t="s">
        <v>3362</v>
      </c>
      <c r="C1736" s="1" t="s">
        <v>3363</v>
      </c>
      <c r="D1736" s="1" t="s">
        <v>3364</v>
      </c>
      <c r="E1736" s="1">
        <v>1.0</v>
      </c>
      <c r="F1736" s="1">
        <v>0.0</v>
      </c>
    </row>
    <row r="1737" ht="12.75" customHeight="1">
      <c r="A1737" s="1">
        <v>0.0</v>
      </c>
      <c r="B1737" s="2">
        <v>563951.0</v>
      </c>
      <c r="C1737" s="1" t="s">
        <v>3363</v>
      </c>
      <c r="D1737" s="1" t="s">
        <v>3365</v>
      </c>
      <c r="E1737" s="1">
        <v>1.0</v>
      </c>
      <c r="F1737" s="1">
        <v>0.0</v>
      </c>
    </row>
    <row r="1738" ht="12.75" customHeight="1">
      <c r="A1738" s="1">
        <v>0.0</v>
      </c>
      <c r="B1738" s="2" t="s">
        <v>3366</v>
      </c>
      <c r="C1738" s="1" t="s">
        <v>3367</v>
      </c>
      <c r="D1738" s="1" t="s">
        <v>3368</v>
      </c>
      <c r="E1738" s="1">
        <v>1.0</v>
      </c>
      <c r="F1738" s="1">
        <v>0.0</v>
      </c>
    </row>
    <row r="1739" ht="12.75" customHeight="1">
      <c r="A1739" s="1">
        <v>0.0</v>
      </c>
      <c r="B1739" s="2" t="s">
        <v>3369</v>
      </c>
      <c r="C1739" s="1" t="s">
        <v>3370</v>
      </c>
      <c r="D1739" s="1" t="s">
        <v>3368</v>
      </c>
      <c r="E1739" s="1">
        <v>1.0</v>
      </c>
      <c r="F1739" s="1">
        <v>0.0</v>
      </c>
    </row>
    <row r="1740" ht="12.75" customHeight="1">
      <c r="A1740" s="1">
        <v>0.0</v>
      </c>
      <c r="B1740" s="2" t="s">
        <v>3371</v>
      </c>
      <c r="C1740" s="1" t="s">
        <v>3372</v>
      </c>
      <c r="D1740" s="1" t="s">
        <v>3373</v>
      </c>
      <c r="E1740" s="1">
        <v>1.0</v>
      </c>
      <c r="F1740" s="1">
        <v>0.0</v>
      </c>
    </row>
    <row r="1741" ht="12.75" customHeight="1">
      <c r="A1741" s="1">
        <v>0.0</v>
      </c>
      <c r="B1741" s="2" t="s">
        <v>3374</v>
      </c>
      <c r="C1741" s="1" t="s">
        <v>1192</v>
      </c>
      <c r="D1741" s="1" t="s">
        <v>3375</v>
      </c>
      <c r="E1741" s="1">
        <v>1.0</v>
      </c>
      <c r="F1741" s="1">
        <v>0.0</v>
      </c>
    </row>
    <row r="1742" ht="12.75" customHeight="1">
      <c r="A1742" s="1">
        <v>0.0</v>
      </c>
      <c r="B1742" s="2" t="s">
        <v>3376</v>
      </c>
      <c r="C1742" s="1" t="s">
        <v>3377</v>
      </c>
      <c r="D1742" s="1" t="s">
        <v>3378</v>
      </c>
      <c r="E1742" s="1">
        <v>1.0</v>
      </c>
      <c r="F1742" s="1">
        <v>0.0</v>
      </c>
    </row>
    <row r="1743" ht="12.75" customHeight="1">
      <c r="A1743" s="1">
        <v>0.0</v>
      </c>
      <c r="B1743" s="2" t="s">
        <v>3379</v>
      </c>
      <c r="C1743" s="1" t="s">
        <v>3380</v>
      </c>
      <c r="D1743" s="1" t="s">
        <v>33</v>
      </c>
      <c r="E1743" s="1">
        <v>1.0</v>
      </c>
      <c r="F1743" s="1">
        <v>0.0</v>
      </c>
    </row>
    <row r="1744" ht="12.75" customHeight="1">
      <c r="A1744" s="1">
        <v>0.0</v>
      </c>
      <c r="B1744" s="2" t="s">
        <v>3381</v>
      </c>
      <c r="C1744" s="1" t="s">
        <v>3382</v>
      </c>
      <c r="D1744" s="1" t="s">
        <v>3383</v>
      </c>
      <c r="E1744" s="1">
        <v>1.0</v>
      </c>
      <c r="F1744" s="1">
        <v>0.0</v>
      </c>
    </row>
    <row r="1745" ht="12.75" customHeight="1">
      <c r="A1745" s="1">
        <v>0.0</v>
      </c>
      <c r="B1745" s="2" t="s">
        <v>3384</v>
      </c>
      <c r="C1745" s="1" t="s">
        <v>3385</v>
      </c>
      <c r="D1745" s="1" t="s">
        <v>3386</v>
      </c>
      <c r="E1745" s="1">
        <v>1.0</v>
      </c>
      <c r="F1745" s="1">
        <v>0.0</v>
      </c>
    </row>
    <row r="1746" ht="12.75" customHeight="1">
      <c r="A1746" s="1">
        <v>0.0</v>
      </c>
      <c r="B1746" s="2" t="s">
        <v>3387</v>
      </c>
      <c r="C1746" s="1" t="s">
        <v>3388</v>
      </c>
      <c r="D1746" s="1" t="s">
        <v>3389</v>
      </c>
      <c r="E1746" s="1">
        <v>1.0</v>
      </c>
      <c r="F1746" s="1">
        <v>0.0</v>
      </c>
    </row>
    <row r="1747" ht="12.75" customHeight="1">
      <c r="A1747" s="1">
        <v>0.0</v>
      </c>
      <c r="B1747" s="2">
        <v>3800601.0</v>
      </c>
      <c r="C1747" s="1" t="s">
        <v>3390</v>
      </c>
      <c r="D1747" s="1" t="s">
        <v>3391</v>
      </c>
      <c r="E1747" s="1">
        <v>1.0</v>
      </c>
      <c r="F1747" s="1">
        <v>0.0</v>
      </c>
    </row>
    <row r="1748" ht="12.75" customHeight="1">
      <c r="A1748" s="1">
        <v>0.0</v>
      </c>
      <c r="B1748" s="2" t="s">
        <v>3392</v>
      </c>
      <c r="C1748" s="1" t="s">
        <v>3393</v>
      </c>
      <c r="D1748" s="1" t="s">
        <v>3394</v>
      </c>
      <c r="E1748" s="1">
        <v>1.0</v>
      </c>
      <c r="F1748" s="1">
        <v>0.0</v>
      </c>
    </row>
    <row r="1749" ht="12.75" customHeight="1">
      <c r="A1749" s="1">
        <v>0.0</v>
      </c>
      <c r="B1749" s="2">
        <v>567594.0</v>
      </c>
      <c r="C1749" s="1" t="s">
        <v>3395</v>
      </c>
      <c r="D1749" s="1" t="s">
        <v>3396</v>
      </c>
      <c r="E1749" s="1">
        <v>1.0</v>
      </c>
      <c r="F1749" s="1">
        <v>0.0</v>
      </c>
    </row>
    <row r="1750" ht="12.75" customHeight="1">
      <c r="A1750" s="1">
        <v>0.0</v>
      </c>
      <c r="B1750" s="2">
        <v>567679.0</v>
      </c>
      <c r="C1750" s="1" t="s">
        <v>3397</v>
      </c>
      <c r="D1750" s="1" t="s">
        <v>3396</v>
      </c>
      <c r="E1750" s="1">
        <v>1.0</v>
      </c>
      <c r="F1750" s="1">
        <v>0.0</v>
      </c>
    </row>
    <row r="1751" ht="12.75" customHeight="1">
      <c r="A1751" s="1">
        <v>0.0</v>
      </c>
      <c r="B1751" s="2">
        <v>1130804.0</v>
      </c>
      <c r="C1751" s="1" t="s">
        <v>3398</v>
      </c>
      <c r="D1751" s="1" t="s">
        <v>3396</v>
      </c>
      <c r="E1751" s="1">
        <v>1.0</v>
      </c>
      <c r="F1751" s="1">
        <v>0.0</v>
      </c>
    </row>
    <row r="1752" ht="12.75" customHeight="1">
      <c r="A1752" s="1">
        <v>0.0</v>
      </c>
      <c r="B1752" s="2" t="s">
        <v>3399</v>
      </c>
      <c r="C1752" s="1" t="s">
        <v>3400</v>
      </c>
      <c r="D1752" s="1" t="s">
        <v>3401</v>
      </c>
      <c r="E1752" s="1">
        <v>1.0</v>
      </c>
      <c r="F1752" s="1">
        <v>0.0</v>
      </c>
    </row>
    <row r="1753" ht="12.75" customHeight="1">
      <c r="A1753" s="1">
        <v>0.0</v>
      </c>
      <c r="B1753" s="2">
        <v>564744.0</v>
      </c>
      <c r="C1753" s="1" t="s">
        <v>3402</v>
      </c>
      <c r="D1753" s="1" t="s">
        <v>3403</v>
      </c>
      <c r="E1753" s="1">
        <v>1.0</v>
      </c>
      <c r="F1753" s="1">
        <v>0.0</v>
      </c>
    </row>
    <row r="1754" ht="12.75" customHeight="1">
      <c r="A1754" s="1">
        <v>0.0</v>
      </c>
      <c r="B1754" s="2" t="s">
        <v>3404</v>
      </c>
      <c r="C1754" s="1" t="s">
        <v>3405</v>
      </c>
      <c r="D1754" s="1" t="s">
        <v>3406</v>
      </c>
      <c r="E1754" s="1">
        <v>1.0</v>
      </c>
      <c r="F1754" s="1">
        <v>0.0</v>
      </c>
    </row>
    <row r="1755" ht="12.75" customHeight="1">
      <c r="A1755" s="1">
        <v>0.0</v>
      </c>
      <c r="B1755" s="2" t="s">
        <v>3407</v>
      </c>
      <c r="C1755" s="1" t="s">
        <v>1801</v>
      </c>
      <c r="D1755" s="1" t="s">
        <v>3408</v>
      </c>
      <c r="E1755" s="1">
        <v>1.0</v>
      </c>
      <c r="F1755" s="1">
        <v>0.0</v>
      </c>
    </row>
    <row r="1756" ht="12.75" customHeight="1">
      <c r="A1756" s="1">
        <v>0.0</v>
      </c>
      <c r="B1756" s="2">
        <v>7310107.0</v>
      </c>
      <c r="C1756" s="1" t="s">
        <v>1194</v>
      </c>
      <c r="D1756" s="1" t="s">
        <v>3409</v>
      </c>
      <c r="E1756" s="1">
        <v>1.0</v>
      </c>
      <c r="F1756" s="1">
        <v>0.0</v>
      </c>
    </row>
    <row r="1757" ht="12.75" customHeight="1">
      <c r="A1757" s="1">
        <v>0.0</v>
      </c>
      <c r="B1757" s="2">
        <v>560337.0</v>
      </c>
      <c r="C1757" s="1" t="s">
        <v>3410</v>
      </c>
      <c r="D1757" s="1" t="s">
        <v>3411</v>
      </c>
      <c r="E1757" s="1">
        <v>1.0</v>
      </c>
      <c r="F1757" s="1">
        <v>0.0</v>
      </c>
    </row>
    <row r="1758" ht="12.75" customHeight="1">
      <c r="A1758" s="1">
        <v>0.0</v>
      </c>
      <c r="B1758" s="2" t="s">
        <v>3412</v>
      </c>
      <c r="C1758" s="1" t="s">
        <v>3413</v>
      </c>
      <c r="D1758" s="1" t="s">
        <v>3414</v>
      </c>
      <c r="E1758" s="1">
        <v>1.0</v>
      </c>
      <c r="F1758" s="1">
        <v>0.0</v>
      </c>
    </row>
    <row r="1759" ht="12.75" customHeight="1">
      <c r="A1759" s="1">
        <v>0.0</v>
      </c>
      <c r="B1759" s="2" t="s">
        <v>3415</v>
      </c>
      <c r="C1759" s="1" t="s">
        <v>3416</v>
      </c>
      <c r="D1759" s="1" t="s">
        <v>3417</v>
      </c>
      <c r="E1759" s="1">
        <v>1.0</v>
      </c>
      <c r="F1759" s="1">
        <v>0.0</v>
      </c>
    </row>
    <row r="1760" ht="12.75" customHeight="1">
      <c r="A1760" s="1">
        <v>0.0</v>
      </c>
      <c r="B1760" s="2">
        <v>3803621.0</v>
      </c>
      <c r="C1760" s="1" t="s">
        <v>3418</v>
      </c>
      <c r="D1760" s="1" t="s">
        <v>3419</v>
      </c>
      <c r="E1760" s="1">
        <v>1.0</v>
      </c>
      <c r="F1760" s="1">
        <v>0.0</v>
      </c>
    </row>
    <row r="1761" ht="12.75" customHeight="1">
      <c r="A1761" s="1">
        <v>0.0</v>
      </c>
      <c r="B1761" s="2" t="s">
        <v>3420</v>
      </c>
      <c r="C1761" s="1" t="s">
        <v>1199</v>
      </c>
      <c r="D1761" s="1" t="s">
        <v>3421</v>
      </c>
      <c r="E1761" s="1">
        <v>1.0</v>
      </c>
      <c r="F1761" s="1">
        <v>0.0</v>
      </c>
    </row>
    <row r="1762" ht="12.75" customHeight="1">
      <c r="A1762" s="1">
        <v>0.0</v>
      </c>
      <c r="B1762" s="2" t="s">
        <v>3422</v>
      </c>
      <c r="C1762" s="1" t="s">
        <v>3423</v>
      </c>
      <c r="D1762" s="1" t="s">
        <v>3424</v>
      </c>
      <c r="E1762" s="1">
        <v>1.0</v>
      </c>
      <c r="F1762" s="1">
        <v>0.0</v>
      </c>
    </row>
    <row r="1763" ht="12.75" customHeight="1">
      <c r="A1763" s="1">
        <v>0.0</v>
      </c>
      <c r="B1763" s="2">
        <v>561991.0</v>
      </c>
      <c r="C1763" s="1" t="s">
        <v>3425</v>
      </c>
      <c r="D1763" s="1" t="s">
        <v>3426</v>
      </c>
      <c r="E1763" s="1">
        <v>1.0</v>
      </c>
      <c r="F1763" s="1">
        <v>0.0</v>
      </c>
    </row>
    <row r="1764" ht="12.75" customHeight="1">
      <c r="A1764" s="1">
        <v>0.0</v>
      </c>
      <c r="B1764" s="2" t="s">
        <v>3427</v>
      </c>
      <c r="C1764" s="1" t="s">
        <v>3428</v>
      </c>
      <c r="D1764" s="1" t="s">
        <v>3429</v>
      </c>
      <c r="E1764" s="1">
        <v>1.0</v>
      </c>
      <c r="F1764" s="1">
        <v>0.0</v>
      </c>
    </row>
    <row r="1765" ht="12.75" customHeight="1">
      <c r="A1765" s="1">
        <v>0.0</v>
      </c>
      <c r="B1765" s="2" t="s">
        <v>3430</v>
      </c>
      <c r="C1765" s="1" t="s">
        <v>3431</v>
      </c>
      <c r="D1765" s="1" t="s">
        <v>3432</v>
      </c>
      <c r="E1765" s="1">
        <v>1.0</v>
      </c>
      <c r="F1765" s="1">
        <v>0.0</v>
      </c>
    </row>
    <row r="1766" ht="12.75" customHeight="1">
      <c r="A1766" s="1">
        <v>0.0</v>
      </c>
      <c r="B1766" s="2" t="s">
        <v>3433</v>
      </c>
      <c r="C1766" s="1" t="s">
        <v>3434</v>
      </c>
      <c r="D1766" s="1" t="s">
        <v>3435</v>
      </c>
      <c r="E1766" s="1">
        <v>1.0</v>
      </c>
      <c r="F1766" s="1">
        <v>0.0</v>
      </c>
    </row>
    <row r="1767" ht="12.75" customHeight="1">
      <c r="A1767" s="1">
        <v>0.0</v>
      </c>
      <c r="B1767" s="2" t="s">
        <v>3436</v>
      </c>
      <c r="C1767" s="1" t="s">
        <v>3437</v>
      </c>
      <c r="D1767" s="1" t="s">
        <v>3438</v>
      </c>
      <c r="E1767" s="1">
        <v>1.0</v>
      </c>
      <c r="F1767" s="1">
        <v>0.0</v>
      </c>
    </row>
    <row r="1768" ht="12.75" customHeight="1">
      <c r="A1768" s="1">
        <v>0.0</v>
      </c>
      <c r="B1768" s="2" t="s">
        <v>3439</v>
      </c>
      <c r="C1768" s="1" t="s">
        <v>3440</v>
      </c>
      <c r="D1768" s="1" t="s">
        <v>3441</v>
      </c>
      <c r="E1768" s="1">
        <v>1.0</v>
      </c>
      <c r="F1768" s="1">
        <v>0.0</v>
      </c>
    </row>
    <row r="1769" ht="12.75" customHeight="1">
      <c r="A1769" s="1">
        <v>0.0</v>
      </c>
      <c r="B1769" s="2" t="s">
        <v>3442</v>
      </c>
      <c r="C1769" s="1" t="s">
        <v>3443</v>
      </c>
      <c r="D1769" s="1" t="s">
        <v>3444</v>
      </c>
      <c r="E1769" s="1">
        <v>1.0</v>
      </c>
      <c r="F1769" s="1">
        <v>0.0</v>
      </c>
    </row>
    <row r="1770" ht="12.75" customHeight="1">
      <c r="A1770" s="1">
        <v>0.0</v>
      </c>
      <c r="B1770" s="2">
        <v>567674.0</v>
      </c>
      <c r="C1770" s="1" t="s">
        <v>3445</v>
      </c>
      <c r="D1770" s="1" t="s">
        <v>3446</v>
      </c>
      <c r="E1770" s="1">
        <v>1.0</v>
      </c>
      <c r="F1770" s="1">
        <v>0.0</v>
      </c>
    </row>
    <row r="1771" ht="12.75" customHeight="1">
      <c r="A1771" s="1">
        <v>0.0</v>
      </c>
      <c r="B1771" s="2" t="s">
        <v>3447</v>
      </c>
      <c r="C1771" s="1" t="s">
        <v>3445</v>
      </c>
      <c r="D1771" s="1" t="s">
        <v>3448</v>
      </c>
      <c r="E1771" s="1">
        <v>1.0</v>
      </c>
      <c r="F1771" s="1">
        <v>0.0</v>
      </c>
    </row>
    <row r="1772" ht="12.75" customHeight="1">
      <c r="A1772" s="1">
        <v>0.0</v>
      </c>
      <c r="B1772" s="2" t="s">
        <v>3449</v>
      </c>
      <c r="C1772" s="1" t="s">
        <v>3450</v>
      </c>
      <c r="D1772" s="1" t="s">
        <v>3451</v>
      </c>
      <c r="E1772" s="1">
        <v>1.0</v>
      </c>
      <c r="F1772" s="1">
        <v>0.0</v>
      </c>
    </row>
    <row r="1773" ht="12.75" customHeight="1">
      <c r="A1773" s="1">
        <v>0.0</v>
      </c>
      <c r="B1773" s="2" t="s">
        <v>3452</v>
      </c>
      <c r="C1773" s="1" t="s">
        <v>3453</v>
      </c>
      <c r="D1773" s="1" t="s">
        <v>3454</v>
      </c>
      <c r="E1773" s="1">
        <v>1.0</v>
      </c>
      <c r="F1773" s="1">
        <v>0.0</v>
      </c>
    </row>
    <row r="1774" ht="12.75" customHeight="1">
      <c r="A1774" s="1">
        <v>0.0</v>
      </c>
      <c r="B1774" s="2" t="s">
        <v>3455</v>
      </c>
      <c r="C1774" s="1" t="s">
        <v>3456</v>
      </c>
      <c r="D1774" s="1" t="s">
        <v>3454</v>
      </c>
      <c r="E1774" s="1">
        <v>1.0</v>
      </c>
      <c r="F1774" s="1">
        <v>0.0</v>
      </c>
    </row>
    <row r="1775" ht="12.75" customHeight="1">
      <c r="A1775" s="1">
        <v>0.0</v>
      </c>
      <c r="B1775" s="2" t="s">
        <v>3457</v>
      </c>
      <c r="C1775" s="1" t="s">
        <v>3458</v>
      </c>
      <c r="D1775" s="1" t="s">
        <v>3454</v>
      </c>
      <c r="E1775" s="1">
        <v>1.0</v>
      </c>
      <c r="F1775" s="1">
        <v>0.0</v>
      </c>
    </row>
    <row r="1776" ht="12.75" customHeight="1">
      <c r="A1776" s="1">
        <v>0.0</v>
      </c>
      <c r="B1776" s="2" t="s">
        <v>3459</v>
      </c>
      <c r="C1776" s="1" t="s">
        <v>3460</v>
      </c>
      <c r="D1776" s="1" t="s">
        <v>3461</v>
      </c>
      <c r="E1776" s="1">
        <v>1.0</v>
      </c>
      <c r="F1776" s="1">
        <v>0.0</v>
      </c>
    </row>
    <row r="1777" ht="12.75" customHeight="1">
      <c r="A1777" s="1">
        <v>0.0</v>
      </c>
      <c r="B1777" s="2" t="s">
        <v>3462</v>
      </c>
      <c r="C1777" s="1" t="s">
        <v>3463</v>
      </c>
      <c r="D1777" s="1" t="s">
        <v>3461</v>
      </c>
      <c r="E1777" s="1">
        <v>1.0</v>
      </c>
      <c r="F1777" s="1">
        <v>0.0</v>
      </c>
    </row>
    <row r="1778" ht="12.75" customHeight="1">
      <c r="A1778" s="1">
        <v>0.0</v>
      </c>
      <c r="B1778" s="2" t="s">
        <v>3464</v>
      </c>
      <c r="C1778" s="1" t="s">
        <v>3465</v>
      </c>
      <c r="D1778" s="1" t="s">
        <v>3466</v>
      </c>
      <c r="E1778" s="1">
        <v>1.0</v>
      </c>
      <c r="F1778" s="1">
        <v>0.0</v>
      </c>
    </row>
    <row r="1779" ht="12.75" customHeight="1">
      <c r="A1779" s="1">
        <v>0.0</v>
      </c>
      <c r="B1779" s="2" t="s">
        <v>3467</v>
      </c>
      <c r="C1779" s="1" t="s">
        <v>3468</v>
      </c>
      <c r="D1779" s="1" t="s">
        <v>3469</v>
      </c>
      <c r="E1779" s="1">
        <v>1.0</v>
      </c>
      <c r="F1779" s="1">
        <v>0.0</v>
      </c>
    </row>
    <row r="1780" ht="12.75" customHeight="1">
      <c r="A1780" s="1">
        <v>0.0</v>
      </c>
      <c r="B1780" s="2" t="s">
        <v>3470</v>
      </c>
      <c r="C1780" s="1" t="s">
        <v>3471</v>
      </c>
      <c r="D1780" s="1" t="s">
        <v>3472</v>
      </c>
      <c r="E1780" s="1">
        <v>1.0</v>
      </c>
      <c r="F1780" s="1">
        <v>0.0</v>
      </c>
    </row>
    <row r="1781" ht="12.75" customHeight="1">
      <c r="A1781" s="1">
        <v>0.0</v>
      </c>
      <c r="B1781" s="2">
        <v>564717.0</v>
      </c>
      <c r="C1781" s="1" t="s">
        <v>3473</v>
      </c>
      <c r="D1781" s="1" t="s">
        <v>3474</v>
      </c>
      <c r="E1781" s="1">
        <v>1.0</v>
      </c>
      <c r="F1781" s="1">
        <v>0.0</v>
      </c>
    </row>
    <row r="1782" ht="12.75" customHeight="1">
      <c r="A1782" s="1">
        <v>0.0</v>
      </c>
      <c r="B1782" s="2">
        <v>560365.0</v>
      </c>
      <c r="C1782" s="1" t="s">
        <v>3475</v>
      </c>
      <c r="D1782" s="1" t="s">
        <v>3476</v>
      </c>
      <c r="E1782" s="1">
        <v>1.0</v>
      </c>
      <c r="F1782" s="1">
        <v>0.0</v>
      </c>
    </row>
    <row r="1783" ht="12.75" customHeight="1">
      <c r="A1783" s="1">
        <v>0.0</v>
      </c>
      <c r="B1783" s="2">
        <v>564771.0</v>
      </c>
      <c r="C1783" s="1" t="s">
        <v>3477</v>
      </c>
      <c r="D1783" s="1" t="s">
        <v>1204</v>
      </c>
      <c r="E1783" s="1">
        <v>1.0</v>
      </c>
      <c r="F1783" s="1">
        <v>0.0</v>
      </c>
    </row>
    <row r="1784" ht="12.75" customHeight="1">
      <c r="A1784" s="1">
        <v>0.0</v>
      </c>
      <c r="B1784" s="2" t="s">
        <v>3478</v>
      </c>
      <c r="C1784" s="1" t="s">
        <v>3479</v>
      </c>
      <c r="D1784" s="1" t="s">
        <v>1204</v>
      </c>
      <c r="E1784" s="1">
        <v>1.0</v>
      </c>
      <c r="F1784" s="1">
        <v>0.0</v>
      </c>
    </row>
    <row r="1785" ht="12.75" customHeight="1">
      <c r="A1785" s="1">
        <v>0.0</v>
      </c>
      <c r="B1785" s="2" t="s">
        <v>3480</v>
      </c>
      <c r="C1785" s="1" t="s">
        <v>3481</v>
      </c>
      <c r="D1785" s="1" t="s">
        <v>1204</v>
      </c>
      <c r="E1785" s="1">
        <v>1.0</v>
      </c>
      <c r="F1785" s="1">
        <v>0.0</v>
      </c>
    </row>
    <row r="1786" ht="12.75" customHeight="1">
      <c r="A1786" s="1">
        <v>0.0</v>
      </c>
      <c r="B1786" s="2" t="s">
        <v>3482</v>
      </c>
      <c r="C1786" s="1" t="s">
        <v>3483</v>
      </c>
      <c r="D1786" s="1" t="s">
        <v>1204</v>
      </c>
      <c r="E1786" s="1">
        <v>1.0</v>
      </c>
      <c r="F1786" s="1">
        <v>0.0</v>
      </c>
    </row>
    <row r="1787" ht="12.75" customHeight="1">
      <c r="A1787" s="1">
        <v>0.0</v>
      </c>
      <c r="B1787" s="2" t="s">
        <v>3484</v>
      </c>
      <c r="C1787" s="1" t="s">
        <v>3485</v>
      </c>
      <c r="D1787" s="1" t="s">
        <v>1204</v>
      </c>
      <c r="E1787" s="1">
        <v>1.0</v>
      </c>
      <c r="F1787" s="1">
        <v>0.0</v>
      </c>
    </row>
    <row r="1788" ht="12.75" customHeight="1">
      <c r="A1788" s="1">
        <v>0.0</v>
      </c>
      <c r="B1788" s="2" t="s">
        <v>3486</v>
      </c>
      <c r="C1788" s="1" t="s">
        <v>2605</v>
      </c>
      <c r="D1788" s="1" t="s">
        <v>1204</v>
      </c>
      <c r="E1788" s="1">
        <v>1.0</v>
      </c>
      <c r="F1788" s="1">
        <v>0.0</v>
      </c>
    </row>
    <row r="1789" ht="12.75" customHeight="1">
      <c r="A1789" s="1">
        <v>0.0</v>
      </c>
      <c r="B1789" s="2" t="s">
        <v>3487</v>
      </c>
      <c r="C1789" s="1" t="s">
        <v>3488</v>
      </c>
      <c r="D1789" s="1" t="s">
        <v>1204</v>
      </c>
      <c r="E1789" s="1">
        <v>1.0</v>
      </c>
      <c r="F1789" s="1">
        <v>0.0</v>
      </c>
    </row>
    <row r="1790" ht="12.75" customHeight="1">
      <c r="A1790" s="1">
        <v>0.0</v>
      </c>
      <c r="B1790" s="2" t="s">
        <v>3489</v>
      </c>
      <c r="C1790" s="1" t="s">
        <v>3490</v>
      </c>
      <c r="D1790" s="1" t="s">
        <v>3491</v>
      </c>
      <c r="E1790" s="1">
        <v>1.0</v>
      </c>
      <c r="F1790" s="1">
        <v>0.0</v>
      </c>
    </row>
    <row r="1791" ht="12.75" customHeight="1">
      <c r="A1791" s="1">
        <v>0.0</v>
      </c>
      <c r="B1791" s="2" t="s">
        <v>3492</v>
      </c>
      <c r="C1791" s="1" t="s">
        <v>3493</v>
      </c>
      <c r="D1791" s="1" t="s">
        <v>3494</v>
      </c>
      <c r="E1791" s="1">
        <v>1.0</v>
      </c>
      <c r="F1791" s="1">
        <v>0.0</v>
      </c>
    </row>
    <row r="1792" ht="12.75" customHeight="1">
      <c r="A1792" s="1">
        <v>0.0</v>
      </c>
      <c r="B1792" s="2" t="s">
        <v>3495</v>
      </c>
      <c r="C1792" s="1" t="s">
        <v>3496</v>
      </c>
      <c r="D1792" s="1" t="s">
        <v>3497</v>
      </c>
      <c r="E1792" s="1">
        <v>1.0</v>
      </c>
      <c r="F1792" s="1">
        <v>0.0</v>
      </c>
    </row>
    <row r="1793" ht="12.75" customHeight="1">
      <c r="A1793" s="1">
        <v>0.0</v>
      </c>
      <c r="B1793" s="2" t="s">
        <v>3498</v>
      </c>
      <c r="C1793" s="1" t="s">
        <v>261</v>
      </c>
      <c r="D1793" s="1" t="s">
        <v>3499</v>
      </c>
      <c r="E1793" s="1">
        <v>1.0</v>
      </c>
      <c r="F1793" s="1">
        <v>0.0</v>
      </c>
    </row>
    <row r="1794" ht="12.75" customHeight="1">
      <c r="A1794" s="1">
        <v>0.0</v>
      </c>
      <c r="B1794" s="2" t="s">
        <v>3500</v>
      </c>
      <c r="C1794" s="1" t="s">
        <v>3501</v>
      </c>
      <c r="D1794" s="1" t="s">
        <v>3502</v>
      </c>
      <c r="E1794" s="1">
        <v>1.0</v>
      </c>
      <c r="F1794" s="1">
        <v>0.0</v>
      </c>
    </row>
    <row r="1795" ht="12.75" customHeight="1">
      <c r="A1795" s="1">
        <v>0.0</v>
      </c>
      <c r="B1795" s="2">
        <v>5.62E7</v>
      </c>
      <c r="C1795" s="1" t="s">
        <v>3503</v>
      </c>
      <c r="D1795" s="1" t="s">
        <v>3504</v>
      </c>
      <c r="E1795" s="1">
        <v>1.0</v>
      </c>
      <c r="F1795" s="1">
        <v>0.0</v>
      </c>
    </row>
    <row r="1796" ht="12.75" customHeight="1">
      <c r="A1796" s="1">
        <v>0.0</v>
      </c>
      <c r="B1796" s="2" t="s">
        <v>3505</v>
      </c>
      <c r="C1796" s="1" t="s">
        <v>3506</v>
      </c>
      <c r="D1796" s="1" t="s">
        <v>3507</v>
      </c>
      <c r="E1796" s="1">
        <v>1.0</v>
      </c>
      <c r="F1796" s="1">
        <v>0.0</v>
      </c>
    </row>
    <row r="1797" ht="12.75" customHeight="1">
      <c r="A1797" s="1">
        <v>0.0</v>
      </c>
      <c r="B1797" s="2" t="s">
        <v>3508</v>
      </c>
      <c r="C1797" s="1" t="s">
        <v>3509</v>
      </c>
      <c r="D1797" s="1" t="s">
        <v>3510</v>
      </c>
      <c r="E1797" s="1">
        <v>1.0</v>
      </c>
      <c r="F1797" s="1">
        <v>0.0</v>
      </c>
    </row>
    <row r="1798" ht="12.75" customHeight="1">
      <c r="A1798" s="1">
        <v>0.0</v>
      </c>
      <c r="B1798" s="2" t="s">
        <v>3511</v>
      </c>
      <c r="C1798" s="1" t="s">
        <v>3512</v>
      </c>
      <c r="D1798" s="1" t="s">
        <v>3513</v>
      </c>
      <c r="E1798" s="1">
        <v>1.0</v>
      </c>
      <c r="F1798" s="1">
        <v>0.0</v>
      </c>
    </row>
    <row r="1799" ht="12.75" customHeight="1">
      <c r="A1799" s="1">
        <v>0.0</v>
      </c>
      <c r="B1799" s="2" t="s">
        <v>3514</v>
      </c>
      <c r="C1799" s="1" t="s">
        <v>3515</v>
      </c>
      <c r="D1799" s="1" t="s">
        <v>916</v>
      </c>
      <c r="E1799" s="1">
        <v>1.0</v>
      </c>
      <c r="F1799" s="1">
        <v>0.0</v>
      </c>
    </row>
    <row r="1800" ht="12.75" customHeight="1">
      <c r="A1800" s="1">
        <v>0.0</v>
      </c>
      <c r="B1800" s="2" t="s">
        <v>3516</v>
      </c>
      <c r="C1800" s="1" t="s">
        <v>3132</v>
      </c>
      <c r="D1800" s="1" t="s">
        <v>916</v>
      </c>
      <c r="E1800" s="1">
        <v>1.0</v>
      </c>
      <c r="F1800" s="1">
        <v>0.0</v>
      </c>
    </row>
    <row r="1801" ht="12.75" customHeight="1">
      <c r="A1801" s="1">
        <v>0.0</v>
      </c>
      <c r="B1801" s="2" t="s">
        <v>3517</v>
      </c>
      <c r="C1801" s="1" t="s">
        <v>3518</v>
      </c>
      <c r="D1801" s="1" t="s">
        <v>916</v>
      </c>
      <c r="E1801" s="1">
        <v>1.0</v>
      </c>
      <c r="F1801" s="1">
        <v>0.0</v>
      </c>
    </row>
    <row r="1802" ht="12.75" customHeight="1">
      <c r="A1802" s="1">
        <v>0.0</v>
      </c>
      <c r="B1802" s="2" t="s">
        <v>3519</v>
      </c>
      <c r="C1802" s="1" t="s">
        <v>3520</v>
      </c>
      <c r="D1802" s="1" t="s">
        <v>916</v>
      </c>
      <c r="E1802" s="1">
        <v>1.0</v>
      </c>
      <c r="F1802" s="1">
        <v>0.0</v>
      </c>
    </row>
    <row r="1803" ht="12.75" customHeight="1">
      <c r="A1803" s="1">
        <v>0.0</v>
      </c>
      <c r="B1803" s="2" t="s">
        <v>3521</v>
      </c>
      <c r="C1803" s="1" t="s">
        <v>3522</v>
      </c>
      <c r="D1803" s="1" t="s">
        <v>916</v>
      </c>
      <c r="E1803" s="1">
        <v>1.0</v>
      </c>
      <c r="F1803" s="1">
        <v>0.0</v>
      </c>
    </row>
    <row r="1804" ht="12.75" customHeight="1">
      <c r="A1804" s="1">
        <v>0.0</v>
      </c>
      <c r="B1804" s="2" t="s">
        <v>3523</v>
      </c>
      <c r="C1804" s="1" t="s">
        <v>3524</v>
      </c>
      <c r="D1804" s="1" t="s">
        <v>916</v>
      </c>
      <c r="E1804" s="1">
        <v>1.0</v>
      </c>
      <c r="F1804" s="1">
        <v>0.0</v>
      </c>
    </row>
    <row r="1805" ht="12.75" customHeight="1">
      <c r="A1805" s="1">
        <v>0.0</v>
      </c>
      <c r="B1805" s="2" t="s">
        <v>3525</v>
      </c>
      <c r="C1805" s="1" t="s">
        <v>3526</v>
      </c>
      <c r="D1805" s="1" t="s">
        <v>916</v>
      </c>
      <c r="E1805" s="1">
        <v>1.0</v>
      </c>
      <c r="F1805" s="1">
        <v>0.0</v>
      </c>
    </row>
    <row r="1806" ht="12.75" customHeight="1">
      <c r="A1806" s="1">
        <v>0.0</v>
      </c>
      <c r="B1806" s="2" t="s">
        <v>3527</v>
      </c>
      <c r="C1806" s="1" t="s">
        <v>3528</v>
      </c>
      <c r="D1806" s="1" t="s">
        <v>916</v>
      </c>
      <c r="E1806" s="1">
        <v>1.0</v>
      </c>
      <c r="F1806" s="1">
        <v>0.0</v>
      </c>
    </row>
    <row r="1807" ht="12.75" customHeight="1">
      <c r="A1807" s="1">
        <v>0.0</v>
      </c>
      <c r="B1807" s="2" t="s">
        <v>3529</v>
      </c>
      <c r="C1807" s="1" t="s">
        <v>3530</v>
      </c>
      <c r="D1807" s="1" t="s">
        <v>916</v>
      </c>
      <c r="E1807" s="1">
        <v>1.0</v>
      </c>
      <c r="F1807" s="1">
        <v>0.0</v>
      </c>
    </row>
    <row r="1808" ht="12.75" customHeight="1">
      <c r="A1808" s="1">
        <v>0.0</v>
      </c>
      <c r="B1808" s="2" t="s">
        <v>3531</v>
      </c>
      <c r="C1808" s="1" t="s">
        <v>757</v>
      </c>
      <c r="D1808" s="1" t="s">
        <v>916</v>
      </c>
      <c r="E1808" s="1">
        <v>1.0</v>
      </c>
      <c r="F1808" s="1">
        <v>0.0</v>
      </c>
    </row>
    <row r="1809" ht="12.75" customHeight="1">
      <c r="A1809" s="1">
        <v>0.0</v>
      </c>
      <c r="B1809" s="2" t="s">
        <v>3532</v>
      </c>
      <c r="C1809" s="1" t="s">
        <v>3533</v>
      </c>
      <c r="D1809" s="1" t="s">
        <v>3534</v>
      </c>
      <c r="E1809" s="1">
        <v>1.0</v>
      </c>
      <c r="F1809" s="1">
        <v>0.0</v>
      </c>
    </row>
    <row r="1810" ht="12.75" customHeight="1">
      <c r="A1810" s="1">
        <v>0.0</v>
      </c>
      <c r="B1810" s="2" t="s">
        <v>3535</v>
      </c>
      <c r="C1810" s="1" t="s">
        <v>3536</v>
      </c>
      <c r="D1810" s="1" t="s">
        <v>3537</v>
      </c>
      <c r="E1810" s="1">
        <v>1.0</v>
      </c>
      <c r="F1810" s="1">
        <v>0.0</v>
      </c>
    </row>
    <row r="1811" ht="12.75" customHeight="1">
      <c r="A1811" s="1">
        <v>0.0</v>
      </c>
      <c r="B1811" s="2" t="s">
        <v>3538</v>
      </c>
      <c r="C1811" s="1" t="s">
        <v>3539</v>
      </c>
      <c r="D1811" s="1" t="s">
        <v>3537</v>
      </c>
      <c r="E1811" s="1">
        <v>1.0</v>
      </c>
      <c r="F1811" s="1">
        <v>0.0</v>
      </c>
    </row>
    <row r="1812" ht="12.75" customHeight="1">
      <c r="A1812" s="1">
        <v>0.0</v>
      </c>
      <c r="B1812" s="2" t="s">
        <v>3540</v>
      </c>
      <c r="C1812" s="1" t="s">
        <v>3541</v>
      </c>
      <c r="D1812" s="1" t="s">
        <v>3537</v>
      </c>
      <c r="E1812" s="1">
        <v>1.0</v>
      </c>
      <c r="F1812" s="1">
        <v>0.0</v>
      </c>
    </row>
    <row r="1813" ht="12.75" customHeight="1">
      <c r="A1813" s="1">
        <v>0.0</v>
      </c>
      <c r="B1813" s="2" t="s">
        <v>3542</v>
      </c>
      <c r="C1813" s="1" t="s">
        <v>3543</v>
      </c>
      <c r="D1813" s="1" t="s">
        <v>3537</v>
      </c>
      <c r="E1813" s="1">
        <v>1.0</v>
      </c>
      <c r="F1813" s="1">
        <v>0.0</v>
      </c>
    </row>
    <row r="1814" ht="12.75" customHeight="1">
      <c r="A1814" s="1">
        <v>0.0</v>
      </c>
      <c r="B1814" s="2" t="s">
        <v>3544</v>
      </c>
      <c r="C1814" s="1" t="s">
        <v>757</v>
      </c>
      <c r="D1814" s="1" t="s">
        <v>3545</v>
      </c>
      <c r="E1814" s="1">
        <v>1.0</v>
      </c>
      <c r="F1814" s="1">
        <v>0.0</v>
      </c>
    </row>
    <row r="1815" ht="12.75" customHeight="1">
      <c r="A1815" s="1">
        <v>0.0</v>
      </c>
      <c r="B1815" s="2" t="s">
        <v>3546</v>
      </c>
      <c r="C1815" s="1" t="s">
        <v>3547</v>
      </c>
      <c r="D1815" s="1" t="s">
        <v>3548</v>
      </c>
      <c r="E1815" s="1">
        <v>1.0</v>
      </c>
      <c r="F1815" s="1">
        <v>0.0</v>
      </c>
    </row>
    <row r="1816" ht="12.75" customHeight="1">
      <c r="A1816" s="1">
        <v>0.0</v>
      </c>
      <c r="B1816" s="2" t="s">
        <v>3549</v>
      </c>
      <c r="C1816" s="1" t="s">
        <v>3550</v>
      </c>
      <c r="D1816" s="1" t="s">
        <v>3551</v>
      </c>
      <c r="E1816" s="1">
        <v>1.0</v>
      </c>
      <c r="F1816" s="1">
        <v>0.0</v>
      </c>
    </row>
    <row r="1817" ht="12.75" customHeight="1">
      <c r="A1817" s="1">
        <v>0.0</v>
      </c>
      <c r="B1817" s="2">
        <v>5770102.0</v>
      </c>
      <c r="C1817" s="1" t="s">
        <v>3552</v>
      </c>
      <c r="D1817" s="1" t="s">
        <v>3553</v>
      </c>
      <c r="E1817" s="1">
        <v>1.0</v>
      </c>
      <c r="F1817" s="1">
        <v>0.0</v>
      </c>
    </row>
    <row r="1818" ht="12.75" customHeight="1">
      <c r="A1818" s="1">
        <v>0.0</v>
      </c>
      <c r="B1818" s="2">
        <v>564753.0</v>
      </c>
      <c r="C1818" s="1" t="s">
        <v>3554</v>
      </c>
      <c r="D1818" s="1" t="s">
        <v>3555</v>
      </c>
      <c r="E1818" s="1">
        <v>1.0</v>
      </c>
      <c r="F1818" s="1">
        <v>0.0</v>
      </c>
    </row>
    <row r="1819" ht="12.75" customHeight="1">
      <c r="A1819" s="1">
        <v>0.0</v>
      </c>
      <c r="B1819" s="2" t="s">
        <v>3556</v>
      </c>
      <c r="C1819" s="1" t="s">
        <v>3557</v>
      </c>
      <c r="D1819" s="1" t="s">
        <v>3558</v>
      </c>
      <c r="E1819" s="1">
        <v>1.0</v>
      </c>
      <c r="F1819" s="1">
        <v>0.0</v>
      </c>
    </row>
    <row r="1820" ht="12.75" customHeight="1">
      <c r="A1820" s="1">
        <v>0.0</v>
      </c>
      <c r="B1820" s="2">
        <v>1130811.0</v>
      </c>
      <c r="C1820" s="1" t="s">
        <v>3559</v>
      </c>
      <c r="D1820" s="1" t="s">
        <v>3560</v>
      </c>
      <c r="E1820" s="1">
        <v>1.0</v>
      </c>
      <c r="F1820" s="1">
        <v>0.0</v>
      </c>
    </row>
    <row r="1821" ht="12.75" customHeight="1">
      <c r="A1821" s="1">
        <v>0.0</v>
      </c>
      <c r="B1821" s="2" t="s">
        <v>3561</v>
      </c>
      <c r="C1821" s="1" t="s">
        <v>3562</v>
      </c>
      <c r="D1821" s="1" t="s">
        <v>3563</v>
      </c>
      <c r="E1821" s="1">
        <v>1.0</v>
      </c>
      <c r="F1821" s="1">
        <v>0.0</v>
      </c>
    </row>
    <row r="1822" ht="12.75" customHeight="1">
      <c r="A1822" s="1">
        <v>0.0</v>
      </c>
      <c r="B1822" s="2" t="s">
        <v>3564</v>
      </c>
      <c r="C1822" s="1" t="s">
        <v>3565</v>
      </c>
      <c r="D1822" s="1" t="s">
        <v>3566</v>
      </c>
      <c r="E1822" s="1">
        <v>1.0</v>
      </c>
      <c r="F1822" s="1">
        <v>0.0</v>
      </c>
    </row>
    <row r="1823" ht="12.75" customHeight="1">
      <c r="A1823" s="1">
        <v>0.0</v>
      </c>
      <c r="B1823" s="2">
        <v>564711.0</v>
      </c>
      <c r="C1823" s="1" t="s">
        <v>3567</v>
      </c>
      <c r="D1823" s="1" t="s">
        <v>892</v>
      </c>
      <c r="E1823" s="1">
        <v>1.0</v>
      </c>
      <c r="F1823" s="1">
        <v>0.0</v>
      </c>
    </row>
    <row r="1824" ht="12.75" customHeight="1">
      <c r="A1824" s="1">
        <v>0.0</v>
      </c>
      <c r="B1824" s="2" t="s">
        <v>3568</v>
      </c>
      <c r="C1824" s="1" t="s">
        <v>2596</v>
      </c>
      <c r="D1824" s="1" t="s">
        <v>3569</v>
      </c>
      <c r="E1824" s="1">
        <v>1.0</v>
      </c>
      <c r="F1824" s="1">
        <v>0.0</v>
      </c>
    </row>
    <row r="1825" ht="12.75" customHeight="1">
      <c r="A1825" s="1">
        <v>0.0</v>
      </c>
      <c r="B1825" s="2" t="s">
        <v>3570</v>
      </c>
      <c r="C1825" s="1" t="s">
        <v>3571</v>
      </c>
      <c r="D1825" s="1" t="s">
        <v>3572</v>
      </c>
      <c r="E1825" s="1">
        <v>1.0</v>
      </c>
      <c r="F1825" s="1">
        <v>0.0</v>
      </c>
    </row>
    <row r="1826" ht="12.75" customHeight="1">
      <c r="A1826" s="1">
        <v>0.0</v>
      </c>
      <c r="B1826" s="2" t="s">
        <v>3573</v>
      </c>
      <c r="C1826" s="1" t="s">
        <v>3574</v>
      </c>
      <c r="D1826" s="1" t="s">
        <v>3575</v>
      </c>
      <c r="E1826" s="1">
        <v>1.0</v>
      </c>
      <c r="F1826" s="1">
        <v>0.0</v>
      </c>
    </row>
    <row r="1827" ht="12.75" customHeight="1">
      <c r="A1827" s="1">
        <v>0.0</v>
      </c>
      <c r="B1827" s="2" t="s">
        <v>3576</v>
      </c>
      <c r="C1827" s="1" t="s">
        <v>3577</v>
      </c>
      <c r="D1827" s="1" t="s">
        <v>1239</v>
      </c>
      <c r="E1827" s="1">
        <v>1.0</v>
      </c>
      <c r="F1827" s="1">
        <v>0.0</v>
      </c>
    </row>
    <row r="1828" ht="12.75" customHeight="1">
      <c r="A1828" s="1">
        <v>0.0</v>
      </c>
      <c r="B1828" s="2" t="s">
        <v>3578</v>
      </c>
      <c r="C1828" s="1" t="s">
        <v>3579</v>
      </c>
      <c r="D1828" s="1" t="s">
        <v>1244</v>
      </c>
      <c r="E1828" s="1">
        <v>1.0</v>
      </c>
      <c r="F1828" s="1">
        <v>0.0</v>
      </c>
    </row>
    <row r="1829" ht="12.75" customHeight="1">
      <c r="A1829" s="1">
        <v>0.0</v>
      </c>
      <c r="B1829" s="2">
        <v>564741.0</v>
      </c>
      <c r="C1829" s="1" t="s">
        <v>748</v>
      </c>
      <c r="D1829" s="1" t="s">
        <v>1246</v>
      </c>
      <c r="E1829" s="1">
        <v>1.0</v>
      </c>
      <c r="F1829" s="1">
        <v>0.0</v>
      </c>
    </row>
    <row r="1830" ht="12.75" customHeight="1">
      <c r="A1830" s="1">
        <v>0.0</v>
      </c>
      <c r="B1830" s="2">
        <v>564762.0</v>
      </c>
      <c r="C1830" s="1" t="s">
        <v>3580</v>
      </c>
      <c r="D1830" s="1" t="s">
        <v>1246</v>
      </c>
      <c r="E1830" s="1">
        <v>1.0</v>
      </c>
      <c r="F1830" s="1">
        <v>0.0</v>
      </c>
    </row>
    <row r="1831" ht="12.75" customHeight="1">
      <c r="A1831" s="1">
        <v>0.0</v>
      </c>
      <c r="B1831" s="2">
        <v>564780.0</v>
      </c>
      <c r="C1831" s="1" t="s">
        <v>3581</v>
      </c>
      <c r="D1831" s="1" t="s">
        <v>1246</v>
      </c>
      <c r="E1831" s="1">
        <v>1.0</v>
      </c>
      <c r="F1831" s="1">
        <v>0.0</v>
      </c>
    </row>
    <row r="1832" ht="12.75" customHeight="1">
      <c r="A1832" s="1">
        <v>0.0</v>
      </c>
      <c r="B1832" s="2" t="s">
        <v>3582</v>
      </c>
      <c r="C1832" s="1" t="s">
        <v>3583</v>
      </c>
      <c r="D1832" s="1" t="s">
        <v>1246</v>
      </c>
      <c r="E1832" s="1">
        <v>1.0</v>
      </c>
      <c r="F1832" s="1">
        <v>0.0</v>
      </c>
    </row>
    <row r="1833" ht="12.75" customHeight="1">
      <c r="A1833" s="1">
        <v>0.0</v>
      </c>
      <c r="B1833" s="2" t="s">
        <v>3584</v>
      </c>
      <c r="C1833" s="1" t="s">
        <v>3585</v>
      </c>
      <c r="D1833" s="1" t="s">
        <v>1246</v>
      </c>
      <c r="E1833" s="1">
        <v>1.0</v>
      </c>
      <c r="F1833" s="1">
        <v>0.0</v>
      </c>
    </row>
    <row r="1834" ht="12.75" customHeight="1">
      <c r="A1834" s="1">
        <v>0.0</v>
      </c>
      <c r="B1834" s="2" t="s">
        <v>3586</v>
      </c>
      <c r="C1834" s="1" t="s">
        <v>3587</v>
      </c>
      <c r="D1834" s="1" t="s">
        <v>1246</v>
      </c>
      <c r="E1834" s="1">
        <v>1.0</v>
      </c>
      <c r="F1834" s="1">
        <v>0.0</v>
      </c>
    </row>
    <row r="1835" ht="12.75" customHeight="1">
      <c r="A1835" s="1">
        <v>0.0</v>
      </c>
      <c r="B1835" s="2" t="s">
        <v>3588</v>
      </c>
      <c r="C1835" s="1" t="s">
        <v>3589</v>
      </c>
      <c r="D1835" s="1" t="s">
        <v>1246</v>
      </c>
      <c r="E1835" s="1">
        <v>1.0</v>
      </c>
      <c r="F1835" s="1">
        <v>0.0</v>
      </c>
    </row>
    <row r="1836" ht="12.75" customHeight="1">
      <c r="A1836" s="1">
        <v>0.0</v>
      </c>
      <c r="B1836" s="2" t="s">
        <v>3590</v>
      </c>
      <c r="C1836" s="1" t="s">
        <v>3591</v>
      </c>
      <c r="D1836" s="1" t="s">
        <v>1246</v>
      </c>
      <c r="E1836" s="1">
        <v>1.0</v>
      </c>
      <c r="F1836" s="1">
        <v>0.0</v>
      </c>
    </row>
    <row r="1837" ht="12.75" customHeight="1">
      <c r="A1837" s="1">
        <v>0.0</v>
      </c>
      <c r="B1837" s="2" t="s">
        <v>3592</v>
      </c>
      <c r="C1837" s="1" t="s">
        <v>3593</v>
      </c>
      <c r="D1837" s="1" t="s">
        <v>1246</v>
      </c>
      <c r="E1837" s="1">
        <v>1.0</v>
      </c>
      <c r="F1837" s="1">
        <v>0.0</v>
      </c>
    </row>
    <row r="1838" ht="12.75" customHeight="1">
      <c r="A1838" s="1">
        <v>0.0</v>
      </c>
      <c r="B1838" s="2" t="s">
        <v>3594</v>
      </c>
      <c r="C1838" s="1" t="s">
        <v>3595</v>
      </c>
      <c r="D1838" s="1" t="s">
        <v>3596</v>
      </c>
      <c r="E1838" s="1">
        <v>1.0</v>
      </c>
      <c r="F1838" s="1">
        <v>0.0</v>
      </c>
    </row>
    <row r="1839" ht="12.75" customHeight="1">
      <c r="A1839" s="1">
        <v>0.0</v>
      </c>
      <c r="B1839" s="2">
        <v>562130.0</v>
      </c>
      <c r="C1839" s="1" t="s">
        <v>3597</v>
      </c>
      <c r="D1839" s="1" t="s">
        <v>3598</v>
      </c>
      <c r="E1839" s="1">
        <v>1.0</v>
      </c>
      <c r="F1839" s="1">
        <v>0.0</v>
      </c>
    </row>
    <row r="1840" ht="12.75" customHeight="1">
      <c r="A1840" s="1">
        <v>0.0</v>
      </c>
      <c r="B1840" s="2">
        <v>564720.0</v>
      </c>
      <c r="C1840" s="1" t="s">
        <v>3599</v>
      </c>
      <c r="D1840" s="1" t="s">
        <v>1253</v>
      </c>
      <c r="E1840" s="1">
        <v>1.0</v>
      </c>
      <c r="F1840" s="1">
        <v>0.0</v>
      </c>
    </row>
    <row r="1841" ht="12.75" customHeight="1">
      <c r="A1841" s="1">
        <v>0.0</v>
      </c>
      <c r="B1841" s="2">
        <v>7900107.0</v>
      </c>
      <c r="C1841" s="1" t="s">
        <v>892</v>
      </c>
      <c r="D1841" s="1" t="s">
        <v>1253</v>
      </c>
      <c r="E1841" s="1">
        <v>1.0</v>
      </c>
      <c r="F1841" s="1">
        <v>0.0</v>
      </c>
    </row>
    <row r="1842" ht="12.75" customHeight="1">
      <c r="A1842" s="1">
        <v>0.0</v>
      </c>
      <c r="B1842" s="2">
        <v>564716.0</v>
      </c>
      <c r="C1842" s="1" t="s">
        <v>3600</v>
      </c>
      <c r="D1842" s="1" t="s">
        <v>3601</v>
      </c>
      <c r="E1842" s="1">
        <v>1.0</v>
      </c>
      <c r="F1842" s="1">
        <v>0.0</v>
      </c>
    </row>
    <row r="1843" ht="12.75" customHeight="1">
      <c r="A1843" s="1">
        <v>0.0</v>
      </c>
      <c r="B1843" s="2" t="s">
        <v>3602</v>
      </c>
      <c r="C1843" s="1" t="s">
        <v>3603</v>
      </c>
      <c r="D1843" s="1" t="s">
        <v>3604</v>
      </c>
      <c r="E1843" s="1">
        <v>1.0</v>
      </c>
      <c r="F1843" s="1">
        <v>0.0</v>
      </c>
    </row>
    <row r="1844" ht="12.75" customHeight="1">
      <c r="A1844" s="1">
        <v>0.0</v>
      </c>
      <c r="B1844" s="2" t="s">
        <v>3605</v>
      </c>
      <c r="C1844" s="1" t="s">
        <v>3606</v>
      </c>
      <c r="D1844" s="1" t="s">
        <v>3607</v>
      </c>
      <c r="E1844" s="1">
        <v>1.0</v>
      </c>
      <c r="F1844" s="1">
        <v>0.0</v>
      </c>
    </row>
    <row r="1845" ht="12.75" customHeight="1">
      <c r="A1845" s="1">
        <v>0.0</v>
      </c>
      <c r="B1845" s="2">
        <v>1130806.0</v>
      </c>
      <c r="C1845" s="1" t="s">
        <v>3608</v>
      </c>
      <c r="D1845" s="1" t="s">
        <v>3609</v>
      </c>
      <c r="E1845" s="1">
        <v>1.0</v>
      </c>
      <c r="F1845" s="1">
        <v>0.0</v>
      </c>
    </row>
    <row r="1846" ht="12.75" customHeight="1">
      <c r="A1846" s="1">
        <v>0.0</v>
      </c>
      <c r="B1846" s="2" t="s">
        <v>3610</v>
      </c>
      <c r="C1846" s="1" t="s">
        <v>3611</v>
      </c>
      <c r="D1846" s="1" t="s">
        <v>3612</v>
      </c>
      <c r="E1846" s="1">
        <v>1.0</v>
      </c>
      <c r="F1846" s="1">
        <v>0.0</v>
      </c>
    </row>
    <row r="1847" ht="12.75" customHeight="1">
      <c r="A1847" s="1">
        <v>0.0</v>
      </c>
      <c r="B1847" s="2" t="s">
        <v>3613</v>
      </c>
      <c r="C1847" s="1" t="s">
        <v>3614</v>
      </c>
      <c r="D1847" s="1" t="s">
        <v>3615</v>
      </c>
      <c r="E1847" s="1">
        <v>1.0</v>
      </c>
      <c r="F1847" s="1">
        <v>0.0</v>
      </c>
    </row>
    <row r="1848" ht="12.75" customHeight="1">
      <c r="A1848" s="1">
        <v>0.0</v>
      </c>
      <c r="B1848" s="2" t="s">
        <v>3616</v>
      </c>
      <c r="C1848" s="1" t="s">
        <v>3617</v>
      </c>
      <c r="D1848" s="1" t="s">
        <v>3618</v>
      </c>
      <c r="E1848" s="1">
        <v>1.0</v>
      </c>
      <c r="F1848" s="1">
        <v>0.0</v>
      </c>
    </row>
    <row r="1849" ht="12.75" customHeight="1">
      <c r="A1849" s="1">
        <v>0.0</v>
      </c>
      <c r="B1849" s="2" t="s">
        <v>3619</v>
      </c>
      <c r="C1849" s="1" t="s">
        <v>3620</v>
      </c>
      <c r="D1849" s="1" t="s">
        <v>3621</v>
      </c>
      <c r="E1849" s="1">
        <v>1.0</v>
      </c>
      <c r="F1849" s="1">
        <v>0.0</v>
      </c>
    </row>
    <row r="1850" ht="12.75" customHeight="1">
      <c r="A1850" s="1">
        <v>0.0</v>
      </c>
      <c r="B1850" s="2" t="s">
        <v>3622</v>
      </c>
      <c r="C1850" s="1" t="s">
        <v>3623</v>
      </c>
      <c r="D1850" s="1" t="s">
        <v>3621</v>
      </c>
      <c r="E1850" s="1">
        <v>1.0</v>
      </c>
      <c r="F1850" s="1">
        <v>0.0</v>
      </c>
    </row>
    <row r="1851" ht="12.75" customHeight="1">
      <c r="A1851" s="1">
        <v>0.0</v>
      </c>
      <c r="B1851" s="2" t="s">
        <v>3624</v>
      </c>
      <c r="C1851" s="1" t="s">
        <v>3625</v>
      </c>
      <c r="D1851" s="1" t="s">
        <v>3621</v>
      </c>
      <c r="E1851" s="1">
        <v>1.0</v>
      </c>
      <c r="F1851" s="1">
        <v>0.0</v>
      </c>
    </row>
    <row r="1852" ht="12.75" customHeight="1">
      <c r="A1852" s="1">
        <v>0.0</v>
      </c>
      <c r="B1852" s="2" t="s">
        <v>3626</v>
      </c>
      <c r="C1852" s="1" t="s">
        <v>3627</v>
      </c>
      <c r="D1852" s="1" t="s">
        <v>3621</v>
      </c>
      <c r="E1852" s="1">
        <v>1.0</v>
      </c>
      <c r="F1852" s="1">
        <v>0.0</v>
      </c>
    </row>
    <row r="1853" ht="12.75" customHeight="1">
      <c r="A1853" s="1">
        <v>0.0</v>
      </c>
      <c r="B1853" s="2" t="s">
        <v>3628</v>
      </c>
      <c r="C1853" s="1" t="s">
        <v>3629</v>
      </c>
      <c r="D1853" s="1" t="s">
        <v>3621</v>
      </c>
      <c r="E1853" s="1">
        <v>1.0</v>
      </c>
      <c r="F1853" s="1">
        <v>0.0</v>
      </c>
    </row>
    <row r="1854" ht="12.75" customHeight="1">
      <c r="A1854" s="1">
        <v>0.0</v>
      </c>
      <c r="B1854" s="2" t="s">
        <v>3630</v>
      </c>
      <c r="C1854" s="1" t="s">
        <v>3631</v>
      </c>
      <c r="D1854" s="1" t="s">
        <v>3621</v>
      </c>
      <c r="E1854" s="1">
        <v>1.0</v>
      </c>
      <c r="F1854" s="1">
        <v>0.0</v>
      </c>
    </row>
    <row r="1855" ht="12.75" customHeight="1">
      <c r="A1855" s="1">
        <v>0.0</v>
      </c>
      <c r="B1855" s="2" t="s">
        <v>3632</v>
      </c>
      <c r="C1855" s="1" t="s">
        <v>3633</v>
      </c>
      <c r="D1855" s="1" t="s">
        <v>3621</v>
      </c>
      <c r="E1855" s="1">
        <v>1.0</v>
      </c>
      <c r="F1855" s="1">
        <v>0.0</v>
      </c>
    </row>
    <row r="1856" ht="12.75" customHeight="1">
      <c r="A1856" s="1">
        <v>0.0</v>
      </c>
      <c r="B1856" s="2" t="s">
        <v>3634</v>
      </c>
      <c r="C1856" s="1" t="s">
        <v>3635</v>
      </c>
      <c r="D1856" s="1" t="s">
        <v>3621</v>
      </c>
      <c r="E1856" s="1">
        <v>1.0</v>
      </c>
      <c r="F1856" s="1">
        <v>0.0</v>
      </c>
    </row>
    <row r="1857" ht="12.75" customHeight="1">
      <c r="A1857" s="1">
        <v>0.0</v>
      </c>
      <c r="B1857" s="2" t="s">
        <v>3636</v>
      </c>
      <c r="C1857" s="1" t="s">
        <v>3637</v>
      </c>
      <c r="D1857" s="1" t="s">
        <v>3621</v>
      </c>
      <c r="E1857" s="1">
        <v>1.0</v>
      </c>
      <c r="F1857" s="1">
        <v>0.0</v>
      </c>
    </row>
    <row r="1858" ht="12.75" customHeight="1">
      <c r="A1858" s="1">
        <v>0.0</v>
      </c>
      <c r="B1858" s="2" t="s">
        <v>3638</v>
      </c>
      <c r="C1858" s="1" t="s">
        <v>3639</v>
      </c>
      <c r="D1858" s="1" t="s">
        <v>3621</v>
      </c>
      <c r="E1858" s="1">
        <v>1.0</v>
      </c>
      <c r="F1858" s="1">
        <v>0.0</v>
      </c>
    </row>
    <row r="1859" ht="12.75" customHeight="1">
      <c r="A1859" s="1">
        <v>0.0</v>
      </c>
      <c r="B1859" s="2" t="s">
        <v>3640</v>
      </c>
      <c r="C1859" s="1" t="s">
        <v>3641</v>
      </c>
      <c r="D1859" s="1" t="s">
        <v>3621</v>
      </c>
      <c r="E1859" s="1">
        <v>1.0</v>
      </c>
      <c r="F1859" s="1">
        <v>0.0</v>
      </c>
    </row>
    <row r="1860" ht="12.75" customHeight="1">
      <c r="A1860" s="1">
        <v>0.0</v>
      </c>
      <c r="B1860" s="2" t="s">
        <v>3642</v>
      </c>
      <c r="C1860" s="1" t="s">
        <v>3643</v>
      </c>
      <c r="D1860" s="1" t="s">
        <v>3621</v>
      </c>
      <c r="E1860" s="1">
        <v>1.0</v>
      </c>
      <c r="F1860" s="1">
        <v>0.0</v>
      </c>
    </row>
    <row r="1861" ht="12.75" customHeight="1">
      <c r="A1861" s="1">
        <v>0.0</v>
      </c>
      <c r="B1861" s="2" t="s">
        <v>3644</v>
      </c>
      <c r="C1861" s="1" t="s">
        <v>3645</v>
      </c>
      <c r="D1861" s="1" t="s">
        <v>3621</v>
      </c>
      <c r="E1861" s="1">
        <v>1.0</v>
      </c>
      <c r="F1861" s="1">
        <v>0.0</v>
      </c>
    </row>
    <row r="1862" ht="12.75" customHeight="1">
      <c r="A1862" s="1">
        <v>0.0</v>
      </c>
      <c r="B1862" s="2" t="s">
        <v>3646</v>
      </c>
      <c r="C1862" s="1" t="s">
        <v>3647</v>
      </c>
      <c r="D1862" s="1" t="s">
        <v>3621</v>
      </c>
      <c r="E1862" s="1">
        <v>1.0</v>
      </c>
      <c r="F1862" s="1">
        <v>0.0</v>
      </c>
    </row>
    <row r="1863" ht="12.75" customHeight="1">
      <c r="A1863" s="1">
        <v>0.0</v>
      </c>
      <c r="B1863" s="2" t="s">
        <v>3648</v>
      </c>
      <c r="C1863" s="1" t="s">
        <v>3649</v>
      </c>
      <c r="D1863" s="1" t="s">
        <v>3621</v>
      </c>
      <c r="E1863" s="1">
        <v>1.0</v>
      </c>
      <c r="F1863" s="1">
        <v>0.0</v>
      </c>
    </row>
    <row r="1864" ht="12.75" customHeight="1">
      <c r="A1864" s="1">
        <v>0.0</v>
      </c>
      <c r="B1864" s="2" t="s">
        <v>3650</v>
      </c>
      <c r="C1864" s="1" t="s">
        <v>3651</v>
      </c>
      <c r="D1864" s="1" t="s">
        <v>3621</v>
      </c>
      <c r="E1864" s="1">
        <v>1.0</v>
      </c>
      <c r="F1864" s="1">
        <v>0.0</v>
      </c>
    </row>
    <row r="1865" ht="12.75" customHeight="1">
      <c r="A1865" s="1">
        <v>0.0</v>
      </c>
      <c r="B1865" s="2" t="s">
        <v>3652</v>
      </c>
      <c r="C1865" s="1" t="s">
        <v>3653</v>
      </c>
      <c r="D1865" s="1" t="s">
        <v>3621</v>
      </c>
      <c r="E1865" s="1">
        <v>1.0</v>
      </c>
      <c r="F1865" s="1">
        <v>0.0</v>
      </c>
    </row>
    <row r="1866" ht="12.75" customHeight="1">
      <c r="A1866" s="1">
        <v>0.0</v>
      </c>
      <c r="B1866" s="2" t="s">
        <v>3654</v>
      </c>
      <c r="C1866" s="1" t="s">
        <v>3655</v>
      </c>
      <c r="D1866" s="1" t="s">
        <v>3656</v>
      </c>
      <c r="E1866" s="1">
        <v>1.0</v>
      </c>
      <c r="F1866" s="1">
        <v>0.0</v>
      </c>
    </row>
    <row r="1867" ht="12.75" customHeight="1">
      <c r="A1867" s="1">
        <v>0.0</v>
      </c>
      <c r="B1867" s="2" t="s">
        <v>3657</v>
      </c>
      <c r="C1867" s="1" t="s">
        <v>3658</v>
      </c>
      <c r="D1867" s="1" t="s">
        <v>3659</v>
      </c>
      <c r="E1867" s="1">
        <v>1.0</v>
      </c>
      <c r="F1867" s="1">
        <v>0.0</v>
      </c>
    </row>
    <row r="1868" ht="12.75" customHeight="1">
      <c r="A1868" s="1">
        <v>0.0</v>
      </c>
      <c r="B1868" s="2">
        <v>567573.0</v>
      </c>
      <c r="C1868" s="1" t="s">
        <v>3660</v>
      </c>
      <c r="D1868" s="1" t="s">
        <v>3661</v>
      </c>
      <c r="E1868" s="1">
        <v>1.0</v>
      </c>
      <c r="F1868" s="1">
        <v>0.0</v>
      </c>
    </row>
    <row r="1869" ht="12.75" customHeight="1">
      <c r="A1869" s="1">
        <v>0.0</v>
      </c>
      <c r="B1869" s="2">
        <v>3801343.0</v>
      </c>
      <c r="C1869" s="1" t="s">
        <v>312</v>
      </c>
      <c r="D1869" s="1" t="s">
        <v>3662</v>
      </c>
      <c r="E1869" s="1">
        <v>1.0</v>
      </c>
      <c r="F1869" s="1">
        <v>0.0</v>
      </c>
    </row>
    <row r="1870" ht="12.75" customHeight="1">
      <c r="A1870" s="1">
        <v>0.0</v>
      </c>
      <c r="B1870" s="2" t="s">
        <v>3663</v>
      </c>
      <c r="C1870" s="1" t="s">
        <v>3664</v>
      </c>
      <c r="D1870" s="1" t="s">
        <v>3665</v>
      </c>
      <c r="E1870" s="1">
        <v>1.0</v>
      </c>
      <c r="F1870" s="1">
        <v>0.0</v>
      </c>
    </row>
    <row r="1871" ht="12.75" customHeight="1">
      <c r="A1871" s="1">
        <v>0.0</v>
      </c>
      <c r="B1871" s="2" t="s">
        <v>3666</v>
      </c>
      <c r="C1871" s="1" t="s">
        <v>3667</v>
      </c>
      <c r="D1871" s="1" t="s">
        <v>3668</v>
      </c>
      <c r="E1871" s="1">
        <v>1.0</v>
      </c>
      <c r="F1871" s="1">
        <v>0.0</v>
      </c>
    </row>
    <row r="1872" ht="12.75" customHeight="1">
      <c r="A1872" s="1">
        <v>0.0</v>
      </c>
      <c r="B1872" s="2" t="s">
        <v>3669</v>
      </c>
      <c r="C1872" s="1" t="s">
        <v>3670</v>
      </c>
      <c r="D1872" s="1" t="s">
        <v>3671</v>
      </c>
      <c r="E1872" s="1">
        <v>1.0</v>
      </c>
      <c r="F1872" s="1">
        <v>0.0</v>
      </c>
    </row>
    <row r="1873" ht="12.75" customHeight="1">
      <c r="A1873" s="1">
        <v>0.0</v>
      </c>
      <c r="B1873" s="2">
        <v>8053605.0</v>
      </c>
      <c r="C1873" s="1" t="s">
        <v>6</v>
      </c>
      <c r="D1873" s="1" t="s">
        <v>3672</v>
      </c>
      <c r="E1873" s="1">
        <v>1.0</v>
      </c>
      <c r="F1873" s="1">
        <v>0.0</v>
      </c>
    </row>
    <row r="1874" ht="12.75" customHeight="1">
      <c r="A1874" s="1">
        <v>0.0</v>
      </c>
      <c r="B1874" s="2">
        <v>8050111.0</v>
      </c>
      <c r="C1874" s="1" t="s">
        <v>6</v>
      </c>
      <c r="D1874" s="1" t="s">
        <v>3673</v>
      </c>
      <c r="E1874" s="1">
        <v>1.0</v>
      </c>
      <c r="F1874" s="1">
        <v>0.0</v>
      </c>
    </row>
    <row r="1875" ht="12.75" customHeight="1">
      <c r="A1875" s="1">
        <v>0.0</v>
      </c>
      <c r="B1875" s="2">
        <v>8050113.0</v>
      </c>
      <c r="C1875" s="1" t="s">
        <v>6</v>
      </c>
      <c r="D1875" s="1" t="s">
        <v>3674</v>
      </c>
      <c r="E1875" s="1">
        <v>1.0</v>
      </c>
      <c r="F1875" s="1">
        <v>0.0</v>
      </c>
    </row>
    <row r="1876" ht="12.75" customHeight="1">
      <c r="A1876" s="1">
        <v>0.0</v>
      </c>
      <c r="B1876" s="2">
        <v>8050121.0</v>
      </c>
      <c r="C1876" s="1" t="s">
        <v>3675</v>
      </c>
      <c r="D1876" s="1" t="s">
        <v>35</v>
      </c>
      <c r="E1876" s="1">
        <v>1.0</v>
      </c>
      <c r="F1876" s="1">
        <v>0.0</v>
      </c>
    </row>
    <row r="1877" ht="12.75" customHeight="1">
      <c r="A1877" s="1">
        <v>0.0</v>
      </c>
      <c r="B1877" s="2">
        <v>8050521.0</v>
      </c>
      <c r="C1877" s="1" t="s">
        <v>3676</v>
      </c>
      <c r="D1877" s="1" t="s">
        <v>35</v>
      </c>
      <c r="E1877" s="1">
        <v>1.0</v>
      </c>
      <c r="F1877" s="1">
        <v>0.0</v>
      </c>
    </row>
    <row r="1878" ht="12.75" customHeight="1">
      <c r="A1878" s="1">
        <v>0.0</v>
      </c>
      <c r="B1878" s="2">
        <v>8051405.0</v>
      </c>
      <c r="C1878" s="1" t="s">
        <v>6</v>
      </c>
      <c r="D1878" s="1" t="s">
        <v>3677</v>
      </c>
      <c r="E1878" s="1">
        <v>1.0</v>
      </c>
      <c r="F1878" s="1">
        <v>0.0</v>
      </c>
    </row>
    <row r="1879" ht="12.75" customHeight="1">
      <c r="A1879" s="1">
        <v>0.0</v>
      </c>
      <c r="B1879" s="2">
        <v>8051404.0</v>
      </c>
      <c r="C1879" s="1" t="s">
        <v>6</v>
      </c>
      <c r="D1879" s="1" t="s">
        <v>3678</v>
      </c>
      <c r="E1879" s="1">
        <v>1.0</v>
      </c>
      <c r="F1879" s="1">
        <v>0.0</v>
      </c>
    </row>
    <row r="1880" ht="12.75" customHeight="1">
      <c r="A1880" s="1">
        <v>0.0</v>
      </c>
      <c r="B1880" s="2">
        <v>8050203.0</v>
      </c>
      <c r="C1880" s="1" t="s">
        <v>6</v>
      </c>
      <c r="D1880" s="1" t="s">
        <v>3679</v>
      </c>
      <c r="E1880" s="1">
        <v>1.0</v>
      </c>
      <c r="F1880" s="1">
        <v>0.0</v>
      </c>
    </row>
    <row r="1881" ht="12.75" customHeight="1">
      <c r="A1881" s="1">
        <v>0.0</v>
      </c>
      <c r="B1881" s="2">
        <v>8050204.0</v>
      </c>
      <c r="C1881" s="1" t="s">
        <v>6</v>
      </c>
      <c r="D1881" s="1" t="s">
        <v>3680</v>
      </c>
      <c r="E1881" s="1">
        <v>1.0</v>
      </c>
      <c r="F1881" s="1">
        <v>0.0</v>
      </c>
    </row>
    <row r="1882" ht="12.75" customHeight="1">
      <c r="A1882" s="1">
        <v>0.0</v>
      </c>
      <c r="B1882" s="2">
        <v>564782.0</v>
      </c>
      <c r="C1882" s="1" t="s">
        <v>3681</v>
      </c>
      <c r="D1882" s="1" t="s">
        <v>3682</v>
      </c>
      <c r="E1882" s="1">
        <v>1.0</v>
      </c>
      <c r="F1882" s="1">
        <v>0.0</v>
      </c>
    </row>
    <row r="1883" ht="12.75" customHeight="1">
      <c r="A1883" s="1">
        <v>0.0</v>
      </c>
      <c r="B1883" s="2" t="s">
        <v>3683</v>
      </c>
      <c r="C1883" s="1" t="s">
        <v>3684</v>
      </c>
      <c r="D1883" s="1" t="s">
        <v>3685</v>
      </c>
      <c r="E1883" s="1">
        <v>1.0</v>
      </c>
      <c r="F1883" s="1">
        <v>0.0</v>
      </c>
    </row>
    <row r="1884" ht="12.75" customHeight="1">
      <c r="A1884" s="1">
        <v>0.0</v>
      </c>
      <c r="B1884" s="2">
        <v>8050501.0</v>
      </c>
      <c r="C1884" s="1" t="s">
        <v>6</v>
      </c>
      <c r="D1884" s="1" t="s">
        <v>3686</v>
      </c>
      <c r="E1884" s="1">
        <v>1.0</v>
      </c>
      <c r="F1884" s="1">
        <v>0.0</v>
      </c>
    </row>
    <row r="1885" ht="12.75" customHeight="1">
      <c r="A1885" s="1">
        <v>0.0</v>
      </c>
      <c r="B1885" s="2">
        <v>8050604.0</v>
      </c>
      <c r="C1885" s="1" t="s">
        <v>6</v>
      </c>
      <c r="D1885" s="1" t="s">
        <v>3687</v>
      </c>
      <c r="E1885" s="1">
        <v>1.0</v>
      </c>
      <c r="F1885" s="1">
        <v>0.0</v>
      </c>
    </row>
    <row r="1886" ht="12.75" customHeight="1">
      <c r="A1886" s="1">
        <v>0.0</v>
      </c>
      <c r="B1886" s="2">
        <v>8050606.0</v>
      </c>
      <c r="C1886" s="1" t="s">
        <v>6</v>
      </c>
      <c r="D1886" s="1" t="s">
        <v>3688</v>
      </c>
      <c r="E1886" s="1">
        <v>1.0</v>
      </c>
      <c r="F1886" s="1">
        <v>0.0</v>
      </c>
    </row>
    <row r="1887" ht="12.75" customHeight="1">
      <c r="A1887" s="1">
        <v>0.0</v>
      </c>
      <c r="B1887" s="2" t="s">
        <v>3689</v>
      </c>
      <c r="C1887" s="1" t="s">
        <v>3690</v>
      </c>
      <c r="D1887" s="1" t="s">
        <v>3691</v>
      </c>
      <c r="E1887" s="1">
        <v>1.0</v>
      </c>
      <c r="F1887" s="1">
        <v>0.0</v>
      </c>
    </row>
    <row r="1888" ht="12.75" customHeight="1">
      <c r="A1888" s="1">
        <v>0.0</v>
      </c>
      <c r="B1888" s="2" t="s">
        <v>3692</v>
      </c>
      <c r="C1888" s="1" t="s">
        <v>3693</v>
      </c>
      <c r="D1888" s="1" t="s">
        <v>3694</v>
      </c>
      <c r="E1888" s="1">
        <v>1.0</v>
      </c>
      <c r="F1888" s="1">
        <v>0.0</v>
      </c>
    </row>
    <row r="1889" ht="12.75" customHeight="1">
      <c r="A1889" s="1">
        <v>0.0</v>
      </c>
      <c r="B1889" s="2" t="s">
        <v>3695</v>
      </c>
      <c r="C1889" s="1" t="s">
        <v>3696</v>
      </c>
      <c r="D1889" s="1" t="s">
        <v>3697</v>
      </c>
      <c r="E1889" s="1">
        <v>1.0</v>
      </c>
      <c r="F1889" s="1">
        <v>0.0</v>
      </c>
    </row>
    <row r="1890" ht="12.75" customHeight="1">
      <c r="A1890" s="1">
        <v>0.0</v>
      </c>
      <c r="B1890" s="2" t="s">
        <v>3698</v>
      </c>
      <c r="C1890" s="1" t="s">
        <v>3699</v>
      </c>
      <c r="D1890" s="1" t="s">
        <v>3700</v>
      </c>
      <c r="E1890" s="1">
        <v>1.0</v>
      </c>
      <c r="F1890" s="1">
        <v>0.0</v>
      </c>
    </row>
    <row r="1891" ht="12.75" customHeight="1">
      <c r="A1891" s="1">
        <v>0.0</v>
      </c>
      <c r="B1891" s="2" t="s">
        <v>3701</v>
      </c>
      <c r="C1891" s="1" t="s">
        <v>3702</v>
      </c>
      <c r="D1891" s="1" t="s">
        <v>3703</v>
      </c>
      <c r="E1891" s="1">
        <v>1.0</v>
      </c>
      <c r="F1891" s="1">
        <v>0.0</v>
      </c>
    </row>
    <row r="1892" ht="12.75" customHeight="1">
      <c r="A1892" s="1">
        <v>0.0</v>
      </c>
      <c r="B1892" s="2" t="s">
        <v>3704</v>
      </c>
      <c r="C1892" s="1" t="s">
        <v>3705</v>
      </c>
      <c r="D1892" s="1" t="s">
        <v>3706</v>
      </c>
      <c r="E1892" s="1">
        <v>1.0</v>
      </c>
      <c r="F1892" s="1">
        <v>0.0</v>
      </c>
    </row>
    <row r="1893" ht="12.75" customHeight="1">
      <c r="A1893" s="1">
        <v>0.0</v>
      </c>
      <c r="B1893" s="2" t="s">
        <v>3707</v>
      </c>
      <c r="C1893" s="1" t="s">
        <v>3708</v>
      </c>
      <c r="D1893" s="1" t="s">
        <v>3709</v>
      </c>
      <c r="E1893" s="1">
        <v>1.0</v>
      </c>
      <c r="F1893" s="1">
        <v>0.0</v>
      </c>
    </row>
    <row r="1894" ht="12.75" customHeight="1">
      <c r="A1894" s="1">
        <v>0.0</v>
      </c>
      <c r="B1894" s="2" t="s">
        <v>3710</v>
      </c>
      <c r="C1894" s="1" t="s">
        <v>3711</v>
      </c>
      <c r="D1894" s="1" t="s">
        <v>3712</v>
      </c>
      <c r="E1894" s="1">
        <v>1.0</v>
      </c>
      <c r="F1894" s="1">
        <v>0.0</v>
      </c>
    </row>
    <row r="1895" ht="12.75" customHeight="1">
      <c r="A1895" s="1">
        <v>0.0</v>
      </c>
      <c r="B1895" s="2" t="s">
        <v>3713</v>
      </c>
      <c r="C1895" s="1" t="s">
        <v>3714</v>
      </c>
      <c r="D1895" s="1" t="s">
        <v>1282</v>
      </c>
      <c r="E1895" s="1">
        <v>1.0</v>
      </c>
      <c r="F1895" s="1">
        <v>0.0</v>
      </c>
    </row>
    <row r="1896" ht="12.75" customHeight="1">
      <c r="A1896" s="1">
        <v>0.0</v>
      </c>
      <c r="B1896" s="2">
        <v>860406.0</v>
      </c>
      <c r="C1896" s="1" t="s">
        <v>3715</v>
      </c>
      <c r="D1896" s="1" t="s">
        <v>246</v>
      </c>
      <c r="E1896" s="1">
        <v>1.0</v>
      </c>
      <c r="F1896" s="1">
        <v>0.0</v>
      </c>
    </row>
    <row r="1897" ht="12.75" customHeight="1">
      <c r="A1897" s="1">
        <v>0.0</v>
      </c>
      <c r="B1897" s="2" t="s">
        <v>3716</v>
      </c>
      <c r="C1897" s="1" t="s">
        <v>3717</v>
      </c>
      <c r="D1897" s="1" t="s">
        <v>3718</v>
      </c>
      <c r="E1897" s="1">
        <v>1.0</v>
      </c>
      <c r="F1897" s="1">
        <v>0.0</v>
      </c>
    </row>
    <row r="1898" ht="12.75" customHeight="1">
      <c r="A1898" s="1">
        <v>0.0</v>
      </c>
      <c r="B1898" s="2" t="s">
        <v>3719</v>
      </c>
      <c r="C1898" s="1" t="s">
        <v>3720</v>
      </c>
      <c r="D1898" s="1" t="s">
        <v>3721</v>
      </c>
      <c r="E1898" s="1">
        <v>1.0</v>
      </c>
      <c r="F1898" s="1">
        <v>0.0</v>
      </c>
    </row>
    <row r="1899" ht="12.75" customHeight="1">
      <c r="A1899" s="1">
        <v>0.0</v>
      </c>
      <c r="B1899" s="2" t="s">
        <v>3722</v>
      </c>
      <c r="C1899" s="1" t="s">
        <v>3723</v>
      </c>
      <c r="D1899" s="1" t="s">
        <v>3724</v>
      </c>
      <c r="E1899" s="1">
        <v>1.0</v>
      </c>
      <c r="F1899" s="1">
        <v>0.0</v>
      </c>
    </row>
    <row r="1900" ht="12.75" customHeight="1">
      <c r="A1900" s="1">
        <v>0.0</v>
      </c>
      <c r="B1900" s="2" t="s">
        <v>3725</v>
      </c>
      <c r="C1900" s="1" t="s">
        <v>3726</v>
      </c>
      <c r="D1900" s="1" t="s">
        <v>3727</v>
      </c>
      <c r="E1900" s="1">
        <v>1.0</v>
      </c>
      <c r="F1900" s="1">
        <v>0.0</v>
      </c>
    </row>
    <row r="1901" ht="12.75" customHeight="1">
      <c r="A1901" s="1">
        <v>0.0</v>
      </c>
      <c r="B1901" s="2" t="s">
        <v>3728</v>
      </c>
      <c r="C1901" s="1" t="s">
        <v>3729</v>
      </c>
      <c r="D1901" s="1" t="s">
        <v>3730</v>
      </c>
      <c r="E1901" s="1">
        <v>1.0</v>
      </c>
      <c r="F1901" s="1">
        <v>0.0</v>
      </c>
    </row>
    <row r="1902" ht="12.75" customHeight="1">
      <c r="A1902" s="1">
        <v>0.0</v>
      </c>
      <c r="B1902" s="2" t="s">
        <v>3731</v>
      </c>
      <c r="C1902" s="1" t="s">
        <v>3732</v>
      </c>
      <c r="D1902" s="1" t="s">
        <v>3733</v>
      </c>
      <c r="E1902" s="1">
        <v>1.0</v>
      </c>
      <c r="F1902" s="1">
        <v>0.0</v>
      </c>
    </row>
    <row r="1903" ht="12.75" customHeight="1">
      <c r="A1903" s="1">
        <v>0.0</v>
      </c>
      <c r="B1903" s="2" t="s">
        <v>3734</v>
      </c>
      <c r="C1903" s="1" t="s">
        <v>3735</v>
      </c>
      <c r="D1903" s="1" t="s">
        <v>3736</v>
      </c>
      <c r="E1903" s="1">
        <v>1.0</v>
      </c>
      <c r="F1903" s="1">
        <v>0.0</v>
      </c>
    </row>
    <row r="1904" ht="12.75" customHeight="1">
      <c r="A1904" s="1">
        <v>0.0</v>
      </c>
      <c r="B1904" s="2" t="s">
        <v>3737</v>
      </c>
      <c r="C1904" s="1" t="s">
        <v>3738</v>
      </c>
      <c r="D1904" s="1" t="s">
        <v>3739</v>
      </c>
      <c r="E1904" s="1">
        <v>1.0</v>
      </c>
      <c r="F1904" s="1">
        <v>0.0</v>
      </c>
    </row>
    <row r="1905" ht="12.75" customHeight="1">
      <c r="A1905" s="1">
        <v>0.0</v>
      </c>
      <c r="B1905" s="2" t="s">
        <v>3740</v>
      </c>
      <c r="C1905" s="1" t="s">
        <v>3741</v>
      </c>
      <c r="D1905" s="1" t="s">
        <v>3742</v>
      </c>
      <c r="E1905" s="1">
        <v>1.0</v>
      </c>
      <c r="F1905" s="1">
        <v>0.0</v>
      </c>
    </row>
    <row r="1906" ht="12.75" customHeight="1">
      <c r="A1906" s="1">
        <v>0.0</v>
      </c>
      <c r="B1906" s="2">
        <v>564759.0</v>
      </c>
      <c r="C1906" s="1" t="s">
        <v>3600</v>
      </c>
      <c r="D1906" s="1" t="s">
        <v>3743</v>
      </c>
      <c r="E1906" s="1">
        <v>1.0</v>
      </c>
      <c r="F1906" s="1">
        <v>0.0</v>
      </c>
    </row>
    <row r="1907" ht="12.75" customHeight="1">
      <c r="A1907" s="1">
        <v>0.0</v>
      </c>
      <c r="B1907" s="2" t="s">
        <v>3744</v>
      </c>
      <c r="C1907" s="1" t="s">
        <v>3745</v>
      </c>
      <c r="D1907" s="1" t="s">
        <v>3746</v>
      </c>
      <c r="E1907" s="1">
        <v>1.0</v>
      </c>
      <c r="F1907" s="1">
        <v>0.0</v>
      </c>
    </row>
    <row r="1908" ht="12.75" customHeight="1">
      <c r="A1908" s="1">
        <v>0.0</v>
      </c>
      <c r="B1908" s="2" t="s">
        <v>3747</v>
      </c>
      <c r="C1908" s="1" t="s">
        <v>325</v>
      </c>
      <c r="D1908" s="1" t="s">
        <v>1296</v>
      </c>
      <c r="E1908" s="1">
        <v>1.0</v>
      </c>
      <c r="F1908" s="1">
        <v>0.0</v>
      </c>
    </row>
    <row r="1909" ht="12.75" customHeight="1">
      <c r="A1909" s="1">
        <v>0.0</v>
      </c>
      <c r="B1909" s="2" t="s">
        <v>3748</v>
      </c>
      <c r="C1909" s="1" t="s">
        <v>3749</v>
      </c>
      <c r="D1909" s="1" t="s">
        <v>1296</v>
      </c>
      <c r="E1909" s="1">
        <v>1.0</v>
      </c>
      <c r="F1909" s="1">
        <v>0.0</v>
      </c>
    </row>
    <row r="1910" ht="12.75" customHeight="1">
      <c r="A1910" s="1">
        <v>0.0</v>
      </c>
      <c r="B1910" s="2" t="s">
        <v>3750</v>
      </c>
      <c r="C1910" s="1" t="s">
        <v>3751</v>
      </c>
      <c r="D1910" s="1" t="s">
        <v>1296</v>
      </c>
      <c r="E1910" s="1">
        <v>1.0</v>
      </c>
      <c r="F1910" s="1">
        <v>0.0</v>
      </c>
    </row>
    <row r="1911" ht="12.75" customHeight="1">
      <c r="A1911" s="1">
        <v>0.0</v>
      </c>
      <c r="B1911" s="2">
        <v>3801363.0</v>
      </c>
      <c r="C1911" s="1" t="s">
        <v>3752</v>
      </c>
      <c r="D1911" s="1" t="s">
        <v>3753</v>
      </c>
      <c r="E1911" s="1">
        <v>1.0</v>
      </c>
      <c r="F1911" s="1">
        <v>0.0</v>
      </c>
    </row>
    <row r="1912" ht="12.75" customHeight="1">
      <c r="A1912" s="1">
        <v>0.0</v>
      </c>
      <c r="B1912" s="2">
        <v>3801359.0</v>
      </c>
      <c r="C1912" s="1" t="s">
        <v>312</v>
      </c>
      <c r="D1912" s="1" t="s">
        <v>3754</v>
      </c>
      <c r="E1912" s="1">
        <v>1.0</v>
      </c>
      <c r="F1912" s="1">
        <v>0.0</v>
      </c>
    </row>
    <row r="1913" ht="12.75" customHeight="1">
      <c r="A1913" s="1">
        <v>0.0</v>
      </c>
      <c r="B1913" s="2" t="s">
        <v>3755</v>
      </c>
      <c r="C1913" s="1" t="s">
        <v>3756</v>
      </c>
      <c r="D1913" s="1" t="s">
        <v>3757</v>
      </c>
      <c r="E1913" s="1">
        <v>1.0</v>
      </c>
      <c r="F1913" s="1">
        <v>0.0</v>
      </c>
    </row>
    <row r="1914" ht="12.75" customHeight="1">
      <c r="A1914" s="1">
        <v>0.0</v>
      </c>
      <c r="B1914" s="2" t="s">
        <v>3758</v>
      </c>
      <c r="C1914" s="1" t="s">
        <v>3759</v>
      </c>
      <c r="D1914" s="1" t="s">
        <v>3760</v>
      </c>
      <c r="E1914" s="1">
        <v>1.0</v>
      </c>
      <c r="F1914" s="1">
        <v>0.0</v>
      </c>
    </row>
    <row r="1915" ht="12.75" customHeight="1">
      <c r="A1915" s="1">
        <v>0.0</v>
      </c>
      <c r="B1915" s="2" t="s">
        <v>3761</v>
      </c>
      <c r="C1915" s="1" t="s">
        <v>3762</v>
      </c>
      <c r="D1915" s="1" t="s">
        <v>3763</v>
      </c>
      <c r="E1915" s="1">
        <v>1.0</v>
      </c>
      <c r="F1915" s="1">
        <v>0.0</v>
      </c>
    </row>
    <row r="1916" ht="12.75" customHeight="1">
      <c r="A1916" s="1">
        <v>0.0</v>
      </c>
      <c r="B1916" s="2" t="s">
        <v>3764</v>
      </c>
      <c r="C1916" s="1" t="s">
        <v>3765</v>
      </c>
      <c r="D1916" s="1" t="s">
        <v>3766</v>
      </c>
      <c r="E1916" s="1">
        <v>1.0</v>
      </c>
      <c r="F1916" s="1">
        <v>0.0</v>
      </c>
    </row>
    <row r="1917" ht="12.75" customHeight="1">
      <c r="A1917" s="1">
        <v>0.0</v>
      </c>
      <c r="B1917" s="2" t="s">
        <v>3767</v>
      </c>
      <c r="C1917" s="1" t="s">
        <v>3768</v>
      </c>
      <c r="D1917" s="1" t="s">
        <v>3769</v>
      </c>
      <c r="E1917" s="1">
        <v>1.0</v>
      </c>
      <c r="F1917" s="1">
        <v>0.0</v>
      </c>
    </row>
    <row r="1918" ht="12.75" customHeight="1">
      <c r="A1918" s="1">
        <v>0.0</v>
      </c>
      <c r="B1918" s="2" t="s">
        <v>3770</v>
      </c>
      <c r="C1918" s="1" t="s">
        <v>3771</v>
      </c>
      <c r="D1918" s="1" t="s">
        <v>3772</v>
      </c>
      <c r="E1918" s="1">
        <v>1.0</v>
      </c>
      <c r="F1918" s="1">
        <v>0.0</v>
      </c>
    </row>
    <row r="1919" ht="12.75" customHeight="1">
      <c r="A1919" s="1">
        <v>0.0</v>
      </c>
      <c r="B1919" s="2" t="s">
        <v>3773</v>
      </c>
      <c r="C1919" s="1" t="s">
        <v>3774</v>
      </c>
      <c r="D1919" s="1" t="s">
        <v>3775</v>
      </c>
      <c r="E1919" s="1">
        <v>1.0</v>
      </c>
      <c r="F1919" s="1">
        <v>0.0</v>
      </c>
    </row>
    <row r="1920" ht="12.75" customHeight="1">
      <c r="A1920" s="1">
        <v>0.0</v>
      </c>
      <c r="B1920" s="2">
        <v>7900204.0</v>
      </c>
      <c r="C1920" s="1" t="s">
        <v>916</v>
      </c>
      <c r="D1920" s="1" t="s">
        <v>3776</v>
      </c>
      <c r="E1920" s="1">
        <v>1.0</v>
      </c>
      <c r="F1920" s="1">
        <v>0.0</v>
      </c>
    </row>
    <row r="1921" ht="12.75" customHeight="1">
      <c r="A1921" s="1">
        <v>0.0</v>
      </c>
      <c r="B1921" s="2" t="s">
        <v>3777</v>
      </c>
      <c r="C1921" s="1" t="s">
        <v>3778</v>
      </c>
      <c r="D1921" s="1" t="s">
        <v>3779</v>
      </c>
      <c r="E1921" s="1">
        <v>1.0</v>
      </c>
      <c r="F1921" s="1">
        <v>0.0</v>
      </c>
    </row>
    <row r="1922" ht="12.75" customHeight="1">
      <c r="A1922" s="1">
        <v>0.0</v>
      </c>
      <c r="B1922" s="2" t="s">
        <v>3780</v>
      </c>
      <c r="C1922" s="1" t="s">
        <v>3781</v>
      </c>
      <c r="D1922" s="1" t="s">
        <v>3782</v>
      </c>
      <c r="E1922" s="1">
        <v>1.0</v>
      </c>
      <c r="F1922" s="1">
        <v>0.0</v>
      </c>
    </row>
    <row r="1923" ht="12.75" customHeight="1">
      <c r="A1923" s="1">
        <v>0.0</v>
      </c>
      <c r="B1923" s="2" t="s">
        <v>3783</v>
      </c>
      <c r="C1923" s="1" t="s">
        <v>3784</v>
      </c>
      <c r="D1923" s="1" t="s">
        <v>3785</v>
      </c>
      <c r="E1923" s="1">
        <v>1.0</v>
      </c>
      <c r="F1923" s="1">
        <v>0.0</v>
      </c>
    </row>
    <row r="1924" ht="12.75" customHeight="1">
      <c r="A1924" s="1">
        <v>0.0</v>
      </c>
      <c r="B1924" s="2" t="s">
        <v>3786</v>
      </c>
      <c r="C1924" s="1" t="s">
        <v>3787</v>
      </c>
      <c r="D1924" s="1" t="s">
        <v>3788</v>
      </c>
      <c r="E1924" s="1">
        <v>1.0</v>
      </c>
      <c r="F1924" s="1">
        <v>0.0</v>
      </c>
    </row>
    <row r="1925" ht="12.75" customHeight="1">
      <c r="A1925" s="1">
        <v>0.0</v>
      </c>
      <c r="B1925" s="2" t="s">
        <v>3789</v>
      </c>
      <c r="C1925" s="1" t="s">
        <v>3790</v>
      </c>
      <c r="D1925" s="1" t="s">
        <v>3791</v>
      </c>
      <c r="E1925" s="1">
        <v>1.0</v>
      </c>
      <c r="F1925" s="1">
        <v>0.0</v>
      </c>
    </row>
    <row r="1926" ht="12.75" customHeight="1">
      <c r="A1926" s="1">
        <v>0.0</v>
      </c>
      <c r="B1926" s="2" t="s">
        <v>3792</v>
      </c>
      <c r="C1926" s="1" t="s">
        <v>3793</v>
      </c>
      <c r="D1926" s="1" t="s">
        <v>3794</v>
      </c>
      <c r="E1926" s="1">
        <v>1.0</v>
      </c>
      <c r="F1926" s="1">
        <v>0.0</v>
      </c>
    </row>
    <row r="1927" ht="12.75" customHeight="1">
      <c r="A1927" s="1">
        <v>0.0</v>
      </c>
      <c r="B1927" s="2" t="s">
        <v>3795</v>
      </c>
      <c r="C1927" s="1" t="s">
        <v>3796</v>
      </c>
      <c r="D1927" s="1" t="s">
        <v>3797</v>
      </c>
      <c r="E1927" s="1">
        <v>1.0</v>
      </c>
      <c r="F1927" s="1">
        <v>0.0</v>
      </c>
    </row>
    <row r="1928" ht="12.75" customHeight="1">
      <c r="A1928" s="1">
        <v>0.0</v>
      </c>
      <c r="B1928" s="2">
        <v>9900102.0</v>
      </c>
      <c r="C1928" s="1" t="s">
        <v>3798</v>
      </c>
      <c r="D1928" s="1" t="s">
        <v>3799</v>
      </c>
      <c r="E1928" s="1">
        <v>1.0</v>
      </c>
      <c r="F1928" s="1">
        <v>0.0</v>
      </c>
    </row>
    <row r="1929" ht="12.75" customHeight="1">
      <c r="A1929" s="1">
        <v>0.0</v>
      </c>
      <c r="B1929" s="2" t="s">
        <v>3800</v>
      </c>
      <c r="C1929" s="1" t="s">
        <v>3801</v>
      </c>
      <c r="D1929" s="1" t="s">
        <v>3802</v>
      </c>
      <c r="E1929" s="1">
        <v>1.0</v>
      </c>
      <c r="F1929" s="1">
        <v>0.0</v>
      </c>
    </row>
    <row r="1930" ht="12.75" customHeight="1">
      <c r="A1930" s="1">
        <v>0.0</v>
      </c>
      <c r="B1930" s="2" t="s">
        <v>3803</v>
      </c>
      <c r="C1930" s="1" t="s">
        <v>554</v>
      </c>
      <c r="D1930" s="1" t="s">
        <v>3804</v>
      </c>
      <c r="E1930" s="1">
        <v>1.0</v>
      </c>
      <c r="F1930" s="1">
        <v>0.0</v>
      </c>
    </row>
    <row r="1931" ht="12.75" customHeight="1">
      <c r="A1931" s="1">
        <v>0.0</v>
      </c>
      <c r="B1931" s="2" t="s">
        <v>3805</v>
      </c>
      <c r="C1931" s="1" t="s">
        <v>1319</v>
      </c>
      <c r="D1931" s="1" t="s">
        <v>3806</v>
      </c>
      <c r="E1931" s="1">
        <v>1.0</v>
      </c>
      <c r="F1931" s="1">
        <v>0.0</v>
      </c>
    </row>
    <row r="1932" ht="12.75" customHeight="1">
      <c r="A1932" s="1">
        <v>0.0</v>
      </c>
      <c r="B1932" s="2">
        <v>8821635.0</v>
      </c>
      <c r="C1932" s="1" t="s">
        <v>3807</v>
      </c>
      <c r="D1932" s="1" t="s">
        <v>3808</v>
      </c>
      <c r="E1932" s="1">
        <v>1.0</v>
      </c>
      <c r="F1932" s="1">
        <v>0.0</v>
      </c>
    </row>
    <row r="1933" ht="12.75" customHeight="1">
      <c r="A1933" s="1">
        <v>0.0</v>
      </c>
      <c r="B1933" s="2">
        <v>8821616.0</v>
      </c>
      <c r="C1933" s="1" t="s">
        <v>173</v>
      </c>
      <c r="D1933" s="1" t="s">
        <v>3809</v>
      </c>
      <c r="E1933" s="1">
        <v>1.0</v>
      </c>
      <c r="F1933" s="1">
        <v>0.0</v>
      </c>
    </row>
    <row r="1934" ht="12.75" customHeight="1">
      <c r="A1934" s="1">
        <v>0.0</v>
      </c>
      <c r="B1934" s="2">
        <v>9810105.0</v>
      </c>
      <c r="C1934" s="1" t="s">
        <v>3810</v>
      </c>
      <c r="D1934" s="1" t="s">
        <v>3811</v>
      </c>
      <c r="E1934" s="1">
        <v>1.0</v>
      </c>
      <c r="F1934" s="1">
        <v>0.0</v>
      </c>
    </row>
    <row r="1935" ht="12.75" customHeight="1">
      <c r="A1935" s="1">
        <v>0.0</v>
      </c>
      <c r="B1935" s="2" t="s">
        <v>3812</v>
      </c>
      <c r="C1935" s="1" t="s">
        <v>3813</v>
      </c>
      <c r="D1935" s="1" t="s">
        <v>3814</v>
      </c>
      <c r="E1935" s="1">
        <v>1.0</v>
      </c>
      <c r="F1935" s="1">
        <v>0.0</v>
      </c>
    </row>
    <row r="1936" ht="12.75" customHeight="1">
      <c r="A1936" s="1">
        <v>0.0</v>
      </c>
      <c r="B1936" s="2">
        <v>8821637.0</v>
      </c>
      <c r="C1936" s="1" t="s">
        <v>1326</v>
      </c>
      <c r="D1936" s="1" t="s">
        <v>3815</v>
      </c>
      <c r="E1936" s="1">
        <v>1.0</v>
      </c>
      <c r="F1936" s="1">
        <v>0.0</v>
      </c>
    </row>
    <row r="1937" ht="12.75" customHeight="1">
      <c r="A1937" s="1">
        <v>0.0</v>
      </c>
      <c r="B1937" s="2">
        <v>8821638.0</v>
      </c>
      <c r="C1937" s="1" t="s">
        <v>173</v>
      </c>
      <c r="D1937" s="1" t="s">
        <v>3816</v>
      </c>
      <c r="E1937" s="1">
        <v>1.0</v>
      </c>
      <c r="F1937" s="1">
        <v>0.0</v>
      </c>
    </row>
    <row r="1938" ht="12.75" customHeight="1">
      <c r="A1938" s="1">
        <v>0.0</v>
      </c>
      <c r="B1938" s="2" t="s">
        <v>3817</v>
      </c>
      <c r="C1938" s="1" t="s">
        <v>3818</v>
      </c>
      <c r="D1938" s="1" t="s">
        <v>3819</v>
      </c>
      <c r="E1938" s="1">
        <v>1.0</v>
      </c>
      <c r="F1938" s="1">
        <v>0.0</v>
      </c>
    </row>
    <row r="1939" ht="12.75" customHeight="1">
      <c r="A1939" s="1">
        <v>0.0</v>
      </c>
      <c r="B1939" s="2">
        <v>8821653.0</v>
      </c>
      <c r="C1939" s="1" t="s">
        <v>3820</v>
      </c>
      <c r="D1939" s="1" t="s">
        <v>3821</v>
      </c>
      <c r="E1939" s="1">
        <v>1.0</v>
      </c>
      <c r="F1939" s="1">
        <v>0.0</v>
      </c>
    </row>
    <row r="1940" ht="12.75" customHeight="1">
      <c r="A1940" s="1">
        <v>0.0</v>
      </c>
      <c r="B1940" s="2" t="s">
        <v>3822</v>
      </c>
      <c r="C1940" s="1" t="s">
        <v>1319</v>
      </c>
      <c r="D1940" s="1" t="s">
        <v>3823</v>
      </c>
      <c r="E1940" s="1">
        <v>1.0</v>
      </c>
      <c r="F1940" s="1">
        <v>0.0</v>
      </c>
    </row>
    <row r="1941" ht="12.75" customHeight="1">
      <c r="A1941" s="1">
        <v>0.0</v>
      </c>
      <c r="B1941" s="2">
        <v>8821656.0</v>
      </c>
      <c r="C1941" s="1" t="s">
        <v>178</v>
      </c>
      <c r="D1941" s="1" t="s">
        <v>3824</v>
      </c>
      <c r="E1941" s="1">
        <v>1.0</v>
      </c>
      <c r="F1941" s="1">
        <v>0.0</v>
      </c>
    </row>
    <row r="1942" ht="12.75" customHeight="1">
      <c r="A1942" s="1">
        <v>0.0</v>
      </c>
      <c r="B1942" s="2" t="s">
        <v>3825</v>
      </c>
      <c r="C1942" s="1" t="s">
        <v>3826</v>
      </c>
      <c r="D1942" s="1" t="s">
        <v>429</v>
      </c>
      <c r="E1942" s="1">
        <v>1.0</v>
      </c>
      <c r="F1942" s="1">
        <v>0.0</v>
      </c>
    </row>
    <row r="1943" ht="12.75" customHeight="1">
      <c r="A1943" s="1">
        <v>0.0</v>
      </c>
      <c r="B1943" s="2" t="s">
        <v>3827</v>
      </c>
      <c r="C1943" s="1" t="s">
        <v>302</v>
      </c>
      <c r="D1943" s="1" t="s">
        <v>216</v>
      </c>
      <c r="E1943" s="1">
        <v>1.0</v>
      </c>
      <c r="F1943" s="1">
        <v>0.0</v>
      </c>
    </row>
    <row r="1944" ht="12.75" customHeight="1">
      <c r="A1944" s="1">
        <v>0.0</v>
      </c>
      <c r="B1944" s="2">
        <v>8821654.0</v>
      </c>
      <c r="C1944" s="1" t="s">
        <v>178</v>
      </c>
      <c r="D1944" s="1" t="s">
        <v>3828</v>
      </c>
      <c r="E1944" s="1">
        <v>1.0</v>
      </c>
      <c r="F1944" s="1">
        <v>0.0</v>
      </c>
    </row>
    <row r="1945" ht="12.75" customHeight="1">
      <c r="A1945" s="1">
        <v>0.0</v>
      </c>
      <c r="B1945" s="2">
        <v>8821645.0</v>
      </c>
      <c r="C1945" s="1" t="s">
        <v>3829</v>
      </c>
      <c r="D1945" s="1" t="s">
        <v>3830</v>
      </c>
      <c r="E1945" s="1">
        <v>1.0</v>
      </c>
      <c r="F1945" s="1">
        <v>0.0</v>
      </c>
    </row>
    <row r="1946" ht="12.75" customHeight="1">
      <c r="A1946" s="1">
        <v>0.0</v>
      </c>
      <c r="B1946" s="2">
        <v>8321504.0</v>
      </c>
      <c r="C1946" s="1" t="s">
        <v>278</v>
      </c>
      <c r="D1946" s="1" t="s">
        <v>3831</v>
      </c>
      <c r="E1946" s="1">
        <v>1.0</v>
      </c>
      <c r="F1946" s="1">
        <v>0.0</v>
      </c>
    </row>
    <row r="1947" ht="12.75" customHeight="1">
      <c r="A1947" s="1">
        <v>0.0</v>
      </c>
      <c r="B1947" s="2">
        <v>8321605.0</v>
      </c>
      <c r="C1947" s="1" t="s">
        <v>3832</v>
      </c>
      <c r="D1947" s="1" t="s">
        <v>3833</v>
      </c>
      <c r="E1947" s="1">
        <v>1.0</v>
      </c>
      <c r="F1947" s="1">
        <v>0.0</v>
      </c>
    </row>
    <row r="1948" ht="12.75" customHeight="1">
      <c r="A1948" s="1">
        <v>0.0</v>
      </c>
      <c r="B1948" s="2" t="s">
        <v>3834</v>
      </c>
      <c r="C1948" s="1" t="s">
        <v>3835</v>
      </c>
      <c r="D1948" s="1" t="s">
        <v>3836</v>
      </c>
      <c r="E1948" s="1">
        <v>1.0</v>
      </c>
      <c r="F1948" s="1">
        <v>0.0</v>
      </c>
    </row>
    <row r="1949" ht="12.75" customHeight="1">
      <c r="A1949" s="1">
        <v>0.0</v>
      </c>
      <c r="B1949" s="2">
        <v>5090020.0</v>
      </c>
      <c r="C1949" s="1" t="s">
        <v>261</v>
      </c>
      <c r="D1949" s="1" t="s">
        <v>3837</v>
      </c>
      <c r="E1949" s="1">
        <v>1.0</v>
      </c>
      <c r="F1949" s="1">
        <v>0.0</v>
      </c>
    </row>
    <row r="1950" ht="12.75" customHeight="1">
      <c r="A1950" s="1">
        <v>0.0</v>
      </c>
      <c r="B1950" s="2">
        <v>8320100.0</v>
      </c>
      <c r="C1950" s="1" t="s">
        <v>278</v>
      </c>
      <c r="D1950" s="1" t="s">
        <v>3838</v>
      </c>
      <c r="E1950" s="1">
        <v>1.0</v>
      </c>
      <c r="F1950" s="1">
        <v>0.0</v>
      </c>
    </row>
    <row r="1951" ht="12.75" customHeight="1">
      <c r="A1951" s="1">
        <v>0.0</v>
      </c>
      <c r="B1951" s="2">
        <v>8321604.0</v>
      </c>
      <c r="C1951" s="1" t="s">
        <v>278</v>
      </c>
      <c r="D1951" s="1" t="s">
        <v>3839</v>
      </c>
      <c r="E1951" s="1">
        <v>1.0</v>
      </c>
      <c r="F1951" s="1">
        <v>0.0</v>
      </c>
    </row>
    <row r="1952" ht="12.75" customHeight="1">
      <c r="A1952" s="1">
        <v>0.0</v>
      </c>
      <c r="B1952" s="2">
        <v>8321602.0</v>
      </c>
      <c r="C1952" s="1" t="s">
        <v>278</v>
      </c>
      <c r="D1952" s="1" t="s">
        <v>3840</v>
      </c>
      <c r="E1952" s="1">
        <v>1.0</v>
      </c>
      <c r="F1952" s="1">
        <v>0.0</v>
      </c>
    </row>
    <row r="1953" ht="12.75" customHeight="1">
      <c r="A1953" s="1">
        <v>0.0</v>
      </c>
      <c r="B1953" s="2">
        <v>9480105.0</v>
      </c>
      <c r="C1953" s="1" t="s">
        <v>3841</v>
      </c>
      <c r="D1953" s="1" t="s">
        <v>3842</v>
      </c>
      <c r="E1953" s="1">
        <v>1.0</v>
      </c>
      <c r="F1953" s="1">
        <v>0.0</v>
      </c>
    </row>
    <row r="1954" ht="12.75" customHeight="1">
      <c r="A1954" s="1">
        <v>0.0</v>
      </c>
      <c r="B1954" s="2" t="s">
        <v>3843</v>
      </c>
      <c r="C1954" s="1" t="s">
        <v>1339</v>
      </c>
      <c r="D1954" s="1" t="s">
        <v>3844</v>
      </c>
      <c r="E1954" s="1">
        <v>1.0</v>
      </c>
      <c r="F1954" s="1">
        <v>0.0</v>
      </c>
    </row>
    <row r="1955" ht="12.75" customHeight="1">
      <c r="A1955" s="1">
        <v>0.0</v>
      </c>
      <c r="B1955" s="2" t="s">
        <v>3845</v>
      </c>
      <c r="C1955" s="1" t="s">
        <v>3846</v>
      </c>
      <c r="D1955" s="1" t="s">
        <v>3847</v>
      </c>
      <c r="E1955" s="1">
        <v>1.0</v>
      </c>
      <c r="F1955" s="1">
        <v>0.0</v>
      </c>
    </row>
    <row r="1956" ht="12.75" customHeight="1">
      <c r="A1956" s="1">
        <v>0.0</v>
      </c>
      <c r="B1956" s="2">
        <v>560338.0</v>
      </c>
      <c r="C1956" s="1" t="s">
        <v>916</v>
      </c>
      <c r="D1956" s="1" t="s">
        <v>3848</v>
      </c>
      <c r="E1956" s="1">
        <v>1.0</v>
      </c>
      <c r="F1956" s="1">
        <v>0.0</v>
      </c>
    </row>
    <row r="1957" ht="12.75" customHeight="1">
      <c r="A1957" s="1">
        <v>0.0</v>
      </c>
      <c r="B1957" s="2">
        <v>564788.0</v>
      </c>
      <c r="C1957" s="1" t="s">
        <v>3849</v>
      </c>
      <c r="D1957" s="1" t="s">
        <v>3848</v>
      </c>
      <c r="E1957" s="1">
        <v>1.0</v>
      </c>
      <c r="F1957" s="1">
        <v>0.0</v>
      </c>
    </row>
    <row r="1958" ht="12.75" customHeight="1">
      <c r="A1958" s="1">
        <v>0.0</v>
      </c>
      <c r="B1958" s="2" t="s">
        <v>3850</v>
      </c>
      <c r="C1958" s="1" t="s">
        <v>3851</v>
      </c>
      <c r="D1958" s="1" t="s">
        <v>3848</v>
      </c>
      <c r="E1958" s="1">
        <v>1.0</v>
      </c>
      <c r="F1958" s="1">
        <v>0.0</v>
      </c>
    </row>
    <row r="1959" ht="12.75" customHeight="1">
      <c r="A1959" s="1">
        <v>0.0</v>
      </c>
      <c r="B1959" s="2" t="s">
        <v>3852</v>
      </c>
      <c r="C1959" s="1" t="s">
        <v>3853</v>
      </c>
      <c r="D1959" s="1" t="s">
        <v>3848</v>
      </c>
      <c r="E1959" s="1">
        <v>1.0</v>
      </c>
      <c r="F1959" s="1">
        <v>0.0</v>
      </c>
    </row>
    <row r="1960" ht="12.75" customHeight="1">
      <c r="A1960" s="1">
        <v>0.0</v>
      </c>
      <c r="B1960" s="2" t="s">
        <v>3854</v>
      </c>
      <c r="C1960" s="1" t="s">
        <v>820</v>
      </c>
      <c r="D1960" s="1" t="s">
        <v>3848</v>
      </c>
      <c r="E1960" s="1">
        <v>1.0</v>
      </c>
      <c r="F1960" s="1">
        <v>0.0</v>
      </c>
    </row>
    <row r="1961" ht="12.75" customHeight="1">
      <c r="A1961" s="1">
        <v>0.0</v>
      </c>
      <c r="B1961" s="2" t="s">
        <v>3855</v>
      </c>
      <c r="C1961" s="1" t="s">
        <v>2131</v>
      </c>
      <c r="D1961" s="1" t="s">
        <v>3848</v>
      </c>
      <c r="E1961" s="1">
        <v>1.0</v>
      </c>
      <c r="F1961" s="1">
        <v>0.0</v>
      </c>
    </row>
    <row r="1962" ht="12.75" customHeight="1">
      <c r="A1962" s="1">
        <v>0.0</v>
      </c>
      <c r="B1962" s="2" t="s">
        <v>3856</v>
      </c>
      <c r="C1962" s="1" t="s">
        <v>3857</v>
      </c>
      <c r="D1962" s="1" t="s">
        <v>3848</v>
      </c>
      <c r="E1962" s="1">
        <v>1.0</v>
      </c>
      <c r="F1962" s="1">
        <v>0.0</v>
      </c>
    </row>
    <row r="1963" ht="12.75" customHeight="1">
      <c r="A1963" s="1">
        <v>0.0</v>
      </c>
      <c r="B1963" s="2" t="s">
        <v>3858</v>
      </c>
      <c r="C1963" s="1" t="s">
        <v>3859</v>
      </c>
      <c r="D1963" s="1" t="s">
        <v>3848</v>
      </c>
      <c r="E1963" s="1">
        <v>1.0</v>
      </c>
      <c r="F1963" s="1">
        <v>0.0</v>
      </c>
    </row>
    <row r="1964" ht="12.75" customHeight="1">
      <c r="A1964" s="1">
        <v>0.0</v>
      </c>
      <c r="B1964" s="2" t="s">
        <v>3860</v>
      </c>
      <c r="C1964" s="1" t="s">
        <v>3861</v>
      </c>
      <c r="D1964" s="1" t="s">
        <v>3862</v>
      </c>
      <c r="E1964" s="1">
        <v>1.0</v>
      </c>
      <c r="F1964" s="1">
        <v>0.0</v>
      </c>
    </row>
    <row r="1965" ht="12.75" customHeight="1">
      <c r="A1965" s="1">
        <v>0.0</v>
      </c>
      <c r="B1965" s="2">
        <v>562567.0</v>
      </c>
      <c r="C1965" s="1" t="s">
        <v>3863</v>
      </c>
      <c r="D1965" s="1" t="s">
        <v>3864</v>
      </c>
      <c r="E1965" s="1">
        <v>1.0</v>
      </c>
      <c r="F1965" s="1">
        <v>0.0</v>
      </c>
    </row>
    <row r="1966" ht="12.75" customHeight="1">
      <c r="A1966" s="1">
        <v>0.0</v>
      </c>
      <c r="B1966" s="2">
        <v>562745.0</v>
      </c>
      <c r="C1966" s="1" t="s">
        <v>3865</v>
      </c>
      <c r="D1966" s="1" t="s">
        <v>3866</v>
      </c>
      <c r="E1966" s="1">
        <v>1.0</v>
      </c>
      <c r="F1966" s="1">
        <v>0.0</v>
      </c>
    </row>
    <row r="1967" ht="12.75" customHeight="1">
      <c r="A1967" s="1">
        <v>0.0</v>
      </c>
      <c r="B1967" s="2">
        <v>560336.0</v>
      </c>
      <c r="C1967" s="1" t="s">
        <v>3867</v>
      </c>
      <c r="D1967" s="1" t="s">
        <v>3868</v>
      </c>
      <c r="E1967" s="1">
        <v>1.0</v>
      </c>
      <c r="F1967" s="1">
        <v>0.0</v>
      </c>
    </row>
    <row r="1968" ht="12.75" customHeight="1">
      <c r="A1968" s="1">
        <v>0.0</v>
      </c>
      <c r="B1968" s="2" t="s">
        <v>3869</v>
      </c>
      <c r="C1968" s="1" t="s">
        <v>1925</v>
      </c>
      <c r="D1968" s="1" t="s">
        <v>3868</v>
      </c>
      <c r="E1968" s="1">
        <v>1.0</v>
      </c>
      <c r="F1968" s="1">
        <v>0.0</v>
      </c>
    </row>
    <row r="1969" ht="12.75" customHeight="1">
      <c r="A1969" s="1">
        <v>0.0</v>
      </c>
      <c r="B1969" s="2" t="s">
        <v>3870</v>
      </c>
      <c r="C1969" s="1" t="s">
        <v>3871</v>
      </c>
      <c r="D1969" s="1" t="s">
        <v>3868</v>
      </c>
      <c r="E1969" s="1">
        <v>1.0</v>
      </c>
      <c r="F1969" s="1">
        <v>0.0</v>
      </c>
    </row>
    <row r="1970" ht="12.75" customHeight="1">
      <c r="A1970" s="1">
        <v>0.0</v>
      </c>
      <c r="B1970" s="2" t="s">
        <v>3872</v>
      </c>
      <c r="C1970" s="1" t="s">
        <v>765</v>
      </c>
      <c r="D1970" s="1" t="s">
        <v>3873</v>
      </c>
      <c r="E1970" s="1">
        <v>1.0</v>
      </c>
      <c r="F1970" s="1">
        <v>0.0</v>
      </c>
    </row>
    <row r="1971" ht="12.75" customHeight="1">
      <c r="A1971" s="1">
        <v>0.0</v>
      </c>
      <c r="B1971" s="2">
        <v>564775.0</v>
      </c>
      <c r="C1971" s="1" t="s">
        <v>3874</v>
      </c>
      <c r="D1971" s="1" t="s">
        <v>3875</v>
      </c>
      <c r="E1971" s="1">
        <v>1.0</v>
      </c>
      <c r="F1971" s="1">
        <v>0.0</v>
      </c>
    </row>
    <row r="1972" ht="12.75" customHeight="1">
      <c r="A1972" s="1">
        <v>0.0</v>
      </c>
      <c r="B1972" s="2">
        <v>7900106.0</v>
      </c>
      <c r="C1972" s="1" t="s">
        <v>916</v>
      </c>
      <c r="D1972" s="1" t="s">
        <v>3876</v>
      </c>
      <c r="E1972" s="1">
        <v>1.0</v>
      </c>
      <c r="F1972" s="1">
        <v>0.0</v>
      </c>
    </row>
    <row r="1973" ht="12.75" customHeight="1">
      <c r="A1973" s="1">
        <v>0.0</v>
      </c>
      <c r="B1973" s="2">
        <v>2480128.0</v>
      </c>
      <c r="C1973" s="1" t="s">
        <v>561</v>
      </c>
      <c r="D1973" s="1" t="s">
        <v>3877</v>
      </c>
      <c r="E1973" s="1">
        <v>1.0</v>
      </c>
      <c r="F1973" s="1">
        <v>0.0</v>
      </c>
    </row>
    <row r="1974" ht="12.75" customHeight="1">
      <c r="A1974" s="1">
        <v>0.0</v>
      </c>
      <c r="B1974" s="2">
        <v>8050201.0</v>
      </c>
      <c r="C1974" s="1" t="s">
        <v>6</v>
      </c>
      <c r="D1974" s="1" t="s">
        <v>3878</v>
      </c>
      <c r="E1974" s="1">
        <v>1.0</v>
      </c>
      <c r="F1974" s="1">
        <v>0.0</v>
      </c>
    </row>
    <row r="1975" ht="12.75" customHeight="1">
      <c r="A1975" s="1">
        <v>0.0</v>
      </c>
      <c r="B1975" s="2">
        <v>7300104.0</v>
      </c>
      <c r="C1975" s="1" t="s">
        <v>364</v>
      </c>
      <c r="D1975" s="1" t="s">
        <v>3879</v>
      </c>
      <c r="E1975" s="1">
        <v>1.0</v>
      </c>
      <c r="F1975" s="1">
        <v>0.0</v>
      </c>
    </row>
    <row r="1976" ht="12.75" customHeight="1">
      <c r="A1976" s="1">
        <v>0.0</v>
      </c>
      <c r="B1976" s="2">
        <v>5090206.0</v>
      </c>
      <c r="C1976" s="1" t="s">
        <v>167</v>
      </c>
      <c r="D1976" s="1" t="s">
        <v>3880</v>
      </c>
      <c r="E1976" s="1">
        <v>1.0</v>
      </c>
      <c r="F1976" s="1">
        <v>0.0</v>
      </c>
    </row>
    <row r="1977" ht="12.75" customHeight="1">
      <c r="A1977" s="1">
        <v>0.0</v>
      </c>
      <c r="B1977" s="2">
        <v>8851402.0</v>
      </c>
      <c r="C1977" s="1" t="s">
        <v>1389</v>
      </c>
      <c r="D1977" s="1" t="s">
        <v>3881</v>
      </c>
      <c r="E1977" s="1">
        <v>1.0</v>
      </c>
      <c r="F1977" s="1">
        <v>0.0</v>
      </c>
    </row>
    <row r="1978" ht="12.75" customHeight="1">
      <c r="A1978" s="1">
        <v>0.0</v>
      </c>
      <c r="B1978" s="2" t="s">
        <v>3882</v>
      </c>
      <c r="C1978" s="1" t="s">
        <v>3883</v>
      </c>
      <c r="D1978" s="1" t="s">
        <v>3884</v>
      </c>
      <c r="E1978" s="1">
        <v>1.0</v>
      </c>
      <c r="F1978" s="1">
        <v>0.0</v>
      </c>
    </row>
    <row r="1979" ht="12.75" customHeight="1">
      <c r="A1979" s="1">
        <v>0.0</v>
      </c>
      <c r="B1979" s="2" t="s">
        <v>3885</v>
      </c>
      <c r="C1979" s="1" t="s">
        <v>3886</v>
      </c>
      <c r="D1979" s="1" t="s">
        <v>3887</v>
      </c>
      <c r="E1979" s="1">
        <v>1.0</v>
      </c>
      <c r="F1979" s="1">
        <v>0.0</v>
      </c>
    </row>
    <row r="1980" ht="12.75" customHeight="1">
      <c r="A1980" s="1">
        <v>0.0</v>
      </c>
      <c r="B1980" s="2" t="s">
        <v>3888</v>
      </c>
      <c r="C1980" s="1" t="s">
        <v>3889</v>
      </c>
      <c r="D1980" s="1" t="s">
        <v>3890</v>
      </c>
      <c r="E1980" s="1">
        <v>1.0</v>
      </c>
      <c r="F1980" s="1">
        <v>0.0</v>
      </c>
    </row>
    <row r="1981" ht="12.75" customHeight="1">
      <c r="A1981" s="1">
        <v>0.0</v>
      </c>
      <c r="B1981" s="2" t="s">
        <v>3891</v>
      </c>
      <c r="C1981" s="1" t="s">
        <v>3892</v>
      </c>
      <c r="D1981" s="1" t="s">
        <v>3890</v>
      </c>
      <c r="E1981" s="1">
        <v>1.0</v>
      </c>
      <c r="F1981" s="1">
        <v>0.0</v>
      </c>
    </row>
    <row r="1982" ht="12.75" customHeight="1">
      <c r="A1982" s="1">
        <v>0.0</v>
      </c>
      <c r="B1982" s="2" t="s">
        <v>3893</v>
      </c>
      <c r="C1982" s="1" t="s">
        <v>3894</v>
      </c>
      <c r="D1982" s="1" t="s">
        <v>3890</v>
      </c>
      <c r="E1982" s="1">
        <v>1.0</v>
      </c>
      <c r="F1982" s="1">
        <v>0.0</v>
      </c>
    </row>
    <row r="1983" ht="12.75" customHeight="1">
      <c r="A1983" s="1">
        <v>0.0</v>
      </c>
      <c r="B1983" s="2" t="s">
        <v>3895</v>
      </c>
      <c r="C1983" s="1" t="s">
        <v>3896</v>
      </c>
      <c r="D1983" s="1" t="s">
        <v>3897</v>
      </c>
      <c r="E1983" s="1">
        <v>1.0</v>
      </c>
      <c r="F1983" s="1">
        <v>0.0</v>
      </c>
    </row>
    <row r="1984" ht="12.75" customHeight="1">
      <c r="A1984" s="1">
        <v>0.0</v>
      </c>
      <c r="B1984" s="2" t="s">
        <v>3898</v>
      </c>
      <c r="C1984" s="1" t="s">
        <v>1557</v>
      </c>
      <c r="D1984" s="1" t="s">
        <v>3899</v>
      </c>
      <c r="E1984" s="1">
        <v>1.0</v>
      </c>
      <c r="F1984" s="1">
        <v>0.0</v>
      </c>
    </row>
    <row r="1985" ht="12.75" customHeight="1">
      <c r="A1985" s="1">
        <v>0.0</v>
      </c>
      <c r="B1985" s="2">
        <v>560359.0</v>
      </c>
      <c r="C1985" s="1" t="s">
        <v>3900</v>
      </c>
      <c r="D1985" s="1" t="s">
        <v>3901</v>
      </c>
      <c r="E1985" s="1">
        <v>1.0</v>
      </c>
      <c r="F1985" s="1">
        <v>0.0</v>
      </c>
    </row>
    <row r="1986" ht="12.75" customHeight="1">
      <c r="A1986" s="1">
        <v>0.0</v>
      </c>
      <c r="B1986" s="2">
        <v>8320202.0</v>
      </c>
      <c r="C1986" s="1" t="s">
        <v>278</v>
      </c>
      <c r="D1986" s="1" t="s">
        <v>3902</v>
      </c>
      <c r="E1986" s="1">
        <v>1.0</v>
      </c>
      <c r="F1986" s="1">
        <v>0.0</v>
      </c>
    </row>
    <row r="1987" ht="12.75" customHeight="1">
      <c r="A1987" s="1">
        <v>0.0</v>
      </c>
      <c r="B1987" s="2">
        <v>8320204.0</v>
      </c>
      <c r="C1987" s="1" t="s">
        <v>278</v>
      </c>
      <c r="D1987" s="1" t="s">
        <v>3903</v>
      </c>
      <c r="E1987" s="1">
        <v>1.0</v>
      </c>
      <c r="F1987" s="1">
        <v>0.0</v>
      </c>
    </row>
    <row r="1988" ht="12.75" customHeight="1">
      <c r="A1988" s="1">
        <v>0.0</v>
      </c>
      <c r="B1988" s="2">
        <v>563952.0</v>
      </c>
      <c r="C1988" s="1" t="s">
        <v>3904</v>
      </c>
      <c r="D1988" s="1" t="s">
        <v>3905</v>
      </c>
      <c r="E1988" s="1">
        <v>1.0</v>
      </c>
      <c r="F1988" s="1">
        <v>0.0</v>
      </c>
    </row>
    <row r="1989" ht="12.75" customHeight="1">
      <c r="A1989" s="1">
        <v>0.0</v>
      </c>
      <c r="B1989" s="2" t="s">
        <v>3906</v>
      </c>
      <c r="C1989" s="1" t="s">
        <v>3907</v>
      </c>
      <c r="D1989" s="1" t="s">
        <v>3908</v>
      </c>
      <c r="E1989" s="1">
        <v>1.0</v>
      </c>
      <c r="F1989" s="1">
        <v>0.0</v>
      </c>
    </row>
    <row r="1990" ht="12.75" customHeight="1">
      <c r="A1990" s="1">
        <v>0.0</v>
      </c>
      <c r="B1990" s="2">
        <v>7340104.0</v>
      </c>
      <c r="C1990" s="1" t="s">
        <v>627</v>
      </c>
      <c r="D1990" s="1" t="s">
        <v>3909</v>
      </c>
      <c r="E1990" s="1">
        <v>1.0</v>
      </c>
      <c r="F1990" s="1">
        <v>0.0</v>
      </c>
    </row>
    <row r="1991" ht="12.75" customHeight="1">
      <c r="A1991" s="1">
        <v>0.0</v>
      </c>
      <c r="B1991" s="2">
        <v>560694.0</v>
      </c>
      <c r="C1991" s="1" t="s">
        <v>3910</v>
      </c>
      <c r="D1991" s="1" t="s">
        <v>3911</v>
      </c>
      <c r="E1991" s="1">
        <v>1.0</v>
      </c>
      <c r="F1991" s="1">
        <v>0.0</v>
      </c>
    </row>
    <row r="1992" ht="12.75" customHeight="1">
      <c r="A1992" s="1">
        <v>0.0</v>
      </c>
      <c r="B1992" s="2">
        <v>9330102.0</v>
      </c>
      <c r="C1992" s="1" t="s">
        <v>3912</v>
      </c>
      <c r="D1992" s="1" t="s">
        <v>3913</v>
      </c>
      <c r="E1992" s="1">
        <v>1.0</v>
      </c>
      <c r="F1992" s="1">
        <v>0.0</v>
      </c>
    </row>
    <row r="1993" ht="12.75" customHeight="1">
      <c r="A1993" s="1">
        <v>0.0</v>
      </c>
      <c r="B1993" s="2">
        <v>9999999.0</v>
      </c>
      <c r="C1993" s="1" t="s">
        <v>3914</v>
      </c>
      <c r="D1993" s="1" t="s">
        <v>3914</v>
      </c>
      <c r="E1993" s="1">
        <v>1.0</v>
      </c>
      <c r="F1993" s="1">
        <v>0.0</v>
      </c>
    </row>
    <row r="1994" ht="12.75" customHeight="1">
      <c r="A1994" s="1">
        <v>0.0</v>
      </c>
      <c r="B1994" s="2">
        <v>5720102.0</v>
      </c>
      <c r="C1994" s="1" t="s">
        <v>3915</v>
      </c>
      <c r="D1994" s="1" t="s">
        <v>3916</v>
      </c>
      <c r="E1994" s="1">
        <v>1.0</v>
      </c>
      <c r="F1994" s="1">
        <v>0.0</v>
      </c>
    </row>
    <row r="1995" ht="12.75" customHeight="1">
      <c r="A1995" s="1">
        <v>0.0</v>
      </c>
      <c r="B1995" s="2" t="s">
        <v>3917</v>
      </c>
      <c r="C1995" s="1" t="s">
        <v>3918</v>
      </c>
      <c r="D1995" s="1" t="s">
        <v>3919</v>
      </c>
      <c r="E1995" s="1">
        <v>1.0</v>
      </c>
      <c r="F1995" s="1">
        <v>0.0</v>
      </c>
    </row>
    <row r="1996" ht="12.75" customHeight="1">
      <c r="A1996" s="1">
        <v>0.0</v>
      </c>
      <c r="B1996" s="2" t="s">
        <v>3920</v>
      </c>
      <c r="C1996" s="1" t="s">
        <v>3921</v>
      </c>
      <c r="D1996" s="1" t="s">
        <v>3922</v>
      </c>
      <c r="E1996" s="1">
        <v>1.0</v>
      </c>
      <c r="F1996" s="1">
        <v>0.0</v>
      </c>
    </row>
    <row r="1997" ht="12.75" customHeight="1">
      <c r="A1997" s="1">
        <v>0.0</v>
      </c>
      <c r="B1997" s="2" t="s">
        <v>3923</v>
      </c>
      <c r="C1997" s="1" t="s">
        <v>3924</v>
      </c>
      <c r="D1997" s="1" t="s">
        <v>3922</v>
      </c>
      <c r="E1997" s="1">
        <v>1.0</v>
      </c>
      <c r="F1997" s="1">
        <v>0.0</v>
      </c>
    </row>
    <row r="1998" ht="12.75" customHeight="1">
      <c r="A1998" s="1">
        <v>0.0</v>
      </c>
      <c r="B1998" s="2" t="s">
        <v>3925</v>
      </c>
      <c r="C1998" s="1" t="s">
        <v>3926</v>
      </c>
      <c r="D1998" s="1" t="s">
        <v>3927</v>
      </c>
      <c r="E1998" s="1">
        <v>1.0</v>
      </c>
      <c r="F1998" s="1">
        <v>0.0</v>
      </c>
    </row>
    <row r="1999" ht="12.75" customHeight="1">
      <c r="A1999" s="1">
        <v>0.0</v>
      </c>
      <c r="B1999" s="2" t="s">
        <v>3928</v>
      </c>
      <c r="C1999" s="1" t="s">
        <v>3929</v>
      </c>
      <c r="D1999" s="1" t="s">
        <v>3930</v>
      </c>
      <c r="E1999" s="1">
        <v>1.0</v>
      </c>
      <c r="F1999" s="1">
        <v>0.0</v>
      </c>
    </row>
    <row r="2000" ht="12.75" customHeight="1">
      <c r="A2000" s="1">
        <v>0.0</v>
      </c>
      <c r="B2000" s="2" t="s">
        <v>3931</v>
      </c>
      <c r="C2000" s="1" t="s">
        <v>2789</v>
      </c>
      <c r="D2000" s="1" t="s">
        <v>3932</v>
      </c>
      <c r="E2000" s="1">
        <v>1.0</v>
      </c>
      <c r="F2000" s="1">
        <v>0.0</v>
      </c>
    </row>
    <row r="2001" ht="12.75" customHeight="1">
      <c r="A2001" s="1">
        <v>0.0</v>
      </c>
      <c r="B2001" s="2" t="s">
        <v>3933</v>
      </c>
      <c r="C2001" s="1" t="s">
        <v>3934</v>
      </c>
      <c r="D2001" s="1" t="s">
        <v>3935</v>
      </c>
      <c r="E2001" s="1">
        <v>1.0</v>
      </c>
      <c r="F2001" s="1">
        <v>0.0</v>
      </c>
    </row>
    <row r="2002" ht="12.75" customHeight="1">
      <c r="A2002" s="1">
        <v>0.0</v>
      </c>
      <c r="B2002" s="2" t="s">
        <v>3936</v>
      </c>
      <c r="C2002" s="1" t="s">
        <v>3937</v>
      </c>
      <c r="D2002" s="1" t="s">
        <v>3938</v>
      </c>
      <c r="E2002" s="1">
        <v>1.0</v>
      </c>
      <c r="F2002" s="1">
        <v>0.0</v>
      </c>
    </row>
    <row r="2003" ht="12.75" customHeight="1">
      <c r="A2003" s="1">
        <v>0.0</v>
      </c>
      <c r="B2003" s="2" t="s">
        <v>3939</v>
      </c>
      <c r="C2003" s="1" t="s">
        <v>2268</v>
      </c>
      <c r="D2003" s="1" t="s">
        <v>3940</v>
      </c>
      <c r="E2003" s="1">
        <v>1.0</v>
      </c>
      <c r="F2003" s="1">
        <v>0.0</v>
      </c>
    </row>
    <row r="2004" ht="12.75" customHeight="1">
      <c r="A2004" s="1">
        <v>0.0</v>
      </c>
      <c r="B2004" s="2">
        <v>3802069.0</v>
      </c>
      <c r="C2004" s="1" t="s">
        <v>25</v>
      </c>
      <c r="D2004" s="1" t="s">
        <v>3941</v>
      </c>
      <c r="E2004" s="1">
        <v>1.0</v>
      </c>
      <c r="F2004" s="1">
        <v>0.0</v>
      </c>
    </row>
    <row r="2005" ht="12.75" customHeight="1">
      <c r="A2005" s="1">
        <v>0.0</v>
      </c>
      <c r="B2005" s="2">
        <v>3800268.0</v>
      </c>
      <c r="C2005" s="1" t="s">
        <v>25</v>
      </c>
      <c r="D2005" s="1" t="s">
        <v>3942</v>
      </c>
      <c r="E2005" s="1">
        <v>1.0</v>
      </c>
      <c r="F2005" s="1">
        <v>0.0</v>
      </c>
    </row>
    <row r="2006" ht="12.75" customHeight="1">
      <c r="A2006" s="1">
        <v>0.0</v>
      </c>
      <c r="B2006" s="2">
        <v>3801910.0</v>
      </c>
      <c r="C2006" s="1" t="s">
        <v>3943</v>
      </c>
      <c r="D2006" s="1" t="s">
        <v>3944</v>
      </c>
      <c r="E2006" s="1">
        <v>1.0</v>
      </c>
      <c r="F2006" s="1">
        <v>0.0</v>
      </c>
    </row>
    <row r="2007" ht="12.75" customHeight="1">
      <c r="A2007" s="1">
        <v>0.0</v>
      </c>
      <c r="B2007" s="2" t="s">
        <v>3945</v>
      </c>
      <c r="C2007" s="1" t="s">
        <v>3946</v>
      </c>
      <c r="D2007" s="1" t="s">
        <v>3947</v>
      </c>
      <c r="E2007" s="1">
        <v>1.0</v>
      </c>
      <c r="F2007" s="1">
        <v>0.0</v>
      </c>
    </row>
    <row r="2008" ht="12.75" customHeight="1">
      <c r="A2008" s="1">
        <v>0.0</v>
      </c>
      <c r="B2008" s="2" t="s">
        <v>3948</v>
      </c>
      <c r="C2008" s="1" t="s">
        <v>3949</v>
      </c>
      <c r="D2008" s="1" t="s">
        <v>3950</v>
      </c>
      <c r="E2008" s="1">
        <v>1.0</v>
      </c>
      <c r="F2008" s="1">
        <v>0.0</v>
      </c>
    </row>
    <row r="2009" ht="12.75" customHeight="1">
      <c r="A2009" s="1">
        <v>0.0</v>
      </c>
      <c r="B2009" s="2" t="s">
        <v>3951</v>
      </c>
      <c r="C2009" s="1" t="s">
        <v>3952</v>
      </c>
      <c r="D2009" s="1" t="s">
        <v>3953</v>
      </c>
      <c r="E2009" s="1">
        <v>1.0</v>
      </c>
      <c r="F2009" s="1">
        <v>0.0</v>
      </c>
    </row>
    <row r="2010" ht="12.75" customHeight="1">
      <c r="A2010" s="1">
        <v>0.0</v>
      </c>
      <c r="B2010" s="2">
        <v>564743.0</v>
      </c>
      <c r="C2010" s="1" t="s">
        <v>3954</v>
      </c>
      <c r="D2010" s="1" t="s">
        <v>3955</v>
      </c>
      <c r="E2010" s="1">
        <v>1.0</v>
      </c>
      <c r="F2010" s="1">
        <v>0.0</v>
      </c>
    </row>
    <row r="2011" ht="12.75" customHeight="1">
      <c r="A2011" s="1">
        <v>0.0</v>
      </c>
      <c r="B2011" s="2" t="s">
        <v>3956</v>
      </c>
      <c r="C2011" s="1" t="s">
        <v>3957</v>
      </c>
      <c r="D2011" s="1" t="s">
        <v>3958</v>
      </c>
      <c r="E2011" s="1">
        <v>1.0</v>
      </c>
      <c r="F2011" s="1">
        <v>0.0</v>
      </c>
    </row>
    <row r="2012" ht="12.75" customHeight="1">
      <c r="A2012" s="1">
        <v>0.0</v>
      </c>
      <c r="B2012" s="2" t="s">
        <v>3959</v>
      </c>
      <c r="C2012" s="1" t="s">
        <v>3960</v>
      </c>
      <c r="D2012" s="1" t="s">
        <v>3961</v>
      </c>
      <c r="E2012" s="1">
        <v>1.0</v>
      </c>
      <c r="F2012" s="1">
        <v>0.0</v>
      </c>
    </row>
    <row r="2013" ht="12.75" customHeight="1">
      <c r="A2013" s="1">
        <v>0.0</v>
      </c>
      <c r="B2013" s="2" t="s">
        <v>3962</v>
      </c>
      <c r="C2013" s="1" t="s">
        <v>3963</v>
      </c>
      <c r="D2013" s="1" t="s">
        <v>3964</v>
      </c>
      <c r="E2013" s="1">
        <v>1.0</v>
      </c>
      <c r="F2013" s="1">
        <v>0.0</v>
      </c>
    </row>
    <row r="2014" ht="12.75" customHeight="1">
      <c r="A2014" s="1">
        <v>0.0</v>
      </c>
      <c r="B2014" s="2" t="s">
        <v>3965</v>
      </c>
      <c r="C2014" s="1" t="s">
        <v>3966</v>
      </c>
      <c r="D2014" s="1" t="s">
        <v>3967</v>
      </c>
      <c r="E2014" s="1">
        <v>1.0</v>
      </c>
      <c r="F2014" s="1">
        <v>0.0</v>
      </c>
    </row>
    <row r="2015" ht="12.75" customHeight="1">
      <c r="A2015" s="1">
        <v>0.0</v>
      </c>
      <c r="B2015" s="2" t="s">
        <v>3968</v>
      </c>
      <c r="C2015" s="1" t="s">
        <v>3969</v>
      </c>
      <c r="D2015" s="1" t="s">
        <v>3970</v>
      </c>
      <c r="E2015" s="1">
        <v>1.0</v>
      </c>
      <c r="F2015" s="1">
        <v>0.0</v>
      </c>
    </row>
    <row r="2016" ht="12.75" customHeight="1">
      <c r="A2016" s="1">
        <v>0.0</v>
      </c>
      <c r="B2016" s="2">
        <v>560387.0</v>
      </c>
      <c r="C2016" s="1" t="s">
        <v>3971</v>
      </c>
      <c r="D2016" s="1" t="s">
        <v>3972</v>
      </c>
      <c r="E2016" s="1">
        <v>1.0</v>
      </c>
      <c r="F2016" s="1">
        <v>0.0</v>
      </c>
    </row>
    <row r="2017" ht="12.75" customHeight="1">
      <c r="A2017" s="1">
        <v>0.0</v>
      </c>
      <c r="B2017" s="2" t="s">
        <v>3973</v>
      </c>
      <c r="C2017" s="1" t="s">
        <v>3974</v>
      </c>
      <c r="D2017" s="1" t="s">
        <v>3975</v>
      </c>
      <c r="E2017" s="1">
        <v>1.0</v>
      </c>
      <c r="F2017" s="1">
        <v>0.0</v>
      </c>
    </row>
    <row r="2018" ht="12.75" customHeight="1">
      <c r="A2018" s="1">
        <v>0.0</v>
      </c>
      <c r="B2018" s="2" t="s">
        <v>3976</v>
      </c>
      <c r="C2018" s="1" t="s">
        <v>3189</v>
      </c>
      <c r="D2018" s="1" t="s">
        <v>3515</v>
      </c>
      <c r="E2018" s="1">
        <v>1.0</v>
      </c>
      <c r="F2018" s="1">
        <v>0.0</v>
      </c>
    </row>
    <row r="2019" ht="12.75" customHeight="1">
      <c r="A2019" s="1">
        <v>0.0</v>
      </c>
      <c r="B2019" s="2" t="s">
        <v>3977</v>
      </c>
      <c r="C2019" s="1" t="s">
        <v>3978</v>
      </c>
      <c r="D2019" s="1" t="s">
        <v>3515</v>
      </c>
      <c r="E2019" s="1">
        <v>1.0</v>
      </c>
      <c r="F2019" s="1">
        <v>0.0</v>
      </c>
    </row>
    <row r="2020" ht="12.75" customHeight="1">
      <c r="A2020" s="1">
        <v>0.0</v>
      </c>
      <c r="B2020" s="2" t="s">
        <v>3979</v>
      </c>
      <c r="C2020" s="1" t="s">
        <v>3980</v>
      </c>
      <c r="D2020" s="1" t="s">
        <v>3981</v>
      </c>
      <c r="E2020" s="1">
        <v>1.0</v>
      </c>
      <c r="F2020" s="1">
        <v>0.0</v>
      </c>
    </row>
    <row r="2021" ht="12.75" customHeight="1">
      <c r="A2021" s="1">
        <v>0.0</v>
      </c>
      <c r="B2021" s="2" t="s">
        <v>3982</v>
      </c>
      <c r="C2021" s="1" t="s">
        <v>3983</v>
      </c>
      <c r="D2021" s="1" t="s">
        <v>3984</v>
      </c>
      <c r="E2021" s="1">
        <v>1.0</v>
      </c>
      <c r="F2021" s="1">
        <v>0.0</v>
      </c>
    </row>
    <row r="2022" ht="12.75" customHeight="1">
      <c r="A2022" s="1">
        <v>0.0</v>
      </c>
      <c r="B2022" s="2">
        <v>562222.0</v>
      </c>
      <c r="C2022" s="1" t="s">
        <v>3985</v>
      </c>
      <c r="D2022" s="1" t="s">
        <v>3986</v>
      </c>
      <c r="E2022" s="1">
        <v>1.0</v>
      </c>
      <c r="F2022" s="1">
        <v>0.0</v>
      </c>
    </row>
    <row r="2023" ht="12.75" customHeight="1">
      <c r="A2023" s="1">
        <v>0.0</v>
      </c>
      <c r="B2023" s="2" t="s">
        <v>3987</v>
      </c>
      <c r="C2023" s="1" t="s">
        <v>3988</v>
      </c>
      <c r="D2023" s="1" t="s">
        <v>3989</v>
      </c>
      <c r="E2023" s="1">
        <v>1.0</v>
      </c>
      <c r="F2023" s="1">
        <v>0.0</v>
      </c>
    </row>
    <row r="2024" ht="12.75" customHeight="1">
      <c r="A2024" s="1">
        <v>0.0</v>
      </c>
      <c r="B2024" s="2">
        <v>1130836.0</v>
      </c>
      <c r="C2024" s="1" t="s">
        <v>3990</v>
      </c>
      <c r="D2024" s="1" t="s">
        <v>3991</v>
      </c>
      <c r="E2024" s="1">
        <v>1.0</v>
      </c>
      <c r="F2024" s="1">
        <v>0.0</v>
      </c>
    </row>
    <row r="2025" ht="12.75" customHeight="1">
      <c r="A2025" s="1">
        <v>0.0</v>
      </c>
      <c r="B2025" s="2">
        <v>1130862.0</v>
      </c>
      <c r="C2025" s="1" t="s">
        <v>3992</v>
      </c>
      <c r="D2025" s="1" t="s">
        <v>3991</v>
      </c>
      <c r="E2025" s="1">
        <v>1.0</v>
      </c>
      <c r="F2025" s="1">
        <v>0.0</v>
      </c>
    </row>
    <row r="2026" ht="12.75" customHeight="1">
      <c r="A2026" s="1">
        <v>0.0</v>
      </c>
      <c r="B2026" s="2" t="s">
        <v>3993</v>
      </c>
      <c r="C2026" s="1" t="s">
        <v>3994</v>
      </c>
      <c r="D2026" s="1" t="s">
        <v>3995</v>
      </c>
      <c r="E2026" s="1">
        <v>1.0</v>
      </c>
      <c r="F2026" s="1">
        <v>0.0</v>
      </c>
    </row>
    <row r="2027" ht="12.75" customHeight="1">
      <c r="A2027" s="1">
        <v>0.0</v>
      </c>
      <c r="B2027" s="2" t="s">
        <v>3996</v>
      </c>
      <c r="C2027" s="1" t="s">
        <v>3997</v>
      </c>
      <c r="D2027" s="1" t="s">
        <v>3998</v>
      </c>
      <c r="E2027" s="1">
        <v>1.0</v>
      </c>
      <c r="F2027" s="1">
        <v>0.0</v>
      </c>
    </row>
    <row r="2028" ht="12.75" customHeight="1">
      <c r="A2028" s="1">
        <v>0.0</v>
      </c>
      <c r="B2028" s="2" t="s">
        <v>3999</v>
      </c>
      <c r="C2028" s="1" t="s">
        <v>4000</v>
      </c>
      <c r="D2028" s="1" t="s">
        <v>4001</v>
      </c>
      <c r="E2028" s="1">
        <v>1.0</v>
      </c>
      <c r="F2028" s="1">
        <v>0.0</v>
      </c>
    </row>
    <row r="2029" ht="12.75" customHeight="1">
      <c r="A2029" s="1">
        <v>0.0</v>
      </c>
      <c r="B2029" s="2">
        <v>1130808.0</v>
      </c>
      <c r="C2029" s="1" t="s">
        <v>4002</v>
      </c>
      <c r="D2029" s="1" t="s">
        <v>1353</v>
      </c>
      <c r="E2029" s="1">
        <v>1.0</v>
      </c>
      <c r="F2029" s="1">
        <v>0.0</v>
      </c>
    </row>
    <row r="2030" ht="12.75" customHeight="1">
      <c r="A2030" s="1">
        <v>0.0</v>
      </c>
      <c r="B2030" s="2">
        <v>1130812.0</v>
      </c>
      <c r="C2030" s="1" t="s">
        <v>4003</v>
      </c>
      <c r="D2030" s="1" t="s">
        <v>1353</v>
      </c>
      <c r="E2030" s="1">
        <v>1.0</v>
      </c>
      <c r="F2030" s="1">
        <v>0.0</v>
      </c>
    </row>
    <row r="2031" ht="12.75" customHeight="1">
      <c r="A2031" s="1">
        <v>0.0</v>
      </c>
      <c r="B2031" s="2">
        <v>1130860.0</v>
      </c>
      <c r="C2031" s="1" t="s">
        <v>4004</v>
      </c>
      <c r="D2031" s="1" t="s">
        <v>1353</v>
      </c>
      <c r="E2031" s="1">
        <v>1.0</v>
      </c>
      <c r="F2031" s="1">
        <v>0.0</v>
      </c>
    </row>
    <row r="2032" ht="12.75" customHeight="1">
      <c r="A2032" s="1">
        <v>0.0</v>
      </c>
      <c r="B2032" s="2" t="s">
        <v>4005</v>
      </c>
      <c r="C2032" s="1" t="s">
        <v>4006</v>
      </c>
      <c r="D2032" s="1" t="s">
        <v>1353</v>
      </c>
      <c r="E2032" s="1">
        <v>1.0</v>
      </c>
      <c r="F2032" s="1">
        <v>0.0</v>
      </c>
    </row>
    <row r="2033" ht="12.75" customHeight="1">
      <c r="A2033" s="1">
        <v>0.0</v>
      </c>
      <c r="B2033" s="2" t="s">
        <v>4007</v>
      </c>
      <c r="C2033" s="1" t="s">
        <v>4008</v>
      </c>
      <c r="D2033" s="1" t="s">
        <v>1353</v>
      </c>
      <c r="E2033" s="1">
        <v>1.0</v>
      </c>
      <c r="F2033" s="1">
        <v>0.0</v>
      </c>
    </row>
    <row r="2034" ht="12.75" customHeight="1">
      <c r="A2034" s="1">
        <v>0.0</v>
      </c>
      <c r="B2034" s="2" t="s">
        <v>4009</v>
      </c>
      <c r="C2034" s="1" t="s">
        <v>4010</v>
      </c>
      <c r="D2034" s="1" t="s">
        <v>1353</v>
      </c>
      <c r="E2034" s="1">
        <v>1.0</v>
      </c>
      <c r="F2034" s="1">
        <v>0.0</v>
      </c>
    </row>
    <row r="2035" ht="12.75" customHeight="1">
      <c r="A2035" s="1">
        <v>0.0</v>
      </c>
      <c r="B2035" s="2" t="s">
        <v>4011</v>
      </c>
      <c r="C2035" s="1" t="s">
        <v>4012</v>
      </c>
      <c r="D2035" s="1" t="s">
        <v>1353</v>
      </c>
      <c r="E2035" s="1">
        <v>1.0</v>
      </c>
      <c r="F2035" s="1">
        <v>0.0</v>
      </c>
    </row>
    <row r="2036" ht="12.75" customHeight="1">
      <c r="A2036" s="1">
        <v>0.0</v>
      </c>
      <c r="B2036" s="2" t="s">
        <v>4013</v>
      </c>
      <c r="C2036" s="1" t="s">
        <v>4014</v>
      </c>
      <c r="D2036" s="1" t="s">
        <v>1353</v>
      </c>
      <c r="E2036" s="1">
        <v>1.0</v>
      </c>
      <c r="F2036" s="1">
        <v>0.0</v>
      </c>
    </row>
    <row r="2037" ht="12.75" customHeight="1">
      <c r="A2037" s="1">
        <v>0.0</v>
      </c>
      <c r="B2037" s="2" t="s">
        <v>4015</v>
      </c>
      <c r="C2037" s="1" t="s">
        <v>4016</v>
      </c>
      <c r="D2037" s="1" t="s">
        <v>1353</v>
      </c>
      <c r="E2037" s="1">
        <v>1.0</v>
      </c>
      <c r="F2037" s="1">
        <v>0.0</v>
      </c>
    </row>
    <row r="2038" ht="12.75" customHeight="1">
      <c r="A2038" s="1">
        <v>0.0</v>
      </c>
      <c r="B2038" s="2" t="s">
        <v>4017</v>
      </c>
      <c r="C2038" s="1" t="s">
        <v>4018</v>
      </c>
      <c r="D2038" s="1" t="s">
        <v>1353</v>
      </c>
      <c r="E2038" s="1">
        <v>1.0</v>
      </c>
      <c r="F2038" s="1">
        <v>0.0</v>
      </c>
    </row>
    <row r="2039" ht="12.75" customHeight="1">
      <c r="A2039" s="1">
        <v>0.0</v>
      </c>
      <c r="B2039" s="2" t="s">
        <v>4019</v>
      </c>
      <c r="C2039" s="1" t="s">
        <v>4020</v>
      </c>
      <c r="D2039" s="1" t="s">
        <v>1353</v>
      </c>
      <c r="E2039" s="1">
        <v>1.0</v>
      </c>
      <c r="F2039" s="1">
        <v>0.0</v>
      </c>
    </row>
    <row r="2040" ht="12.75" customHeight="1">
      <c r="A2040" s="1">
        <v>0.0</v>
      </c>
      <c r="B2040" s="2" t="s">
        <v>4021</v>
      </c>
      <c r="C2040" s="1" t="s">
        <v>4022</v>
      </c>
      <c r="D2040" s="1" t="s">
        <v>1353</v>
      </c>
      <c r="E2040" s="1">
        <v>1.0</v>
      </c>
      <c r="F2040" s="1">
        <v>0.0</v>
      </c>
    </row>
    <row r="2041" ht="12.75" customHeight="1">
      <c r="A2041" s="1">
        <v>0.0</v>
      </c>
      <c r="B2041" s="2" t="s">
        <v>4023</v>
      </c>
      <c r="C2041" s="1" t="s">
        <v>4024</v>
      </c>
      <c r="D2041" s="1" t="s">
        <v>1353</v>
      </c>
      <c r="E2041" s="1">
        <v>1.0</v>
      </c>
      <c r="F2041" s="1">
        <v>0.0</v>
      </c>
    </row>
    <row r="2042" ht="12.75" customHeight="1">
      <c r="A2042" s="1">
        <v>0.0</v>
      </c>
      <c r="B2042" s="2" t="s">
        <v>4025</v>
      </c>
      <c r="C2042" s="1" t="s">
        <v>4026</v>
      </c>
      <c r="D2042" s="1" t="s">
        <v>1353</v>
      </c>
      <c r="E2042" s="1">
        <v>1.0</v>
      </c>
      <c r="F2042" s="1">
        <v>0.0</v>
      </c>
    </row>
    <row r="2043" ht="12.75" customHeight="1">
      <c r="A2043" s="1">
        <v>0.0</v>
      </c>
      <c r="B2043" s="2" t="s">
        <v>4027</v>
      </c>
      <c r="C2043" s="1" t="s">
        <v>4028</v>
      </c>
      <c r="D2043" s="1" t="s">
        <v>4029</v>
      </c>
      <c r="E2043" s="1">
        <v>1.0</v>
      </c>
      <c r="F2043" s="1">
        <v>0.0</v>
      </c>
    </row>
    <row r="2044" ht="12.75" customHeight="1">
      <c r="A2044" s="1">
        <v>0.0</v>
      </c>
      <c r="B2044" s="2" t="s">
        <v>4030</v>
      </c>
      <c r="C2044" s="1" t="s">
        <v>4031</v>
      </c>
      <c r="D2044" s="1" t="s">
        <v>4032</v>
      </c>
      <c r="E2044" s="1">
        <v>1.0</v>
      </c>
      <c r="F2044" s="1">
        <v>0.0</v>
      </c>
    </row>
    <row r="2045" ht="12.75" customHeight="1">
      <c r="A2045" s="1">
        <v>0.0</v>
      </c>
      <c r="B2045" s="2" t="s">
        <v>4033</v>
      </c>
      <c r="C2045" s="1" t="s">
        <v>4034</v>
      </c>
      <c r="D2045" s="1" t="s">
        <v>4035</v>
      </c>
      <c r="E2045" s="1">
        <v>1.0</v>
      </c>
      <c r="F2045" s="1">
        <v>0.0</v>
      </c>
    </row>
    <row r="2046" ht="12.75" customHeight="1">
      <c r="A2046" s="1">
        <v>0.0</v>
      </c>
      <c r="B2046" s="2">
        <v>1130842.0</v>
      </c>
      <c r="C2046" s="1" t="s">
        <v>4036</v>
      </c>
      <c r="D2046" s="1" t="s">
        <v>4037</v>
      </c>
      <c r="E2046" s="1">
        <v>1.0</v>
      </c>
      <c r="F2046" s="1">
        <v>0.0</v>
      </c>
    </row>
    <row r="2047" ht="12.75" customHeight="1">
      <c r="A2047" s="1">
        <v>0.0</v>
      </c>
      <c r="B2047" s="2" t="s">
        <v>4038</v>
      </c>
      <c r="C2047" s="1" t="s">
        <v>4039</v>
      </c>
      <c r="D2047" s="1" t="s">
        <v>4040</v>
      </c>
      <c r="E2047" s="1">
        <v>1.0</v>
      </c>
      <c r="F2047" s="1">
        <v>0.0</v>
      </c>
    </row>
    <row r="2048" ht="12.75" customHeight="1">
      <c r="A2048" s="1">
        <v>0.0</v>
      </c>
      <c r="B2048" s="2" t="s">
        <v>4041</v>
      </c>
      <c r="C2048" s="1" t="s">
        <v>4042</v>
      </c>
      <c r="D2048" s="1" t="s">
        <v>4043</v>
      </c>
      <c r="E2048" s="1">
        <v>1.0</v>
      </c>
      <c r="F2048" s="1">
        <v>0.0</v>
      </c>
    </row>
    <row r="2049" ht="12.75" customHeight="1">
      <c r="A2049" s="1">
        <v>0.0</v>
      </c>
      <c r="B2049" s="2">
        <v>8058604.0</v>
      </c>
      <c r="C2049" s="1" t="s">
        <v>6</v>
      </c>
      <c r="D2049" s="1" t="s">
        <v>4044</v>
      </c>
      <c r="E2049" s="1">
        <v>1.0</v>
      </c>
      <c r="F2049" s="1">
        <v>0.0</v>
      </c>
    </row>
    <row r="2050" ht="12.75" customHeight="1">
      <c r="A2050" s="1">
        <v>0.0</v>
      </c>
      <c r="B2050" s="2">
        <v>7100104.0</v>
      </c>
      <c r="C2050" s="1" t="s">
        <v>563</v>
      </c>
      <c r="D2050" s="1" t="s">
        <v>4045</v>
      </c>
      <c r="E2050" s="1">
        <v>1.0</v>
      </c>
      <c r="F2050" s="1">
        <v>0.0</v>
      </c>
    </row>
    <row r="2051" ht="12.75" customHeight="1">
      <c r="A2051" s="1">
        <v>0.0</v>
      </c>
      <c r="B2051" s="2" t="s">
        <v>4046</v>
      </c>
      <c r="C2051" s="1" t="s">
        <v>2855</v>
      </c>
      <c r="D2051" s="1" t="s">
        <v>4047</v>
      </c>
      <c r="E2051" s="1">
        <v>1.0</v>
      </c>
      <c r="F2051" s="1">
        <v>0.0</v>
      </c>
    </row>
    <row r="2052" ht="12.75" customHeight="1">
      <c r="A2052" s="1">
        <v>0.0</v>
      </c>
      <c r="B2052" s="2" t="s">
        <v>4048</v>
      </c>
      <c r="C2052" s="1" t="s">
        <v>4049</v>
      </c>
      <c r="D2052" s="1" t="s">
        <v>4050</v>
      </c>
      <c r="E2052" s="1">
        <v>1.0</v>
      </c>
      <c r="F2052" s="1">
        <v>0.0</v>
      </c>
    </row>
    <row r="2053" ht="12.75" customHeight="1">
      <c r="A2053" s="1">
        <v>0.0</v>
      </c>
      <c r="B2053" s="2">
        <v>7900104.0</v>
      </c>
      <c r="C2053" s="1" t="s">
        <v>916</v>
      </c>
      <c r="D2053" s="1" t="s">
        <v>4051</v>
      </c>
      <c r="E2053" s="1">
        <v>1.0</v>
      </c>
      <c r="F2053" s="1">
        <v>0.0</v>
      </c>
    </row>
    <row r="2054" ht="12.75" customHeight="1">
      <c r="A2054" s="1">
        <v>0.0</v>
      </c>
      <c r="B2054" s="2" t="s">
        <v>4052</v>
      </c>
      <c r="C2054" s="1" t="s">
        <v>4053</v>
      </c>
      <c r="D2054" s="1" t="s">
        <v>4054</v>
      </c>
      <c r="E2054" s="1">
        <v>1.0</v>
      </c>
      <c r="F2054" s="1">
        <v>0.0</v>
      </c>
    </row>
    <row r="2055" ht="12.75" customHeight="1">
      <c r="A2055" s="1">
        <v>0.0</v>
      </c>
      <c r="B2055" s="2" t="s">
        <v>4055</v>
      </c>
      <c r="C2055" s="1" t="s">
        <v>4056</v>
      </c>
      <c r="D2055" s="1" t="s">
        <v>4057</v>
      </c>
      <c r="E2055" s="1">
        <v>1.0</v>
      </c>
      <c r="F2055" s="1">
        <v>0.0</v>
      </c>
    </row>
    <row r="2056" ht="12.75" customHeight="1">
      <c r="A2056" s="1">
        <v>0.0</v>
      </c>
      <c r="B2056" s="2" t="s">
        <v>4058</v>
      </c>
      <c r="C2056" s="1" t="s">
        <v>4059</v>
      </c>
      <c r="D2056" s="1" t="s">
        <v>4060</v>
      </c>
      <c r="E2056" s="1">
        <v>1.0</v>
      </c>
      <c r="F2056" s="1">
        <v>0.0</v>
      </c>
    </row>
    <row r="2057" ht="12.75" customHeight="1">
      <c r="A2057" s="1">
        <v>0.0</v>
      </c>
      <c r="B2057" s="2" t="s">
        <v>4061</v>
      </c>
      <c r="C2057" s="1" t="s">
        <v>4062</v>
      </c>
      <c r="D2057" s="1" t="s">
        <v>4063</v>
      </c>
      <c r="E2057" s="1">
        <v>1.0</v>
      </c>
      <c r="F2057" s="1">
        <v>0.0</v>
      </c>
    </row>
    <row r="2058" ht="12.75" customHeight="1">
      <c r="A2058" s="1">
        <v>0.0</v>
      </c>
      <c r="B2058" s="2" t="s">
        <v>4064</v>
      </c>
      <c r="C2058" s="1" t="s">
        <v>4065</v>
      </c>
      <c r="D2058" s="1" t="s">
        <v>4066</v>
      </c>
      <c r="E2058" s="1">
        <v>1.0</v>
      </c>
      <c r="F2058" s="1">
        <v>0.0</v>
      </c>
    </row>
    <row r="2059" ht="12.75" customHeight="1">
      <c r="A2059" s="1">
        <v>0.0</v>
      </c>
      <c r="B2059" s="2" t="s">
        <v>4067</v>
      </c>
      <c r="C2059" s="1" t="s">
        <v>4068</v>
      </c>
      <c r="D2059" s="1" t="s">
        <v>3294</v>
      </c>
      <c r="E2059" s="1">
        <v>1.0</v>
      </c>
      <c r="F2059" s="1">
        <v>0.0</v>
      </c>
    </row>
    <row r="2060" ht="12.75" customHeight="1">
      <c r="A2060" s="1">
        <v>0.0</v>
      </c>
      <c r="B2060" s="2" t="s">
        <v>4069</v>
      </c>
      <c r="C2060" s="1" t="s">
        <v>4070</v>
      </c>
      <c r="D2060" s="1" t="s">
        <v>3294</v>
      </c>
      <c r="E2060" s="1">
        <v>1.0</v>
      </c>
      <c r="F2060" s="1">
        <v>0.0</v>
      </c>
    </row>
    <row r="2061" ht="12.75" customHeight="1">
      <c r="A2061" s="1">
        <v>0.0</v>
      </c>
      <c r="B2061" s="2">
        <v>3801375.0</v>
      </c>
      <c r="C2061" s="1" t="s">
        <v>312</v>
      </c>
      <c r="D2061" s="1" t="s">
        <v>4071</v>
      </c>
      <c r="E2061" s="1">
        <v>1.0</v>
      </c>
      <c r="F2061" s="1">
        <v>0.0</v>
      </c>
    </row>
    <row r="2062" ht="12.75" customHeight="1">
      <c r="A2062" s="1">
        <v>0.0</v>
      </c>
      <c r="B2062" s="2">
        <v>3801377.0</v>
      </c>
      <c r="C2062" s="1" t="s">
        <v>312</v>
      </c>
      <c r="D2062" s="1" t="s">
        <v>4072</v>
      </c>
      <c r="E2062" s="1">
        <v>1.0</v>
      </c>
      <c r="F2062" s="1">
        <v>0.0</v>
      </c>
    </row>
    <row r="2063" ht="12.75" customHeight="1">
      <c r="A2063" s="1">
        <v>0.0</v>
      </c>
      <c r="B2063" s="2" t="s">
        <v>4073</v>
      </c>
      <c r="C2063" s="1" t="s">
        <v>4074</v>
      </c>
      <c r="D2063" s="1" t="s">
        <v>375</v>
      </c>
      <c r="E2063" s="1">
        <v>1.0</v>
      </c>
      <c r="F2063" s="1">
        <v>0.0</v>
      </c>
    </row>
    <row r="2064" ht="12.75" customHeight="1">
      <c r="A2064" s="1">
        <v>0.0</v>
      </c>
      <c r="B2064" s="2" t="s">
        <v>4075</v>
      </c>
      <c r="C2064" s="1" t="s">
        <v>4076</v>
      </c>
      <c r="D2064" s="1" t="s">
        <v>4077</v>
      </c>
      <c r="E2064" s="1">
        <v>1.0</v>
      </c>
      <c r="F2064" s="1">
        <v>0.0</v>
      </c>
    </row>
    <row r="2065" ht="12.75" customHeight="1">
      <c r="A2065" s="1">
        <v>0.0</v>
      </c>
      <c r="B2065" s="2" t="s">
        <v>4078</v>
      </c>
      <c r="C2065" s="1" t="s">
        <v>4079</v>
      </c>
      <c r="D2065" s="1" t="s">
        <v>4080</v>
      </c>
      <c r="E2065" s="1">
        <v>1.0</v>
      </c>
      <c r="F2065" s="1">
        <v>1.0</v>
      </c>
    </row>
    <row r="2066" ht="12.75" customHeight="1">
      <c r="A2066" s="1">
        <v>0.0</v>
      </c>
      <c r="B2066" s="2">
        <v>564791.0</v>
      </c>
      <c r="C2066" s="1" t="s">
        <v>4081</v>
      </c>
      <c r="D2066" s="1" t="s">
        <v>4082</v>
      </c>
      <c r="E2066" s="1">
        <v>1.0</v>
      </c>
      <c r="F2066" s="1">
        <v>1.0</v>
      </c>
    </row>
    <row r="2067" ht="12.75" customHeight="1">
      <c r="A2067" s="1">
        <v>0.0</v>
      </c>
      <c r="B2067" s="2" t="s">
        <v>4083</v>
      </c>
      <c r="C2067" s="1" t="s">
        <v>4084</v>
      </c>
      <c r="D2067" s="1" t="s">
        <v>4085</v>
      </c>
      <c r="E2067" s="1">
        <v>1.0</v>
      </c>
      <c r="F2067" s="1">
        <v>1.0</v>
      </c>
    </row>
    <row r="2068" ht="12.75" customHeight="1">
      <c r="A2068" s="1">
        <v>0.0</v>
      </c>
      <c r="B2068" s="2" t="s">
        <v>4086</v>
      </c>
      <c r="C2068" s="1" t="s">
        <v>4087</v>
      </c>
      <c r="D2068" s="1" t="s">
        <v>4088</v>
      </c>
      <c r="E2068" s="1">
        <v>1.0</v>
      </c>
      <c r="F2068" s="1">
        <v>1.0</v>
      </c>
    </row>
    <row r="2069" ht="12.75" customHeight="1">
      <c r="A2069" s="1">
        <v>0.0</v>
      </c>
      <c r="B2069" s="2" t="s">
        <v>4089</v>
      </c>
      <c r="C2069" s="1" t="s">
        <v>4090</v>
      </c>
      <c r="D2069" s="1" t="s">
        <v>4091</v>
      </c>
      <c r="E2069" s="1">
        <v>1.0</v>
      </c>
      <c r="F2069" s="1">
        <v>1.0</v>
      </c>
    </row>
    <row r="2070" ht="12.75" customHeight="1">
      <c r="A2070" s="1">
        <v>0.0</v>
      </c>
      <c r="B2070" s="2" t="s">
        <v>4092</v>
      </c>
      <c r="C2070" s="1" t="s">
        <v>4093</v>
      </c>
      <c r="D2070" s="1" t="s">
        <v>4094</v>
      </c>
      <c r="E2070" s="1">
        <v>1.0</v>
      </c>
      <c r="F2070" s="1">
        <v>1.0</v>
      </c>
    </row>
    <row r="2071" ht="12.75" customHeight="1">
      <c r="A2071" s="1">
        <v>0.0</v>
      </c>
      <c r="B2071" s="2" t="s">
        <v>4095</v>
      </c>
      <c r="C2071" s="1" t="s">
        <v>4096</v>
      </c>
      <c r="D2071" s="1" t="s">
        <v>4097</v>
      </c>
      <c r="E2071" s="1">
        <v>1.0</v>
      </c>
      <c r="F2071" s="1">
        <v>1.0</v>
      </c>
    </row>
    <row r="2072" ht="12.75" customHeight="1">
      <c r="A2072" s="1">
        <v>0.0</v>
      </c>
      <c r="B2072" s="2" t="s">
        <v>4098</v>
      </c>
      <c r="C2072" s="1" t="s">
        <v>4099</v>
      </c>
      <c r="D2072" s="1" t="s">
        <v>1709</v>
      </c>
      <c r="E2072" s="1">
        <v>1.0</v>
      </c>
      <c r="F2072" s="1">
        <v>1.0</v>
      </c>
    </row>
    <row r="2073" ht="12.75" customHeight="1">
      <c r="A2073" s="1">
        <v>0.0</v>
      </c>
      <c r="B2073" s="2">
        <v>564754.0</v>
      </c>
      <c r="C2073" s="1" t="s">
        <v>4100</v>
      </c>
      <c r="D2073" s="1" t="s">
        <v>1373</v>
      </c>
      <c r="E2073" s="1">
        <v>1.0</v>
      </c>
      <c r="F2073" s="1">
        <v>1.0</v>
      </c>
    </row>
    <row r="2074" ht="12.75" customHeight="1">
      <c r="A2074" s="1">
        <v>0.0</v>
      </c>
      <c r="B2074" s="2" t="s">
        <v>4101</v>
      </c>
      <c r="C2074" s="1" t="s">
        <v>4102</v>
      </c>
      <c r="D2074" s="1" t="s">
        <v>1373</v>
      </c>
      <c r="E2074" s="1">
        <v>1.0</v>
      </c>
      <c r="F2074" s="1">
        <v>1.0</v>
      </c>
    </row>
    <row r="2075" ht="12.75" customHeight="1">
      <c r="A2075" s="1">
        <v>0.0</v>
      </c>
      <c r="B2075" s="2" t="s">
        <v>4103</v>
      </c>
      <c r="C2075" s="1" t="s">
        <v>4104</v>
      </c>
      <c r="D2075" s="1" t="s">
        <v>1373</v>
      </c>
      <c r="E2075" s="1">
        <v>1.0</v>
      </c>
      <c r="F2075" s="1">
        <v>1.0</v>
      </c>
    </row>
    <row r="2076" ht="12.75" customHeight="1">
      <c r="A2076" s="1">
        <v>0.0</v>
      </c>
      <c r="B2076" s="2" t="s">
        <v>4105</v>
      </c>
      <c r="C2076" s="1" t="s">
        <v>4106</v>
      </c>
      <c r="D2076" s="1" t="s">
        <v>1373</v>
      </c>
      <c r="E2076" s="1">
        <v>1.0</v>
      </c>
      <c r="F2076" s="1">
        <v>1.0</v>
      </c>
    </row>
    <row r="2077" ht="12.75" customHeight="1">
      <c r="A2077" s="1">
        <v>0.0</v>
      </c>
      <c r="B2077" s="2" t="s">
        <v>4107</v>
      </c>
      <c r="C2077" s="1" t="s">
        <v>1105</v>
      </c>
      <c r="D2077" s="1" t="s">
        <v>1373</v>
      </c>
      <c r="E2077" s="1">
        <v>1.0</v>
      </c>
      <c r="F2077" s="1">
        <v>1.0</v>
      </c>
    </row>
    <row r="2078" ht="12.75" customHeight="1">
      <c r="A2078" s="1">
        <v>0.0</v>
      </c>
      <c r="B2078" s="2" t="s">
        <v>4108</v>
      </c>
      <c r="C2078" s="1" t="s">
        <v>4109</v>
      </c>
      <c r="D2078" s="1" t="s">
        <v>1373</v>
      </c>
      <c r="E2078" s="1">
        <v>1.0</v>
      </c>
      <c r="F2078" s="1">
        <v>1.0</v>
      </c>
    </row>
    <row r="2079" ht="12.75" customHeight="1">
      <c r="A2079" s="1">
        <v>0.0</v>
      </c>
      <c r="B2079" s="2" t="s">
        <v>4110</v>
      </c>
      <c r="C2079" s="1" t="s">
        <v>4111</v>
      </c>
      <c r="D2079" s="1" t="s">
        <v>1373</v>
      </c>
      <c r="E2079" s="1">
        <v>1.0</v>
      </c>
      <c r="F2079" s="1">
        <v>1.0</v>
      </c>
    </row>
    <row r="2080" ht="12.75" customHeight="1">
      <c r="A2080" s="1">
        <v>0.0</v>
      </c>
      <c r="B2080" s="2" t="s">
        <v>4112</v>
      </c>
      <c r="C2080" s="1" t="s">
        <v>4113</v>
      </c>
      <c r="D2080" s="1" t="s">
        <v>1373</v>
      </c>
      <c r="E2080" s="1">
        <v>1.0</v>
      </c>
      <c r="F2080" s="1">
        <v>1.0</v>
      </c>
    </row>
    <row r="2081" ht="12.75" customHeight="1">
      <c r="A2081" s="1">
        <v>0.0</v>
      </c>
      <c r="B2081" s="2" t="s">
        <v>4114</v>
      </c>
      <c r="C2081" s="1" t="s">
        <v>4115</v>
      </c>
      <c r="D2081" s="1" t="s">
        <v>1373</v>
      </c>
      <c r="E2081" s="1">
        <v>1.0</v>
      </c>
      <c r="F2081" s="1">
        <v>1.0</v>
      </c>
    </row>
    <row r="2082" ht="12.75" customHeight="1">
      <c r="A2082" s="1">
        <v>0.0</v>
      </c>
      <c r="B2082" s="2" t="s">
        <v>4116</v>
      </c>
      <c r="C2082" s="1" t="s">
        <v>4117</v>
      </c>
      <c r="D2082" s="1" t="s">
        <v>1373</v>
      </c>
      <c r="E2082" s="1">
        <v>1.0</v>
      </c>
      <c r="F2082" s="1">
        <v>1.0</v>
      </c>
    </row>
    <row r="2083" ht="12.75" customHeight="1">
      <c r="A2083" s="1">
        <v>0.0</v>
      </c>
      <c r="B2083" s="2" t="s">
        <v>4118</v>
      </c>
      <c r="C2083" s="1" t="s">
        <v>4119</v>
      </c>
      <c r="D2083" s="1" t="s">
        <v>1373</v>
      </c>
      <c r="E2083" s="1">
        <v>1.0</v>
      </c>
      <c r="F2083" s="1">
        <v>1.0</v>
      </c>
    </row>
    <row r="2084" ht="12.75" customHeight="1">
      <c r="A2084" s="1">
        <v>0.0</v>
      </c>
      <c r="B2084" s="2" t="s">
        <v>4120</v>
      </c>
      <c r="C2084" s="1" t="s">
        <v>4121</v>
      </c>
      <c r="D2084" s="1" t="s">
        <v>1373</v>
      </c>
      <c r="E2084" s="1">
        <v>1.0</v>
      </c>
      <c r="F2084" s="1">
        <v>1.0</v>
      </c>
    </row>
    <row r="2085" ht="12.75" customHeight="1">
      <c r="A2085" s="1">
        <v>0.0</v>
      </c>
      <c r="B2085" s="2" t="s">
        <v>4122</v>
      </c>
      <c r="C2085" s="1" t="s">
        <v>4123</v>
      </c>
      <c r="D2085" s="1" t="s">
        <v>1373</v>
      </c>
      <c r="E2085" s="1">
        <v>1.0</v>
      </c>
      <c r="F2085" s="1">
        <v>1.0</v>
      </c>
    </row>
    <row r="2086" ht="12.75" customHeight="1">
      <c r="A2086" s="1">
        <v>0.0</v>
      </c>
      <c r="B2086" s="2" t="s">
        <v>4124</v>
      </c>
      <c r="C2086" s="1" t="s">
        <v>4125</v>
      </c>
      <c r="D2086" s="1" t="s">
        <v>1373</v>
      </c>
      <c r="E2086" s="1">
        <v>1.0</v>
      </c>
      <c r="F2086" s="1">
        <v>1.0</v>
      </c>
    </row>
    <row r="2087" ht="12.75" customHeight="1">
      <c r="A2087" s="1">
        <v>0.0</v>
      </c>
      <c r="B2087" s="2" t="s">
        <v>4126</v>
      </c>
      <c r="C2087" s="1" t="s">
        <v>4127</v>
      </c>
      <c r="D2087" s="1" t="s">
        <v>1373</v>
      </c>
      <c r="E2087" s="1">
        <v>1.0</v>
      </c>
      <c r="F2087" s="1">
        <v>1.0</v>
      </c>
    </row>
    <row r="2088" ht="12.75" customHeight="1">
      <c r="A2088" s="1">
        <v>0.0</v>
      </c>
      <c r="B2088" s="2" t="s">
        <v>4128</v>
      </c>
      <c r="C2088" s="1" t="s">
        <v>4129</v>
      </c>
      <c r="D2088" s="1" t="s">
        <v>1373</v>
      </c>
      <c r="E2088" s="1">
        <v>1.0</v>
      </c>
      <c r="F2088" s="1">
        <v>1.0</v>
      </c>
    </row>
    <row r="2089" ht="12.75" customHeight="1">
      <c r="A2089" s="1">
        <v>0.0</v>
      </c>
      <c r="B2089" s="2" t="s">
        <v>4130</v>
      </c>
      <c r="C2089" s="1" t="s">
        <v>2946</v>
      </c>
      <c r="D2089" s="1" t="s">
        <v>1373</v>
      </c>
      <c r="E2089" s="1">
        <v>1.0</v>
      </c>
      <c r="F2089" s="1">
        <v>1.0</v>
      </c>
    </row>
    <row r="2090" ht="12.75" customHeight="1">
      <c r="A2090" s="1">
        <v>0.0</v>
      </c>
      <c r="B2090" s="2" t="s">
        <v>4131</v>
      </c>
      <c r="C2090" s="1" t="s">
        <v>4132</v>
      </c>
      <c r="D2090" s="1" t="s">
        <v>1373</v>
      </c>
      <c r="E2090" s="1">
        <v>1.0</v>
      </c>
      <c r="F2090" s="1">
        <v>1.0</v>
      </c>
    </row>
    <row r="2091" ht="12.75" customHeight="1">
      <c r="A2091" s="1">
        <v>0.0</v>
      </c>
      <c r="B2091" s="2" t="s">
        <v>4133</v>
      </c>
      <c r="C2091" s="1" t="s">
        <v>4134</v>
      </c>
      <c r="D2091" s="1" t="s">
        <v>1373</v>
      </c>
      <c r="E2091" s="1">
        <v>1.0</v>
      </c>
      <c r="F2091" s="1">
        <v>1.0</v>
      </c>
    </row>
    <row r="2092" ht="12.75" customHeight="1">
      <c r="A2092" s="1">
        <v>0.0</v>
      </c>
      <c r="B2092" s="2" t="s">
        <v>4135</v>
      </c>
      <c r="C2092" s="1" t="s">
        <v>4136</v>
      </c>
      <c r="D2092" s="1" t="s">
        <v>1373</v>
      </c>
      <c r="E2092" s="1">
        <v>1.0</v>
      </c>
      <c r="F2092" s="1">
        <v>1.0</v>
      </c>
    </row>
    <row r="2093" ht="12.75" customHeight="1">
      <c r="A2093" s="1">
        <v>0.0</v>
      </c>
      <c r="B2093" s="2" t="s">
        <v>4137</v>
      </c>
      <c r="C2093" s="1" t="s">
        <v>4138</v>
      </c>
      <c r="D2093" s="1" t="s">
        <v>1373</v>
      </c>
      <c r="E2093" s="1">
        <v>1.0</v>
      </c>
      <c r="F2093" s="1">
        <v>1.0</v>
      </c>
    </row>
    <row r="2094" ht="12.75" customHeight="1">
      <c r="A2094" s="1">
        <v>0.0</v>
      </c>
      <c r="B2094" s="2" t="s">
        <v>4139</v>
      </c>
      <c r="C2094" s="1" t="s">
        <v>2583</v>
      </c>
      <c r="D2094" s="1" t="s">
        <v>1373</v>
      </c>
      <c r="E2094" s="1">
        <v>1.0</v>
      </c>
      <c r="F2094" s="1">
        <v>1.0</v>
      </c>
    </row>
    <row r="2095" ht="12.75" customHeight="1">
      <c r="A2095" s="1">
        <v>0.0</v>
      </c>
      <c r="B2095" s="2" t="s">
        <v>4140</v>
      </c>
      <c r="C2095" s="1" t="s">
        <v>4141</v>
      </c>
      <c r="D2095" s="1" t="s">
        <v>1373</v>
      </c>
      <c r="E2095" s="1">
        <v>1.0</v>
      </c>
      <c r="F2095" s="1">
        <v>1.0</v>
      </c>
    </row>
    <row r="2096" ht="12.75" customHeight="1">
      <c r="A2096" s="1">
        <v>0.0</v>
      </c>
      <c r="B2096" s="2">
        <v>160003.0</v>
      </c>
      <c r="C2096" s="1" t="s">
        <v>91</v>
      </c>
      <c r="D2096" s="1" t="s">
        <v>4142</v>
      </c>
      <c r="E2096" s="1">
        <v>1.0</v>
      </c>
      <c r="F2096" s="1">
        <v>1.0</v>
      </c>
    </row>
    <row r="2097" ht="12.75" customHeight="1">
      <c r="A2097" s="1">
        <v>0.0</v>
      </c>
      <c r="B2097" s="2" t="s">
        <v>4143</v>
      </c>
      <c r="C2097" s="1" t="s">
        <v>4144</v>
      </c>
      <c r="D2097" s="1" t="s">
        <v>4142</v>
      </c>
      <c r="E2097" s="1">
        <v>1.0</v>
      </c>
      <c r="F2097" s="1">
        <v>1.0</v>
      </c>
    </row>
    <row r="2098" ht="12.75" customHeight="1">
      <c r="A2098" s="1">
        <v>0.0</v>
      </c>
      <c r="B2098" s="2" t="s">
        <v>4145</v>
      </c>
      <c r="C2098" s="1" t="s">
        <v>4146</v>
      </c>
      <c r="D2098" s="1" t="s">
        <v>4147</v>
      </c>
      <c r="E2098" s="1">
        <v>1.0</v>
      </c>
      <c r="F2098" s="1">
        <v>1.0</v>
      </c>
    </row>
    <row r="2099" ht="12.75" customHeight="1">
      <c r="A2099" s="1">
        <v>0.0</v>
      </c>
      <c r="B2099" s="2" t="s">
        <v>4148</v>
      </c>
      <c r="C2099" s="1" t="s">
        <v>4149</v>
      </c>
      <c r="D2099" s="1" t="s">
        <v>1742</v>
      </c>
      <c r="E2099" s="1">
        <v>1.0</v>
      </c>
      <c r="F2099" s="1">
        <v>1.0</v>
      </c>
    </row>
    <row r="2100" ht="12.75" customHeight="1">
      <c r="A2100" s="1">
        <v>0.0</v>
      </c>
      <c r="B2100" s="2" t="s">
        <v>4150</v>
      </c>
      <c r="C2100" s="1" t="s">
        <v>4151</v>
      </c>
      <c r="D2100" s="1" t="s">
        <v>1742</v>
      </c>
      <c r="E2100" s="1">
        <v>1.0</v>
      </c>
      <c r="F2100" s="1">
        <v>1.0</v>
      </c>
    </row>
    <row r="2101" ht="12.75" customHeight="1">
      <c r="A2101" s="1">
        <v>0.0</v>
      </c>
      <c r="B2101" s="2" t="s">
        <v>4152</v>
      </c>
      <c r="C2101" s="1" t="s">
        <v>4153</v>
      </c>
      <c r="D2101" s="1" t="s">
        <v>1742</v>
      </c>
      <c r="E2101" s="1">
        <v>1.0</v>
      </c>
      <c r="F2101" s="1">
        <v>1.0</v>
      </c>
    </row>
    <row r="2102" ht="12.75" customHeight="1">
      <c r="A2102" s="1">
        <v>0.0</v>
      </c>
      <c r="B2102" s="2" t="s">
        <v>4154</v>
      </c>
      <c r="C2102" s="1" t="s">
        <v>4155</v>
      </c>
      <c r="D2102" s="1" t="s">
        <v>1742</v>
      </c>
      <c r="E2102" s="1">
        <v>1.0</v>
      </c>
      <c r="F2102" s="1">
        <v>1.0</v>
      </c>
    </row>
    <row r="2103" ht="12.75" customHeight="1">
      <c r="A2103" s="1">
        <v>0.0</v>
      </c>
      <c r="B2103" s="2" t="s">
        <v>4156</v>
      </c>
      <c r="C2103" s="1" t="s">
        <v>4157</v>
      </c>
      <c r="D2103" s="1" t="s">
        <v>4158</v>
      </c>
      <c r="E2103" s="1">
        <v>1.0</v>
      </c>
      <c r="F2103" s="1">
        <v>1.0</v>
      </c>
    </row>
    <row r="2104" ht="12.75" customHeight="1">
      <c r="A2104" s="1">
        <v>0.0</v>
      </c>
      <c r="B2104" s="2" t="s">
        <v>4159</v>
      </c>
      <c r="C2104" s="1" t="s">
        <v>4160</v>
      </c>
      <c r="D2104" s="1" t="s">
        <v>4161</v>
      </c>
      <c r="E2104" s="1">
        <v>1.0</v>
      </c>
      <c r="F2104" s="1">
        <v>1.0</v>
      </c>
    </row>
    <row r="2105" ht="12.75" customHeight="1">
      <c r="A2105" s="1">
        <v>0.0</v>
      </c>
      <c r="B2105" s="2" t="s">
        <v>4162</v>
      </c>
      <c r="C2105" s="1" t="s">
        <v>21</v>
      </c>
      <c r="D2105" s="1" t="s">
        <v>4163</v>
      </c>
      <c r="E2105" s="1">
        <v>1.0</v>
      </c>
      <c r="F2105" s="1">
        <v>1.0</v>
      </c>
    </row>
    <row r="2106" ht="12.75" customHeight="1">
      <c r="A2106" s="1">
        <v>0.0</v>
      </c>
      <c r="B2106" s="2">
        <v>1302021.0</v>
      </c>
      <c r="C2106" s="1" t="s">
        <v>4164</v>
      </c>
      <c r="D2106" s="1" t="s">
        <v>1780</v>
      </c>
      <c r="E2106" s="1">
        <v>1.0</v>
      </c>
      <c r="F2106" s="1">
        <v>1.0</v>
      </c>
    </row>
    <row r="2107" ht="12.75" customHeight="1">
      <c r="A2107" s="1">
        <v>0.0</v>
      </c>
      <c r="B2107" s="2" t="s">
        <v>4165</v>
      </c>
      <c r="C2107" s="1" t="s">
        <v>261</v>
      </c>
      <c r="D2107" s="1" t="s">
        <v>4166</v>
      </c>
      <c r="E2107" s="1">
        <v>1.0</v>
      </c>
      <c r="F2107" s="1">
        <v>1.0</v>
      </c>
    </row>
    <row r="2108" ht="12.75" customHeight="1">
      <c r="A2108" s="1">
        <v>0.0</v>
      </c>
      <c r="B2108" s="2">
        <v>1130866.0</v>
      </c>
      <c r="C2108" s="1" t="s">
        <v>4167</v>
      </c>
      <c r="D2108" s="1" t="s">
        <v>4168</v>
      </c>
      <c r="E2108" s="1">
        <v>1.0</v>
      </c>
      <c r="F2108" s="1">
        <v>1.0</v>
      </c>
    </row>
    <row r="2109" ht="12.75" customHeight="1">
      <c r="A2109" s="1">
        <v>0.0</v>
      </c>
      <c r="B2109" s="2">
        <v>1130856.0</v>
      </c>
      <c r="C2109" s="1" t="s">
        <v>4169</v>
      </c>
      <c r="D2109" s="1" t="s">
        <v>4170</v>
      </c>
      <c r="E2109" s="1">
        <v>1.0</v>
      </c>
      <c r="F2109" s="1">
        <v>1.0</v>
      </c>
    </row>
    <row r="2110" ht="12.75" customHeight="1">
      <c r="A2110" s="1">
        <v>0.0</v>
      </c>
      <c r="B2110" s="2">
        <v>1130863.0</v>
      </c>
      <c r="C2110" s="1" t="s">
        <v>4171</v>
      </c>
      <c r="D2110" s="1" t="s">
        <v>4172</v>
      </c>
      <c r="E2110" s="1">
        <v>1.0</v>
      </c>
      <c r="F2110" s="1">
        <v>1.0</v>
      </c>
    </row>
    <row r="2111" ht="12.75" customHeight="1">
      <c r="A2111" s="1">
        <v>0.0</v>
      </c>
      <c r="B2111" s="2">
        <v>1130859.0</v>
      </c>
      <c r="C2111" s="1" t="s">
        <v>4173</v>
      </c>
      <c r="D2111" s="1" t="s">
        <v>4174</v>
      </c>
      <c r="E2111" s="1">
        <v>1.0</v>
      </c>
      <c r="F2111" s="1">
        <v>1.0</v>
      </c>
    </row>
    <row r="2112" ht="12.75" customHeight="1">
      <c r="A2112" s="1">
        <v>0.0</v>
      </c>
      <c r="B2112" s="2" t="s">
        <v>4175</v>
      </c>
      <c r="C2112" s="1" t="s">
        <v>4176</v>
      </c>
      <c r="D2112" s="1" t="s">
        <v>4177</v>
      </c>
      <c r="E2112" s="1">
        <v>1.0</v>
      </c>
      <c r="F2112" s="1">
        <v>1.0</v>
      </c>
    </row>
    <row r="2113" ht="12.75" customHeight="1">
      <c r="A2113" s="1">
        <v>0.0</v>
      </c>
      <c r="B2113" s="2" t="s">
        <v>4178</v>
      </c>
      <c r="C2113" s="1" t="s">
        <v>4179</v>
      </c>
      <c r="D2113" s="1" t="s">
        <v>1811</v>
      </c>
      <c r="E2113" s="1">
        <v>1.0</v>
      </c>
      <c r="F2113" s="1">
        <v>1.0</v>
      </c>
    </row>
    <row r="2114" ht="12.75" customHeight="1">
      <c r="A2114" s="1">
        <v>0.0</v>
      </c>
      <c r="B2114" s="2" t="s">
        <v>4180</v>
      </c>
      <c r="C2114" s="1" t="s">
        <v>4181</v>
      </c>
      <c r="D2114" s="1" t="s">
        <v>4182</v>
      </c>
      <c r="E2114" s="1">
        <v>1.0</v>
      </c>
      <c r="F2114" s="1">
        <v>1.0</v>
      </c>
    </row>
    <row r="2115" ht="12.75" customHeight="1">
      <c r="A2115" s="1">
        <v>0.0</v>
      </c>
      <c r="B2115" s="2">
        <v>1130858.0</v>
      </c>
      <c r="C2115" s="1" t="s">
        <v>4183</v>
      </c>
      <c r="D2115" s="1" t="s">
        <v>716</v>
      </c>
      <c r="E2115" s="1">
        <v>1.0</v>
      </c>
      <c r="F2115" s="1">
        <v>1.0</v>
      </c>
    </row>
    <row r="2116" ht="12.75" customHeight="1">
      <c r="A2116" s="1">
        <v>0.0</v>
      </c>
      <c r="B2116" s="2" t="s">
        <v>4184</v>
      </c>
      <c r="C2116" s="1" t="s">
        <v>4185</v>
      </c>
      <c r="D2116" s="1" t="s">
        <v>4186</v>
      </c>
      <c r="E2116" s="1">
        <v>1.0</v>
      </c>
      <c r="F2116" s="1">
        <v>1.0</v>
      </c>
    </row>
    <row r="2117" ht="12.75" customHeight="1">
      <c r="A2117" s="1">
        <v>0.0</v>
      </c>
      <c r="B2117" s="2" t="s">
        <v>4187</v>
      </c>
      <c r="C2117" s="1" t="s">
        <v>4188</v>
      </c>
      <c r="D2117" s="1" t="s">
        <v>4189</v>
      </c>
      <c r="E2117" s="1">
        <v>1.0</v>
      </c>
      <c r="F2117" s="1">
        <v>1.0</v>
      </c>
    </row>
    <row r="2118" ht="12.75" customHeight="1">
      <c r="A2118" s="1">
        <v>0.0</v>
      </c>
      <c r="B2118" s="2">
        <v>1130829.0</v>
      </c>
      <c r="C2118" s="1" t="s">
        <v>4190</v>
      </c>
      <c r="D2118" s="1" t="s">
        <v>4191</v>
      </c>
      <c r="E2118" s="1">
        <v>1.0</v>
      </c>
      <c r="F2118" s="1">
        <v>1.0</v>
      </c>
    </row>
    <row r="2119" ht="12.75" customHeight="1">
      <c r="A2119" s="1">
        <v>0.0</v>
      </c>
      <c r="B2119" s="2" t="s">
        <v>4192</v>
      </c>
      <c r="C2119" s="1" t="s">
        <v>4193</v>
      </c>
      <c r="D2119" s="1" t="s">
        <v>4194</v>
      </c>
      <c r="E2119" s="1">
        <v>1.0</v>
      </c>
      <c r="F2119" s="1">
        <v>1.0</v>
      </c>
    </row>
    <row r="2120" ht="12.75" customHeight="1">
      <c r="A2120" s="1">
        <v>0.0</v>
      </c>
      <c r="B2120" s="2" t="s">
        <v>4195</v>
      </c>
      <c r="C2120" s="1" t="s">
        <v>4196</v>
      </c>
      <c r="D2120" s="1" t="s">
        <v>2022</v>
      </c>
      <c r="E2120" s="1">
        <v>1.0</v>
      </c>
      <c r="F2120" s="1">
        <v>1.0</v>
      </c>
    </row>
    <row r="2121" ht="12.75" customHeight="1">
      <c r="A2121" s="1">
        <v>0.0</v>
      </c>
      <c r="B2121" s="2" t="s">
        <v>4197</v>
      </c>
      <c r="C2121" s="1" t="s">
        <v>4198</v>
      </c>
      <c r="D2121" s="1" t="s">
        <v>757</v>
      </c>
      <c r="E2121" s="1">
        <v>1.0</v>
      </c>
      <c r="F2121" s="1">
        <v>1.0</v>
      </c>
    </row>
    <row r="2122" ht="12.75" customHeight="1">
      <c r="A2122" s="1">
        <v>0.0</v>
      </c>
      <c r="B2122" s="2" t="s">
        <v>4199</v>
      </c>
      <c r="C2122" s="1" t="s">
        <v>4200</v>
      </c>
      <c r="D2122" s="1" t="s">
        <v>4201</v>
      </c>
      <c r="E2122" s="1">
        <v>1.0</v>
      </c>
      <c r="F2122" s="1">
        <v>1.0</v>
      </c>
    </row>
    <row r="2123" ht="12.75" customHeight="1">
      <c r="A2123" s="1">
        <v>0.0</v>
      </c>
      <c r="B2123" s="2" t="s">
        <v>4202</v>
      </c>
      <c r="C2123" s="1" t="s">
        <v>4203</v>
      </c>
      <c r="D2123" s="1" t="s">
        <v>4204</v>
      </c>
      <c r="E2123" s="1">
        <v>1.0</v>
      </c>
      <c r="F2123" s="1">
        <v>1.0</v>
      </c>
    </row>
    <row r="2124" ht="12.75" customHeight="1">
      <c r="A2124" s="1">
        <v>0.0</v>
      </c>
      <c r="B2124" s="2">
        <v>563279.0</v>
      </c>
      <c r="C2124" s="1" t="s">
        <v>4205</v>
      </c>
      <c r="D2124" s="1" t="s">
        <v>4206</v>
      </c>
      <c r="E2124" s="1">
        <v>1.0</v>
      </c>
      <c r="F2124" s="1">
        <v>1.0</v>
      </c>
    </row>
    <row r="2125" ht="12.75" customHeight="1">
      <c r="A2125" s="1">
        <v>0.0</v>
      </c>
      <c r="B2125" s="2" t="s">
        <v>4207</v>
      </c>
      <c r="C2125" s="1" t="s">
        <v>4208</v>
      </c>
      <c r="D2125" s="1" t="s">
        <v>4209</v>
      </c>
      <c r="E2125" s="1">
        <v>1.0</v>
      </c>
      <c r="F2125" s="1">
        <v>1.0</v>
      </c>
    </row>
    <row r="2126" ht="12.75" customHeight="1">
      <c r="A2126" s="1">
        <v>0.0</v>
      </c>
      <c r="B2126" s="2" t="s">
        <v>4210</v>
      </c>
      <c r="C2126" s="1" t="s">
        <v>4211</v>
      </c>
      <c r="D2126" s="1" t="s">
        <v>4212</v>
      </c>
      <c r="E2126" s="1">
        <v>1.0</v>
      </c>
      <c r="F2126" s="1">
        <v>1.0</v>
      </c>
    </row>
    <row r="2127" ht="12.75" customHeight="1">
      <c r="A2127" s="1">
        <v>0.0</v>
      </c>
      <c r="B2127" s="2" t="s">
        <v>4213</v>
      </c>
      <c r="C2127" s="1" t="s">
        <v>4214</v>
      </c>
      <c r="D2127" s="1" t="s">
        <v>4215</v>
      </c>
      <c r="E2127" s="1">
        <v>1.0</v>
      </c>
      <c r="F2127" s="1">
        <v>1.0</v>
      </c>
    </row>
    <row r="2128" ht="12.75" customHeight="1">
      <c r="A2128" s="1">
        <v>0.0</v>
      </c>
      <c r="B2128" s="2">
        <v>564701.0</v>
      </c>
      <c r="C2128" s="1" t="s">
        <v>748</v>
      </c>
      <c r="D2128" s="1" t="s">
        <v>4216</v>
      </c>
      <c r="E2128" s="1">
        <v>1.0</v>
      </c>
      <c r="F2128" s="1">
        <v>1.0</v>
      </c>
    </row>
    <row r="2129" ht="12.75" customHeight="1">
      <c r="A2129" s="1">
        <v>0.0</v>
      </c>
      <c r="B2129" s="2" t="s">
        <v>4217</v>
      </c>
      <c r="C2129" s="1" t="s">
        <v>4218</v>
      </c>
      <c r="D2129" s="1" t="s">
        <v>4219</v>
      </c>
      <c r="E2129" s="1">
        <v>1.0</v>
      </c>
      <c r="F2129" s="1">
        <v>1.0</v>
      </c>
    </row>
    <row r="2130" ht="12.75" customHeight="1">
      <c r="A2130" s="1">
        <v>0.0</v>
      </c>
      <c r="B2130" s="2" t="s">
        <v>4220</v>
      </c>
      <c r="C2130" s="1" t="s">
        <v>4221</v>
      </c>
      <c r="D2130" s="1" t="s">
        <v>2219</v>
      </c>
      <c r="E2130" s="1">
        <v>1.0</v>
      </c>
      <c r="F2130" s="1">
        <v>1.0</v>
      </c>
    </row>
    <row r="2131" ht="12.75" customHeight="1">
      <c r="A2131" s="1">
        <v>0.0</v>
      </c>
      <c r="B2131" s="2" t="s">
        <v>4222</v>
      </c>
      <c r="C2131" s="1" t="s">
        <v>4223</v>
      </c>
      <c r="D2131" s="1" t="s">
        <v>2219</v>
      </c>
      <c r="E2131" s="1">
        <v>1.0</v>
      </c>
      <c r="F2131" s="1">
        <v>1.0</v>
      </c>
    </row>
    <row r="2132" ht="12.75" customHeight="1">
      <c r="A2132" s="1">
        <v>0.0</v>
      </c>
      <c r="B2132" s="2" t="s">
        <v>4224</v>
      </c>
      <c r="C2132" s="1" t="s">
        <v>4225</v>
      </c>
      <c r="D2132" s="1" t="s">
        <v>2219</v>
      </c>
      <c r="E2132" s="1">
        <v>1.0</v>
      </c>
      <c r="F2132" s="1">
        <v>1.0</v>
      </c>
    </row>
    <row r="2133" ht="12.75" customHeight="1">
      <c r="A2133" s="1">
        <v>0.0</v>
      </c>
      <c r="B2133" s="2" t="s">
        <v>4226</v>
      </c>
      <c r="C2133" s="1" t="s">
        <v>4227</v>
      </c>
      <c r="D2133" s="1" t="s">
        <v>2219</v>
      </c>
      <c r="E2133" s="1">
        <v>1.0</v>
      </c>
      <c r="F2133" s="1">
        <v>1.0</v>
      </c>
    </row>
    <row r="2134" ht="12.75" customHeight="1">
      <c r="A2134" s="1">
        <v>0.0</v>
      </c>
      <c r="B2134" s="2">
        <v>1440300.0</v>
      </c>
      <c r="C2134" s="1" t="s">
        <v>597</v>
      </c>
      <c r="D2134" s="1" t="s">
        <v>4228</v>
      </c>
      <c r="E2134" s="1">
        <v>1.0</v>
      </c>
      <c r="F2134" s="1">
        <v>1.0</v>
      </c>
    </row>
    <row r="2135" ht="12.75" customHeight="1">
      <c r="A2135" s="1">
        <v>0.0</v>
      </c>
      <c r="B2135" s="2">
        <v>1660503.0</v>
      </c>
      <c r="C2135" s="1" t="s">
        <v>49</v>
      </c>
      <c r="D2135" s="1" t="s">
        <v>4229</v>
      </c>
      <c r="E2135" s="1">
        <v>1.0</v>
      </c>
      <c r="F2135" s="1">
        <v>1.0</v>
      </c>
    </row>
    <row r="2136" ht="12.75" customHeight="1">
      <c r="A2136" s="1">
        <v>0.0</v>
      </c>
      <c r="B2136" s="2" t="s">
        <v>4230</v>
      </c>
      <c r="C2136" s="1" t="s">
        <v>4231</v>
      </c>
      <c r="D2136" s="1" t="s">
        <v>4232</v>
      </c>
      <c r="E2136" s="1">
        <v>1.0</v>
      </c>
      <c r="F2136" s="1">
        <v>1.0</v>
      </c>
    </row>
    <row r="2137" ht="12.75" customHeight="1">
      <c r="A2137" s="1">
        <v>0.0</v>
      </c>
      <c r="B2137" s="2" t="s">
        <v>4233</v>
      </c>
      <c r="C2137" s="1" t="s">
        <v>4234</v>
      </c>
      <c r="D2137" s="1" t="s">
        <v>4235</v>
      </c>
      <c r="E2137" s="1">
        <v>1.0</v>
      </c>
      <c r="F2137" s="1">
        <v>1.0</v>
      </c>
    </row>
    <row r="2138" ht="12.75" customHeight="1">
      <c r="A2138" s="1">
        <v>0.0</v>
      </c>
      <c r="B2138" s="2" t="s">
        <v>4236</v>
      </c>
      <c r="C2138" s="1" t="s">
        <v>4237</v>
      </c>
      <c r="D2138" s="1" t="s">
        <v>4238</v>
      </c>
      <c r="E2138" s="1">
        <v>1.0</v>
      </c>
      <c r="F2138" s="1">
        <v>1.0</v>
      </c>
    </row>
    <row r="2139" ht="12.75" customHeight="1">
      <c r="A2139" s="1">
        <v>0.0</v>
      </c>
      <c r="B2139" s="2">
        <v>8451014.0</v>
      </c>
      <c r="C2139" s="1" t="s">
        <v>180</v>
      </c>
      <c r="D2139" s="1" t="s">
        <v>4239</v>
      </c>
      <c r="E2139" s="1">
        <v>1.0</v>
      </c>
      <c r="F2139" s="1">
        <v>1.0</v>
      </c>
    </row>
    <row r="2140" ht="12.75" customHeight="1">
      <c r="A2140" s="1">
        <v>0.0</v>
      </c>
      <c r="B2140" s="2">
        <v>1660199.0</v>
      </c>
      <c r="C2140" s="1" t="s">
        <v>66</v>
      </c>
      <c r="D2140" s="1" t="s">
        <v>4240</v>
      </c>
      <c r="E2140" s="1">
        <v>1.0</v>
      </c>
      <c r="F2140" s="1">
        <v>1.0</v>
      </c>
    </row>
    <row r="2141" ht="12.75" customHeight="1">
      <c r="A2141" s="1">
        <v>0.0</v>
      </c>
      <c r="B2141" s="2" t="s">
        <v>4241</v>
      </c>
      <c r="C2141" s="1" t="s">
        <v>4242</v>
      </c>
      <c r="D2141" s="1" t="s">
        <v>4242</v>
      </c>
      <c r="E2141" s="1">
        <v>1.0</v>
      </c>
      <c r="F2141" s="1">
        <v>1.0</v>
      </c>
    </row>
    <row r="2142" ht="12.75" customHeight="1">
      <c r="A2142" s="1">
        <v>0.0</v>
      </c>
      <c r="B2142" s="2" t="s">
        <v>4243</v>
      </c>
      <c r="C2142" s="1" t="s">
        <v>4244</v>
      </c>
      <c r="D2142" s="1" t="s">
        <v>854</v>
      </c>
      <c r="E2142" s="1">
        <v>1.0</v>
      </c>
      <c r="F2142" s="1">
        <v>1.0</v>
      </c>
    </row>
    <row r="2143" ht="12.75" customHeight="1">
      <c r="A2143" s="1">
        <v>0.0</v>
      </c>
      <c r="B2143" s="2">
        <v>1660304.0</v>
      </c>
      <c r="C2143" s="1" t="s">
        <v>66</v>
      </c>
      <c r="D2143" s="1" t="s">
        <v>4245</v>
      </c>
      <c r="E2143" s="1">
        <v>1.0</v>
      </c>
      <c r="F2143" s="1">
        <v>1.0</v>
      </c>
    </row>
    <row r="2144" ht="12.75" customHeight="1">
      <c r="A2144" s="1">
        <v>0.0</v>
      </c>
      <c r="B2144" s="2" t="s">
        <v>4246</v>
      </c>
      <c r="C2144" s="1" t="s">
        <v>4247</v>
      </c>
      <c r="D2144" s="1" t="s">
        <v>4248</v>
      </c>
      <c r="E2144" s="1">
        <v>1.0</v>
      </c>
      <c r="F2144" s="1">
        <v>1.0</v>
      </c>
    </row>
    <row r="2145" ht="12.75" customHeight="1">
      <c r="A2145" s="1">
        <v>0.0</v>
      </c>
      <c r="B2145" s="2" t="s">
        <v>4249</v>
      </c>
      <c r="C2145" s="1" t="s">
        <v>4250</v>
      </c>
      <c r="D2145" s="1" t="s">
        <v>4251</v>
      </c>
      <c r="E2145" s="1">
        <v>1.0</v>
      </c>
      <c r="F2145" s="1">
        <v>1.0</v>
      </c>
    </row>
    <row r="2146" ht="12.75" customHeight="1">
      <c r="A2146" s="1">
        <v>0.0</v>
      </c>
      <c r="B2146" s="2">
        <v>561055.0</v>
      </c>
      <c r="C2146" s="1" t="s">
        <v>203</v>
      </c>
      <c r="D2146" s="1" t="s">
        <v>4252</v>
      </c>
      <c r="E2146" s="1">
        <v>1.0</v>
      </c>
      <c r="F2146" s="1">
        <v>1.0</v>
      </c>
    </row>
    <row r="2147" ht="12.75" customHeight="1">
      <c r="A2147" s="1">
        <v>0.0</v>
      </c>
      <c r="B2147" s="2">
        <v>560749.0</v>
      </c>
      <c r="C2147" s="1" t="s">
        <v>203</v>
      </c>
      <c r="D2147" s="1" t="s">
        <v>4253</v>
      </c>
      <c r="E2147" s="1">
        <v>1.0</v>
      </c>
      <c r="F2147" s="1">
        <v>1.0</v>
      </c>
    </row>
    <row r="2148" ht="12.75" customHeight="1">
      <c r="A2148" s="1">
        <v>0.0</v>
      </c>
      <c r="B2148" s="2">
        <v>5.647E10</v>
      </c>
      <c r="C2148" s="1" t="s">
        <v>4254</v>
      </c>
      <c r="D2148" s="1" t="s">
        <v>2457</v>
      </c>
      <c r="E2148" s="1">
        <v>1.0</v>
      </c>
      <c r="F2148" s="1">
        <v>1.0</v>
      </c>
    </row>
    <row r="2149" ht="12.75" customHeight="1">
      <c r="A2149" s="1">
        <v>0.0</v>
      </c>
      <c r="B2149" s="2" t="s">
        <v>4255</v>
      </c>
      <c r="C2149" s="1" t="s">
        <v>4256</v>
      </c>
      <c r="D2149" s="1" t="s">
        <v>4257</v>
      </c>
      <c r="E2149" s="1">
        <v>1.0</v>
      </c>
      <c r="F2149" s="1">
        <v>1.0</v>
      </c>
    </row>
    <row r="2150" ht="12.75" customHeight="1">
      <c r="A2150" s="1">
        <v>0.0</v>
      </c>
      <c r="B2150" s="2" t="s">
        <v>4258</v>
      </c>
      <c r="C2150" s="1" t="s">
        <v>3595</v>
      </c>
      <c r="D2150" s="1" t="s">
        <v>4259</v>
      </c>
      <c r="E2150" s="1">
        <v>1.0</v>
      </c>
      <c r="F2150" s="1">
        <v>1.0</v>
      </c>
    </row>
    <row r="2151" ht="12.75" customHeight="1">
      <c r="A2151" s="1">
        <v>0.0</v>
      </c>
      <c r="B2151" s="2" t="s">
        <v>4260</v>
      </c>
      <c r="C2151" s="1" t="s">
        <v>4261</v>
      </c>
      <c r="D2151" s="1" t="s">
        <v>4262</v>
      </c>
      <c r="E2151" s="1">
        <v>1.0</v>
      </c>
      <c r="F2151" s="1">
        <v>1.0</v>
      </c>
    </row>
    <row r="2152" ht="12.75" customHeight="1">
      <c r="A2152" s="1">
        <v>0.0</v>
      </c>
      <c r="B2152" s="2">
        <v>5.629E7</v>
      </c>
      <c r="C2152" s="1" t="s">
        <v>4263</v>
      </c>
      <c r="D2152" s="1" t="s">
        <v>4264</v>
      </c>
      <c r="E2152" s="1">
        <v>1.0</v>
      </c>
      <c r="F2152" s="1">
        <v>1.0</v>
      </c>
    </row>
    <row r="2153" ht="12.75" customHeight="1">
      <c r="A2153" s="1">
        <v>0.0</v>
      </c>
      <c r="B2153" s="2">
        <v>4590500.0</v>
      </c>
      <c r="C2153" s="1" t="s">
        <v>992</v>
      </c>
      <c r="D2153" s="1" t="s">
        <v>4265</v>
      </c>
      <c r="E2153" s="1">
        <v>1.0</v>
      </c>
      <c r="F2153" s="1">
        <v>1.0</v>
      </c>
    </row>
    <row r="2154" ht="12.75" customHeight="1">
      <c r="A2154" s="1">
        <v>0.0</v>
      </c>
      <c r="B2154" s="2">
        <v>30535.0</v>
      </c>
      <c r="C2154" s="1" t="s">
        <v>4266</v>
      </c>
      <c r="D2154" s="1" t="s">
        <v>4267</v>
      </c>
      <c r="E2154" s="1">
        <v>1.0</v>
      </c>
      <c r="F2154" s="1">
        <v>1.0</v>
      </c>
    </row>
    <row r="2155" ht="12.75" customHeight="1">
      <c r="A2155" s="1">
        <v>0.0</v>
      </c>
      <c r="B2155" s="2" t="s">
        <v>4268</v>
      </c>
      <c r="C2155" s="1" t="s">
        <v>4269</v>
      </c>
      <c r="D2155" s="1" t="s">
        <v>4270</v>
      </c>
      <c r="E2155" s="1">
        <v>1.0</v>
      </c>
      <c r="F2155" s="1">
        <v>1.0</v>
      </c>
    </row>
    <row r="2156" ht="12.75" customHeight="1">
      <c r="A2156" s="1">
        <v>0.0</v>
      </c>
      <c r="B2156" s="2" t="s">
        <v>4271</v>
      </c>
      <c r="C2156" s="1" t="s">
        <v>4272</v>
      </c>
      <c r="D2156" s="1" t="s">
        <v>164</v>
      </c>
      <c r="E2156" s="1">
        <v>1.0</v>
      </c>
      <c r="F2156" s="1">
        <v>1.0</v>
      </c>
    </row>
    <row r="2157" ht="12.75" customHeight="1">
      <c r="A2157" s="1">
        <v>0.0</v>
      </c>
      <c r="B2157" s="2">
        <v>1130848.0</v>
      </c>
      <c r="C2157" s="1" t="s">
        <v>4273</v>
      </c>
      <c r="D2157" s="1" t="s">
        <v>4274</v>
      </c>
      <c r="E2157" s="1">
        <v>1.0</v>
      </c>
      <c r="F2157" s="1">
        <v>1.0</v>
      </c>
    </row>
    <row r="2158" ht="12.75" customHeight="1">
      <c r="A2158" s="1">
        <v>0.0</v>
      </c>
      <c r="B2158" s="2" t="s">
        <v>4275</v>
      </c>
      <c r="C2158" s="1" t="s">
        <v>4276</v>
      </c>
      <c r="D2158" s="1" t="s">
        <v>4277</v>
      </c>
      <c r="E2158" s="1">
        <v>1.0</v>
      </c>
      <c r="F2158" s="1">
        <v>1.0</v>
      </c>
    </row>
    <row r="2159" ht="12.75" customHeight="1">
      <c r="A2159" s="1">
        <v>0.0</v>
      </c>
      <c r="B2159" s="2" t="s">
        <v>4278</v>
      </c>
      <c r="C2159" s="1" t="s">
        <v>4279</v>
      </c>
      <c r="D2159" s="1" t="s">
        <v>4280</v>
      </c>
      <c r="E2159" s="1">
        <v>1.0</v>
      </c>
      <c r="F2159" s="1">
        <v>1.0</v>
      </c>
    </row>
    <row r="2160" ht="12.75" customHeight="1">
      <c r="A2160" s="1">
        <v>0.0</v>
      </c>
      <c r="B2160" s="2">
        <v>1130854.0</v>
      </c>
      <c r="C2160" s="1" t="s">
        <v>4281</v>
      </c>
      <c r="D2160" s="1" t="s">
        <v>4282</v>
      </c>
      <c r="E2160" s="1">
        <v>1.0</v>
      </c>
      <c r="F2160" s="1">
        <v>1.0</v>
      </c>
    </row>
    <row r="2161" ht="12.75" customHeight="1">
      <c r="A2161" s="1">
        <v>0.0</v>
      </c>
      <c r="B2161" s="2" t="s">
        <v>4283</v>
      </c>
      <c r="C2161" s="1" t="s">
        <v>4284</v>
      </c>
      <c r="D2161" s="1" t="s">
        <v>4285</v>
      </c>
      <c r="E2161" s="1">
        <v>1.0</v>
      </c>
      <c r="F2161" s="1">
        <v>1.0</v>
      </c>
    </row>
    <row r="2162" ht="12.75" customHeight="1">
      <c r="A2162" s="1">
        <v>0.0</v>
      </c>
      <c r="B2162" s="2" t="s">
        <v>4286</v>
      </c>
      <c r="C2162" s="1" t="s">
        <v>4287</v>
      </c>
      <c r="D2162" s="1" t="s">
        <v>4288</v>
      </c>
      <c r="E2162" s="1">
        <v>1.0</v>
      </c>
      <c r="F2162" s="1">
        <v>1.0</v>
      </c>
    </row>
    <row r="2163" ht="12.75" customHeight="1">
      <c r="A2163" s="1">
        <v>0.0</v>
      </c>
      <c r="B2163" s="2">
        <v>567582.0</v>
      </c>
      <c r="C2163" s="1" t="s">
        <v>4289</v>
      </c>
      <c r="D2163" s="1" t="s">
        <v>4290</v>
      </c>
      <c r="E2163" s="1">
        <v>1.0</v>
      </c>
      <c r="F2163" s="1">
        <v>1.0</v>
      </c>
    </row>
    <row r="2164" ht="12.75" customHeight="1">
      <c r="A2164" s="1">
        <v>0.0</v>
      </c>
      <c r="B2164" s="2">
        <v>1130849.0</v>
      </c>
      <c r="C2164" s="1" t="s">
        <v>4291</v>
      </c>
      <c r="D2164" s="1" t="s">
        <v>1097</v>
      </c>
      <c r="E2164" s="1">
        <v>1.0</v>
      </c>
      <c r="F2164" s="1">
        <v>1.0</v>
      </c>
    </row>
    <row r="2165" ht="12.75" customHeight="1">
      <c r="A2165" s="1">
        <v>0.0</v>
      </c>
      <c r="B2165" s="2" t="s">
        <v>4292</v>
      </c>
      <c r="C2165" s="1" t="s">
        <v>4293</v>
      </c>
      <c r="D2165" s="1" t="s">
        <v>1097</v>
      </c>
      <c r="E2165" s="1">
        <v>1.0</v>
      </c>
      <c r="F2165" s="1">
        <v>1.0</v>
      </c>
    </row>
    <row r="2166" ht="12.75" customHeight="1">
      <c r="A2166" s="1">
        <v>0.0</v>
      </c>
      <c r="B2166" s="2" t="s">
        <v>4294</v>
      </c>
      <c r="C2166" s="1" t="s">
        <v>4295</v>
      </c>
      <c r="D2166" s="1" t="s">
        <v>1097</v>
      </c>
      <c r="E2166" s="1">
        <v>1.0</v>
      </c>
      <c r="F2166" s="1">
        <v>1.0</v>
      </c>
    </row>
    <row r="2167" ht="12.75" customHeight="1">
      <c r="A2167" s="1">
        <v>0.0</v>
      </c>
      <c r="B2167" s="2" t="s">
        <v>4296</v>
      </c>
      <c r="C2167" s="1" t="s">
        <v>4297</v>
      </c>
      <c r="D2167" s="1" t="s">
        <v>1097</v>
      </c>
      <c r="E2167" s="1">
        <v>1.0</v>
      </c>
      <c r="F2167" s="1">
        <v>1.0</v>
      </c>
    </row>
    <row r="2168" ht="12.75" customHeight="1">
      <c r="A2168" s="1">
        <v>0.0</v>
      </c>
      <c r="B2168" s="2" t="s">
        <v>4298</v>
      </c>
      <c r="C2168" s="1" t="s">
        <v>2954</v>
      </c>
      <c r="D2168" s="1" t="s">
        <v>4299</v>
      </c>
      <c r="E2168" s="1">
        <v>1.0</v>
      </c>
      <c r="F2168" s="1">
        <v>1.0</v>
      </c>
    </row>
    <row r="2169" ht="12.75" customHeight="1">
      <c r="A2169" s="1">
        <v>0.0</v>
      </c>
      <c r="B2169" s="2">
        <v>1130857.0</v>
      </c>
      <c r="C2169" s="1" t="s">
        <v>4300</v>
      </c>
      <c r="D2169" s="1" t="s">
        <v>4301</v>
      </c>
      <c r="E2169" s="1">
        <v>1.0</v>
      </c>
      <c r="F2169" s="1">
        <v>1.0</v>
      </c>
    </row>
    <row r="2170" ht="12.75" customHeight="1">
      <c r="A2170" s="1">
        <v>0.0</v>
      </c>
      <c r="B2170" s="2" t="s">
        <v>4302</v>
      </c>
      <c r="C2170" s="1" t="s">
        <v>4303</v>
      </c>
      <c r="D2170" s="1" t="s">
        <v>1120</v>
      </c>
      <c r="E2170" s="1">
        <v>1.0</v>
      </c>
      <c r="F2170" s="1">
        <v>1.0</v>
      </c>
    </row>
    <row r="2171" ht="12.75" customHeight="1">
      <c r="A2171" s="1">
        <v>0.0</v>
      </c>
      <c r="B2171" s="2" t="s">
        <v>4304</v>
      </c>
      <c r="C2171" s="1" t="s">
        <v>4305</v>
      </c>
      <c r="D2171" s="1" t="s">
        <v>1120</v>
      </c>
      <c r="E2171" s="1">
        <v>1.0</v>
      </c>
      <c r="F2171" s="1">
        <v>1.0</v>
      </c>
    </row>
    <row r="2172" ht="12.75" customHeight="1">
      <c r="A2172" s="1">
        <v>0.0</v>
      </c>
      <c r="B2172" s="2" t="s">
        <v>4306</v>
      </c>
      <c r="C2172" s="1" t="s">
        <v>4307</v>
      </c>
      <c r="D2172" s="1" t="s">
        <v>4308</v>
      </c>
      <c r="E2172" s="1">
        <v>1.0</v>
      </c>
      <c r="F2172" s="1">
        <v>1.0</v>
      </c>
    </row>
    <row r="2173" ht="12.75" customHeight="1">
      <c r="A2173" s="1">
        <v>0.0</v>
      </c>
      <c r="B2173" s="2" t="s">
        <v>4309</v>
      </c>
      <c r="C2173" s="1" t="s">
        <v>4310</v>
      </c>
      <c r="D2173" s="1" t="s">
        <v>1123</v>
      </c>
      <c r="E2173" s="1">
        <v>1.0</v>
      </c>
      <c r="F2173" s="1">
        <v>1.0</v>
      </c>
    </row>
    <row r="2174" ht="12.75" customHeight="1">
      <c r="A2174" s="1">
        <v>0.0</v>
      </c>
      <c r="B2174" s="2" t="s">
        <v>4311</v>
      </c>
      <c r="C2174" s="1" t="s">
        <v>4312</v>
      </c>
      <c r="D2174" s="1" t="s">
        <v>1123</v>
      </c>
      <c r="E2174" s="1">
        <v>1.0</v>
      </c>
      <c r="F2174" s="1">
        <v>1.0</v>
      </c>
    </row>
    <row r="2175" ht="12.75" customHeight="1">
      <c r="A2175" s="1">
        <v>0.0</v>
      </c>
      <c r="B2175" s="2" t="s">
        <v>4313</v>
      </c>
      <c r="C2175" s="1" t="s">
        <v>4314</v>
      </c>
      <c r="D2175" s="1" t="s">
        <v>1123</v>
      </c>
      <c r="E2175" s="1">
        <v>1.0</v>
      </c>
      <c r="F2175" s="1">
        <v>1.0</v>
      </c>
    </row>
    <row r="2176" ht="12.75" customHeight="1">
      <c r="A2176" s="1">
        <v>0.0</v>
      </c>
      <c r="B2176" s="2">
        <v>1130850.0</v>
      </c>
      <c r="C2176" s="1" t="s">
        <v>4315</v>
      </c>
      <c r="D2176" s="1" t="s">
        <v>4316</v>
      </c>
      <c r="E2176" s="1">
        <v>1.0</v>
      </c>
      <c r="F2176" s="1">
        <v>1.0</v>
      </c>
    </row>
    <row r="2177" ht="12.75" customHeight="1">
      <c r="A2177" s="1">
        <v>0.0</v>
      </c>
      <c r="B2177" s="2" t="s">
        <v>4317</v>
      </c>
      <c r="C2177" s="1" t="s">
        <v>4318</v>
      </c>
      <c r="D2177" s="1" t="s">
        <v>1424</v>
      </c>
      <c r="E2177" s="1">
        <v>1.0</v>
      </c>
      <c r="F2177" s="1">
        <v>1.0</v>
      </c>
    </row>
    <row r="2178" ht="12.75" customHeight="1">
      <c r="A2178" s="1">
        <v>0.0</v>
      </c>
      <c r="B2178" s="2" t="s">
        <v>4319</v>
      </c>
      <c r="C2178" s="1" t="s">
        <v>4320</v>
      </c>
      <c r="D2178" s="1" t="s">
        <v>1424</v>
      </c>
      <c r="E2178" s="1">
        <v>1.0</v>
      </c>
      <c r="F2178" s="1">
        <v>1.0</v>
      </c>
    </row>
    <row r="2179" ht="12.75" customHeight="1">
      <c r="A2179" s="1">
        <v>0.0</v>
      </c>
      <c r="B2179" s="2">
        <v>6120201.0</v>
      </c>
      <c r="C2179" s="1" t="s">
        <v>4321</v>
      </c>
      <c r="D2179" s="1" t="s">
        <v>4322</v>
      </c>
      <c r="E2179" s="1">
        <v>1.0</v>
      </c>
      <c r="F2179" s="1">
        <v>1.0</v>
      </c>
    </row>
    <row r="2180" ht="12.75" customHeight="1">
      <c r="A2180" s="1">
        <v>0.0</v>
      </c>
      <c r="B2180" s="2">
        <v>1130833.0</v>
      </c>
      <c r="C2180" s="1" t="s">
        <v>4323</v>
      </c>
      <c r="D2180" s="1" t="s">
        <v>4324</v>
      </c>
      <c r="E2180" s="1">
        <v>1.0</v>
      </c>
      <c r="F2180" s="1">
        <v>1.0</v>
      </c>
    </row>
    <row r="2181" ht="12.75" customHeight="1">
      <c r="A2181" s="1">
        <v>0.0</v>
      </c>
      <c r="B2181" s="2" t="s">
        <v>4325</v>
      </c>
      <c r="C2181" s="1" t="s">
        <v>4326</v>
      </c>
      <c r="D2181" s="1" t="s">
        <v>3151</v>
      </c>
      <c r="E2181" s="1">
        <v>1.0</v>
      </c>
      <c r="F2181" s="1">
        <v>1.0</v>
      </c>
    </row>
    <row r="2182" ht="12.75" customHeight="1">
      <c r="A2182" s="1">
        <v>0.0</v>
      </c>
      <c r="B2182" s="2" t="s">
        <v>4327</v>
      </c>
      <c r="C2182" s="1" t="s">
        <v>4328</v>
      </c>
      <c r="D2182" s="1" t="s">
        <v>4329</v>
      </c>
      <c r="E2182" s="1">
        <v>1.0</v>
      </c>
      <c r="F2182" s="1">
        <v>1.0</v>
      </c>
    </row>
    <row r="2183" ht="12.75" customHeight="1">
      <c r="A2183" s="1">
        <v>0.0</v>
      </c>
      <c r="B2183" s="2" t="s">
        <v>4330</v>
      </c>
      <c r="C2183" s="1" t="s">
        <v>4331</v>
      </c>
      <c r="D2183" s="1" t="s">
        <v>4332</v>
      </c>
      <c r="E2183" s="1">
        <v>1.0</v>
      </c>
      <c r="F2183" s="1">
        <v>1.0</v>
      </c>
    </row>
    <row r="2184" ht="12.75" customHeight="1">
      <c r="A2184" s="1">
        <v>0.0</v>
      </c>
      <c r="B2184" s="2">
        <v>7100700.0</v>
      </c>
      <c r="C2184" s="1" t="s">
        <v>4333</v>
      </c>
      <c r="D2184" s="1" t="s">
        <v>4334</v>
      </c>
      <c r="E2184" s="1">
        <v>1.0</v>
      </c>
      <c r="F2184" s="1">
        <v>1.0</v>
      </c>
    </row>
    <row r="2185" ht="12.75" customHeight="1">
      <c r="A2185" s="1">
        <v>0.0</v>
      </c>
      <c r="B2185" s="2" t="s">
        <v>4335</v>
      </c>
      <c r="C2185" s="1" t="s">
        <v>4336</v>
      </c>
      <c r="D2185" s="1" t="s">
        <v>4337</v>
      </c>
      <c r="E2185" s="1">
        <v>1.0</v>
      </c>
      <c r="F2185" s="1">
        <v>1.0</v>
      </c>
    </row>
    <row r="2186" ht="12.75" customHeight="1">
      <c r="A2186" s="1">
        <v>0.0</v>
      </c>
      <c r="B2186" s="2" t="s">
        <v>4338</v>
      </c>
      <c r="C2186" s="1" t="s">
        <v>4339</v>
      </c>
      <c r="D2186" s="1" t="s">
        <v>4340</v>
      </c>
      <c r="E2186" s="1">
        <v>1.0</v>
      </c>
      <c r="F2186" s="1">
        <v>1.0</v>
      </c>
    </row>
    <row r="2187" ht="12.75" customHeight="1">
      <c r="A2187" s="1">
        <v>0.0</v>
      </c>
      <c r="B2187" s="2">
        <v>6200302.0</v>
      </c>
      <c r="C2187" s="1" t="s">
        <v>1377</v>
      </c>
      <c r="D2187" s="1" t="s">
        <v>4341</v>
      </c>
      <c r="E2187" s="1">
        <v>1.0</v>
      </c>
      <c r="F2187" s="1">
        <v>1.0</v>
      </c>
    </row>
    <row r="2188" ht="12.75" customHeight="1">
      <c r="A2188" s="1">
        <v>0.0</v>
      </c>
      <c r="B2188" s="2" t="s">
        <v>4342</v>
      </c>
      <c r="C2188" s="1" t="s">
        <v>4343</v>
      </c>
      <c r="D2188" s="1" t="s">
        <v>1177</v>
      </c>
      <c r="E2188" s="1">
        <v>1.0</v>
      </c>
      <c r="F2188" s="1">
        <v>1.0</v>
      </c>
    </row>
    <row r="2189" ht="12.75" customHeight="1">
      <c r="A2189" s="1">
        <v>0.0</v>
      </c>
      <c r="B2189" s="2" t="s">
        <v>4344</v>
      </c>
      <c r="C2189" s="1" t="s">
        <v>4345</v>
      </c>
      <c r="D2189" s="1" t="s">
        <v>4346</v>
      </c>
      <c r="E2189" s="1">
        <v>1.0</v>
      </c>
      <c r="F2189" s="1">
        <v>1.0</v>
      </c>
    </row>
    <row r="2190" ht="12.75" customHeight="1">
      <c r="A2190" s="1">
        <v>0.0</v>
      </c>
      <c r="B2190" s="2" t="s">
        <v>4347</v>
      </c>
      <c r="C2190" s="1" t="s">
        <v>4348</v>
      </c>
      <c r="D2190" s="1" t="s">
        <v>4349</v>
      </c>
      <c r="E2190" s="1">
        <v>1.0</v>
      </c>
      <c r="F2190" s="1">
        <v>1.0</v>
      </c>
    </row>
    <row r="2191" ht="12.75" customHeight="1">
      <c r="A2191" s="1">
        <v>0.0</v>
      </c>
      <c r="B2191" s="2">
        <v>564787.0</v>
      </c>
      <c r="C2191" s="1" t="s">
        <v>4350</v>
      </c>
      <c r="D2191" s="1" t="s">
        <v>4351</v>
      </c>
      <c r="E2191" s="1">
        <v>1.0</v>
      </c>
      <c r="F2191" s="1">
        <v>1.0</v>
      </c>
    </row>
    <row r="2192" ht="12.75" customHeight="1">
      <c r="A2192" s="1">
        <v>0.0</v>
      </c>
      <c r="B2192" s="2" t="s">
        <v>4352</v>
      </c>
      <c r="C2192" s="1" t="s">
        <v>4353</v>
      </c>
      <c r="D2192" s="1" t="s">
        <v>4354</v>
      </c>
      <c r="E2192" s="1">
        <v>1.0</v>
      </c>
      <c r="F2192" s="1">
        <v>1.0</v>
      </c>
    </row>
    <row r="2193" ht="12.75" customHeight="1">
      <c r="A2193" s="1">
        <v>0.0</v>
      </c>
      <c r="B2193" s="2" t="s">
        <v>4355</v>
      </c>
      <c r="C2193" s="1" t="s">
        <v>4356</v>
      </c>
      <c r="D2193" s="1" t="s">
        <v>1204</v>
      </c>
      <c r="E2193" s="1">
        <v>1.0</v>
      </c>
      <c r="F2193" s="1">
        <v>1.0</v>
      </c>
    </row>
    <row r="2194" ht="12.75" customHeight="1">
      <c r="A2194" s="1">
        <v>0.0</v>
      </c>
      <c r="B2194" s="2">
        <v>1130831.0</v>
      </c>
      <c r="C2194" s="1" t="s">
        <v>4357</v>
      </c>
      <c r="D2194" s="1" t="s">
        <v>1223</v>
      </c>
      <c r="E2194" s="1">
        <v>1.0</v>
      </c>
      <c r="F2194" s="1">
        <v>1.0</v>
      </c>
    </row>
    <row r="2195" ht="12.75" customHeight="1">
      <c r="A2195" s="1">
        <v>0.0</v>
      </c>
      <c r="B2195" s="2">
        <v>1131502.0</v>
      </c>
      <c r="C2195" s="1" t="s">
        <v>4358</v>
      </c>
      <c r="D2195" s="1" t="s">
        <v>4359</v>
      </c>
      <c r="E2195" s="1">
        <v>1.0</v>
      </c>
      <c r="F2195" s="1">
        <v>1.0</v>
      </c>
    </row>
    <row r="2196" ht="12.75" customHeight="1">
      <c r="A2196" s="1">
        <v>0.0</v>
      </c>
      <c r="B2196" s="2">
        <v>1130837.0</v>
      </c>
      <c r="C2196" s="1" t="s">
        <v>4360</v>
      </c>
      <c r="D2196" s="1" t="s">
        <v>1436</v>
      </c>
      <c r="E2196" s="1">
        <v>1.0</v>
      </c>
      <c r="F2196" s="1">
        <v>1.0</v>
      </c>
    </row>
    <row r="2197" ht="12.75" customHeight="1">
      <c r="A2197" s="1">
        <v>0.0</v>
      </c>
      <c r="B2197" s="2">
        <v>1130855.0</v>
      </c>
      <c r="C2197" s="1" t="s">
        <v>4099</v>
      </c>
      <c r="D2197" s="1" t="s">
        <v>4361</v>
      </c>
      <c r="E2197" s="1">
        <v>1.0</v>
      </c>
      <c r="F2197" s="1">
        <v>1.0</v>
      </c>
    </row>
    <row r="2198" ht="12.75" customHeight="1">
      <c r="A2198" s="1">
        <v>0.0</v>
      </c>
      <c r="B2198" s="2" t="s">
        <v>4362</v>
      </c>
      <c r="C2198" s="1" t="s">
        <v>4363</v>
      </c>
      <c r="D2198" s="1" t="s">
        <v>4364</v>
      </c>
      <c r="E2198" s="1">
        <v>1.0</v>
      </c>
      <c r="F2198" s="1">
        <v>1.0</v>
      </c>
    </row>
    <row r="2199" ht="12.75" customHeight="1">
      <c r="A2199" s="1">
        <v>0.0</v>
      </c>
      <c r="B2199" s="2">
        <v>9570611.0</v>
      </c>
      <c r="C2199" s="1" t="s">
        <v>4365</v>
      </c>
      <c r="D2199" s="1" t="s">
        <v>4366</v>
      </c>
      <c r="E2199" s="1">
        <v>1.0</v>
      </c>
      <c r="F2199" s="1">
        <v>1.0</v>
      </c>
    </row>
    <row r="2200" ht="12.75" customHeight="1">
      <c r="A2200" s="1">
        <v>0.0</v>
      </c>
      <c r="B2200" s="2">
        <v>3801327.0</v>
      </c>
      <c r="C2200" s="1" t="s">
        <v>312</v>
      </c>
      <c r="D2200" s="1" t="s">
        <v>4367</v>
      </c>
      <c r="E2200" s="1">
        <v>1.0</v>
      </c>
      <c r="F2200" s="1">
        <v>1.0</v>
      </c>
    </row>
    <row r="2201" ht="12.75" customHeight="1">
      <c r="A2201" s="1">
        <v>0.0</v>
      </c>
      <c r="B2201" s="2">
        <v>3801328.0</v>
      </c>
      <c r="C2201" s="1" t="s">
        <v>312</v>
      </c>
      <c r="D2201" s="1" t="s">
        <v>4368</v>
      </c>
      <c r="E2201" s="1">
        <v>1.0</v>
      </c>
      <c r="F2201" s="1">
        <v>1.0</v>
      </c>
    </row>
    <row r="2202" ht="12.75" customHeight="1">
      <c r="A2202" s="1">
        <v>0.0</v>
      </c>
      <c r="B2202" s="2">
        <v>3801322.0</v>
      </c>
      <c r="C2202" s="1" t="s">
        <v>312</v>
      </c>
      <c r="D2202" s="1" t="s">
        <v>4369</v>
      </c>
      <c r="E2202" s="1">
        <v>1.0</v>
      </c>
      <c r="F2202" s="1">
        <v>1.0</v>
      </c>
    </row>
    <row r="2203" ht="12.75" customHeight="1">
      <c r="A2203" s="1">
        <v>0.0</v>
      </c>
      <c r="B2203" s="2">
        <v>3801325.0</v>
      </c>
      <c r="C2203" s="1" t="s">
        <v>312</v>
      </c>
      <c r="D2203" s="1" t="s">
        <v>4370</v>
      </c>
      <c r="E2203" s="1">
        <v>1.0</v>
      </c>
      <c r="F2203" s="1">
        <v>1.0</v>
      </c>
    </row>
    <row r="2204" ht="12.75" customHeight="1">
      <c r="A2204" s="1">
        <v>0.0</v>
      </c>
      <c r="B2204" s="2" t="s">
        <v>4371</v>
      </c>
      <c r="C2204" s="1" t="s">
        <v>312</v>
      </c>
      <c r="D2204" s="1" t="s">
        <v>4372</v>
      </c>
      <c r="E2204" s="1">
        <v>1.0</v>
      </c>
      <c r="F2204" s="1">
        <v>1.0</v>
      </c>
    </row>
    <row r="2205" ht="12.75" customHeight="1">
      <c r="A2205" s="1">
        <v>0.0</v>
      </c>
      <c r="B2205" s="2">
        <v>561430.0</v>
      </c>
      <c r="C2205" s="1" t="s">
        <v>4373</v>
      </c>
      <c r="D2205" s="1" t="s">
        <v>4374</v>
      </c>
      <c r="E2205" s="1">
        <v>1.0</v>
      </c>
      <c r="F2205" s="1">
        <v>1.0</v>
      </c>
    </row>
    <row r="2206" ht="12.75" customHeight="1">
      <c r="A2206" s="1">
        <v>0.0</v>
      </c>
      <c r="B2206" s="2">
        <v>8050207.0</v>
      </c>
      <c r="C2206" s="1" t="s">
        <v>6</v>
      </c>
      <c r="D2206" s="1" t="s">
        <v>4375</v>
      </c>
      <c r="E2206" s="1">
        <v>1.0</v>
      </c>
      <c r="F2206" s="1">
        <v>1.0</v>
      </c>
    </row>
    <row r="2207" ht="12.75" customHeight="1">
      <c r="A2207" s="1">
        <v>0.0</v>
      </c>
      <c r="B2207" s="2" t="s">
        <v>4376</v>
      </c>
      <c r="C2207" s="1" t="s">
        <v>4377</v>
      </c>
      <c r="D2207" s="1" t="s">
        <v>4378</v>
      </c>
      <c r="E2207" s="1">
        <v>1.0</v>
      </c>
      <c r="F2207" s="1">
        <v>1.0</v>
      </c>
    </row>
    <row r="2208" ht="12.75" customHeight="1">
      <c r="A2208" s="1">
        <v>0.0</v>
      </c>
      <c r="B2208" s="2">
        <v>564728.0</v>
      </c>
      <c r="C2208" s="1" t="s">
        <v>1210</v>
      </c>
      <c r="D2208" s="1" t="s">
        <v>4379</v>
      </c>
      <c r="E2208" s="1">
        <v>1.0</v>
      </c>
      <c r="F2208" s="1">
        <v>1.0</v>
      </c>
    </row>
    <row r="2209" ht="12.75" customHeight="1">
      <c r="A2209" s="1">
        <v>0.0</v>
      </c>
      <c r="B2209" s="2">
        <v>1130819.0</v>
      </c>
      <c r="C2209" s="1" t="s">
        <v>4380</v>
      </c>
      <c r="D2209" s="1" t="s">
        <v>1291</v>
      </c>
      <c r="E2209" s="1">
        <v>1.0</v>
      </c>
      <c r="F2209" s="1">
        <v>1.0</v>
      </c>
    </row>
    <row r="2210" ht="12.75" customHeight="1">
      <c r="A2210" s="1">
        <v>0.0</v>
      </c>
      <c r="B2210" s="2" t="s">
        <v>4381</v>
      </c>
      <c r="C2210" s="1" t="s">
        <v>4382</v>
      </c>
      <c r="D2210" s="1" t="s">
        <v>1291</v>
      </c>
      <c r="E2210" s="1">
        <v>1.0</v>
      </c>
      <c r="F2210" s="1">
        <v>1.0</v>
      </c>
    </row>
    <row r="2211" ht="12.75" customHeight="1">
      <c r="A2211" s="1">
        <v>0.0</v>
      </c>
      <c r="B2211" s="2" t="s">
        <v>4383</v>
      </c>
      <c r="C2211" s="1" t="s">
        <v>4384</v>
      </c>
      <c r="D2211" s="1" t="s">
        <v>1291</v>
      </c>
      <c r="E2211" s="1">
        <v>1.0</v>
      </c>
      <c r="F2211" s="1">
        <v>1.0</v>
      </c>
    </row>
    <row r="2212" ht="12.75" customHeight="1">
      <c r="A2212" s="1">
        <v>0.0</v>
      </c>
      <c r="B2212" s="2" t="s">
        <v>4385</v>
      </c>
      <c r="C2212" s="1" t="s">
        <v>4386</v>
      </c>
      <c r="D2212" s="1" t="s">
        <v>1291</v>
      </c>
      <c r="E2212" s="1">
        <v>1.0</v>
      </c>
      <c r="F2212" s="1">
        <v>1.0</v>
      </c>
    </row>
    <row r="2213" ht="12.75" customHeight="1">
      <c r="A2213" s="1">
        <v>0.0</v>
      </c>
      <c r="B2213" s="2" t="s">
        <v>4387</v>
      </c>
      <c r="C2213" s="1" t="s">
        <v>4388</v>
      </c>
      <c r="D2213" s="1" t="s">
        <v>4389</v>
      </c>
      <c r="E2213" s="1">
        <v>1.0</v>
      </c>
      <c r="F2213" s="1">
        <v>1.0</v>
      </c>
    </row>
    <row r="2214" ht="12.75" customHeight="1">
      <c r="A2214" s="1">
        <v>0.0</v>
      </c>
      <c r="B2214" s="2" t="s">
        <v>4390</v>
      </c>
      <c r="C2214" s="1" t="s">
        <v>4391</v>
      </c>
      <c r="D2214" s="1" t="s">
        <v>1454</v>
      </c>
      <c r="E2214" s="1">
        <v>1.0</v>
      </c>
      <c r="F2214" s="1">
        <v>1.0</v>
      </c>
    </row>
    <row r="2215" ht="12.75" customHeight="1">
      <c r="A2215" s="1">
        <v>0.0</v>
      </c>
      <c r="B2215" s="2" t="s">
        <v>4392</v>
      </c>
      <c r="C2215" s="1" t="s">
        <v>4393</v>
      </c>
      <c r="D2215" s="1" t="s">
        <v>4394</v>
      </c>
      <c r="E2215" s="1">
        <v>1.0</v>
      </c>
      <c r="F2215" s="1">
        <v>1.0</v>
      </c>
    </row>
    <row r="2216" ht="12.75" customHeight="1">
      <c r="A2216" s="1">
        <v>0.0</v>
      </c>
      <c r="B2216" s="2" t="s">
        <v>4395</v>
      </c>
      <c r="C2216" s="1" t="s">
        <v>4396</v>
      </c>
      <c r="D2216" s="1" t="s">
        <v>4397</v>
      </c>
      <c r="E2216" s="1">
        <v>1.0</v>
      </c>
      <c r="F2216" s="1">
        <v>1.0</v>
      </c>
    </row>
    <row r="2217" ht="12.75" customHeight="1">
      <c r="A2217" s="1">
        <v>0.0</v>
      </c>
      <c r="B2217" s="2">
        <v>761501.0</v>
      </c>
      <c r="C2217" s="1" t="s">
        <v>4398</v>
      </c>
      <c r="D2217" s="1" t="s">
        <v>4399</v>
      </c>
      <c r="E2217" s="1">
        <v>1.0</v>
      </c>
      <c r="F2217" s="1">
        <v>1.0</v>
      </c>
    </row>
    <row r="2218" ht="12.75" customHeight="1">
      <c r="A2218" s="1">
        <v>0.0</v>
      </c>
      <c r="B2218" s="2" t="s">
        <v>4400</v>
      </c>
      <c r="C2218" s="1" t="s">
        <v>4401</v>
      </c>
      <c r="D2218" s="1" t="s">
        <v>4402</v>
      </c>
      <c r="E2218" s="1">
        <v>1.0</v>
      </c>
      <c r="F2218" s="1">
        <v>1.0</v>
      </c>
    </row>
    <row r="2219" ht="12.75" customHeight="1">
      <c r="A2219" s="1">
        <v>0.0</v>
      </c>
      <c r="B2219" s="2" t="s">
        <v>4403</v>
      </c>
      <c r="C2219" s="1" t="s">
        <v>4404</v>
      </c>
      <c r="D2219" s="1" t="s">
        <v>4405</v>
      </c>
      <c r="E2219" s="1">
        <v>1.0</v>
      </c>
      <c r="F2219" s="1">
        <v>1.0</v>
      </c>
    </row>
    <row r="2220" ht="12.75" customHeight="1">
      <c r="A2220" s="1">
        <v>0.0</v>
      </c>
      <c r="B2220" s="2" t="s">
        <v>4406</v>
      </c>
      <c r="C2220" s="1" t="s">
        <v>4407</v>
      </c>
      <c r="D2220" s="1" t="s">
        <v>4408</v>
      </c>
      <c r="E2220" s="1">
        <v>1.0</v>
      </c>
      <c r="F2220" s="1">
        <v>1.0</v>
      </c>
    </row>
    <row r="2221" ht="12.75" customHeight="1">
      <c r="A2221" s="1">
        <v>0.0</v>
      </c>
      <c r="B2221" s="2" t="s">
        <v>4409</v>
      </c>
      <c r="C2221" s="1" t="s">
        <v>384</v>
      </c>
      <c r="D2221" s="1" t="s">
        <v>4410</v>
      </c>
      <c r="E2221" s="1">
        <v>1.0</v>
      </c>
      <c r="F2221" s="1">
        <v>1.0</v>
      </c>
    </row>
    <row r="2222" ht="12.75" customHeight="1">
      <c r="A2222" s="1">
        <v>0.0</v>
      </c>
      <c r="B2222" s="2" t="s">
        <v>4411</v>
      </c>
      <c r="C2222" s="1" t="s">
        <v>4412</v>
      </c>
      <c r="D2222" s="1" t="s">
        <v>4413</v>
      </c>
      <c r="E2222" s="1">
        <v>1.0</v>
      </c>
      <c r="F2222" s="1">
        <v>1.0</v>
      </c>
    </row>
    <row r="2223" ht="12.75" customHeight="1">
      <c r="A2223" s="1">
        <v>0.0</v>
      </c>
      <c r="B2223" s="2" t="s">
        <v>4414</v>
      </c>
      <c r="C2223" s="1" t="s">
        <v>4415</v>
      </c>
      <c r="D2223" s="1" t="s">
        <v>4416</v>
      </c>
      <c r="E2223" s="1">
        <v>1.0</v>
      </c>
      <c r="F2223" s="1">
        <v>1.0</v>
      </c>
    </row>
    <row r="2224" ht="12.75" customHeight="1">
      <c r="A2224" s="1">
        <v>0.0</v>
      </c>
      <c r="B2224" s="2">
        <v>8051002.0</v>
      </c>
      <c r="C2224" s="1" t="s">
        <v>4417</v>
      </c>
      <c r="D2224" s="1" t="s">
        <v>4418</v>
      </c>
      <c r="E2224" s="1">
        <v>1.0</v>
      </c>
      <c r="F2224" s="1">
        <v>1.0</v>
      </c>
    </row>
    <row r="2225" ht="12.75" customHeight="1">
      <c r="A2225" s="1">
        <v>0.0</v>
      </c>
      <c r="B2225" s="2" t="s">
        <v>4419</v>
      </c>
      <c r="C2225" s="1" t="s">
        <v>4420</v>
      </c>
      <c r="D2225" s="1" t="s">
        <v>4421</v>
      </c>
      <c r="E2225" s="1">
        <v>1.0</v>
      </c>
      <c r="F2225" s="1">
        <v>1.0</v>
      </c>
    </row>
    <row r="2226" ht="12.75" customHeight="1">
      <c r="A2226" s="1">
        <v>0.0</v>
      </c>
      <c r="B2226" s="2" t="s">
        <v>4422</v>
      </c>
      <c r="C2226" s="1" t="s">
        <v>1557</v>
      </c>
      <c r="D2226" s="1" t="s">
        <v>4423</v>
      </c>
      <c r="E2226" s="1">
        <v>1.0</v>
      </c>
      <c r="F2226" s="1">
        <v>1.0</v>
      </c>
    </row>
    <row r="2227" ht="12.75" customHeight="1">
      <c r="A2227" s="1">
        <v>0.0</v>
      </c>
      <c r="B2227" s="2" t="s">
        <v>4424</v>
      </c>
      <c r="C2227" s="1" t="s">
        <v>4425</v>
      </c>
      <c r="D2227" s="1" t="s">
        <v>4426</v>
      </c>
      <c r="E2227" s="1">
        <v>1.0</v>
      </c>
      <c r="F2227" s="1">
        <v>1.0</v>
      </c>
    </row>
    <row r="2228" ht="12.75" customHeight="1">
      <c r="A2228" s="1">
        <v>0.0</v>
      </c>
      <c r="B2228" s="2" t="s">
        <v>4427</v>
      </c>
      <c r="C2228" s="1" t="s">
        <v>4428</v>
      </c>
      <c r="D2228" s="1" t="s">
        <v>1479</v>
      </c>
      <c r="E2228" s="1">
        <v>1.0</v>
      </c>
      <c r="F2228" s="1">
        <v>1.0</v>
      </c>
    </row>
    <row r="2229" ht="12.75" customHeight="1">
      <c r="A2229" s="1">
        <v>0.0</v>
      </c>
      <c r="B2229" s="2" t="s">
        <v>4429</v>
      </c>
      <c r="C2229" s="1" t="s">
        <v>4430</v>
      </c>
      <c r="D2229" s="1" t="s">
        <v>4431</v>
      </c>
      <c r="E2229" s="1">
        <v>1.0</v>
      </c>
      <c r="F2229" s="1">
        <v>1.0</v>
      </c>
    </row>
    <row r="2230" ht="12.75" customHeight="1">
      <c r="A2230" s="1">
        <v>0.0</v>
      </c>
      <c r="B2230" s="2">
        <v>1130810.0</v>
      </c>
      <c r="C2230" s="1" t="s">
        <v>4432</v>
      </c>
      <c r="D2230" s="1" t="s">
        <v>4433</v>
      </c>
      <c r="E2230" s="1">
        <v>1.0</v>
      </c>
      <c r="F2230" s="1">
        <v>1.0</v>
      </c>
    </row>
    <row r="2231" ht="12.75" customHeight="1">
      <c r="A2231" s="1">
        <v>0.0</v>
      </c>
      <c r="B2231" s="2" t="s">
        <v>4434</v>
      </c>
      <c r="C2231" s="1" t="s">
        <v>4435</v>
      </c>
      <c r="D2231" s="1" t="s">
        <v>4436</v>
      </c>
      <c r="E2231" s="1">
        <v>1.0</v>
      </c>
      <c r="F2231" s="1">
        <v>1.0</v>
      </c>
    </row>
    <row r="2232" ht="12.75" customHeight="1">
      <c r="A2232" s="1">
        <v>0.0</v>
      </c>
      <c r="B2232" s="2" t="s">
        <v>4437</v>
      </c>
      <c r="C2232" s="1" t="s">
        <v>4438</v>
      </c>
      <c r="D2232" s="1" t="s">
        <v>4439</v>
      </c>
      <c r="E2232" s="1">
        <v>1.0</v>
      </c>
      <c r="F2232" s="1">
        <v>1.0</v>
      </c>
    </row>
    <row r="2233" ht="12.75" customHeight="1">
      <c r="A2233" s="1">
        <v>0.0</v>
      </c>
      <c r="B2233" s="2" t="s">
        <v>4440</v>
      </c>
      <c r="C2233" s="1" t="s">
        <v>4441</v>
      </c>
      <c r="D2233" s="1" t="s">
        <v>4442</v>
      </c>
      <c r="E2233" s="1">
        <v>1.0</v>
      </c>
      <c r="F2233" s="1">
        <v>1.0</v>
      </c>
    </row>
    <row r="2234" ht="12.75" customHeight="1">
      <c r="A2234" s="1">
        <v>0.0</v>
      </c>
      <c r="B2234" s="2">
        <v>1130840.0</v>
      </c>
      <c r="C2234" s="1" t="s">
        <v>4443</v>
      </c>
      <c r="D2234" s="1" t="s">
        <v>3991</v>
      </c>
      <c r="E2234" s="1">
        <v>1.0</v>
      </c>
      <c r="F2234" s="1">
        <v>1.0</v>
      </c>
    </row>
    <row r="2235" ht="12.75" customHeight="1">
      <c r="A2235" s="1">
        <v>0.0</v>
      </c>
      <c r="B2235" s="2" t="s">
        <v>4444</v>
      </c>
      <c r="C2235" s="1" t="s">
        <v>4445</v>
      </c>
      <c r="D2235" s="1" t="s">
        <v>3991</v>
      </c>
      <c r="E2235" s="1">
        <v>1.0</v>
      </c>
      <c r="F2235" s="1">
        <v>1.0</v>
      </c>
    </row>
    <row r="2236" ht="12.75" customHeight="1">
      <c r="A2236" s="1">
        <v>0.0</v>
      </c>
      <c r="B2236" s="2" t="s">
        <v>4446</v>
      </c>
      <c r="C2236" s="1" t="s">
        <v>4447</v>
      </c>
      <c r="D2236" s="1" t="s">
        <v>4448</v>
      </c>
      <c r="E2236" s="1">
        <v>1.0</v>
      </c>
      <c r="F2236" s="1">
        <v>1.0</v>
      </c>
    </row>
    <row r="2237" ht="12.75" customHeight="1">
      <c r="A2237" s="1">
        <v>0.0</v>
      </c>
      <c r="B2237" s="2" t="s">
        <v>4449</v>
      </c>
      <c r="C2237" s="1" t="s">
        <v>4450</v>
      </c>
      <c r="D2237" s="1" t="s">
        <v>4451</v>
      </c>
      <c r="E2237" s="1">
        <v>1.0</v>
      </c>
      <c r="F2237" s="1">
        <v>1.0</v>
      </c>
    </row>
    <row r="2238" ht="12.75" customHeight="1">
      <c r="A2238" s="1">
        <v>0.0</v>
      </c>
      <c r="B2238" s="2">
        <v>1130813.0</v>
      </c>
      <c r="C2238" s="1" t="s">
        <v>4452</v>
      </c>
      <c r="D2238" s="1" t="s">
        <v>4453</v>
      </c>
      <c r="E2238" s="1">
        <v>1.0</v>
      </c>
      <c r="F2238" s="1">
        <v>1.0</v>
      </c>
    </row>
    <row r="2239" ht="12.75" customHeight="1">
      <c r="A2239" s="1">
        <v>0.0</v>
      </c>
      <c r="B2239" s="2" t="s">
        <v>4454</v>
      </c>
      <c r="C2239" s="1" t="s">
        <v>4455</v>
      </c>
      <c r="D2239" s="1" t="s">
        <v>4456</v>
      </c>
      <c r="E2239" s="1">
        <v>1.0</v>
      </c>
      <c r="F2239" s="1">
        <v>1.0</v>
      </c>
    </row>
    <row r="2240" ht="12.75" customHeight="1">
      <c r="A2240" s="1">
        <v>0.0</v>
      </c>
      <c r="B2240" s="2" t="s">
        <v>4457</v>
      </c>
      <c r="C2240" s="1" t="s">
        <v>4458</v>
      </c>
      <c r="D2240" s="1" t="s">
        <v>1360</v>
      </c>
      <c r="E2240" s="1">
        <v>1.0</v>
      </c>
      <c r="F2240" s="1">
        <v>1.0</v>
      </c>
    </row>
    <row r="2241" ht="12.75" customHeight="1">
      <c r="A2241" s="1">
        <v>0.0</v>
      </c>
      <c r="B2241" s="2" t="s">
        <v>4459</v>
      </c>
      <c r="C2241" s="1" t="s">
        <v>4460</v>
      </c>
      <c r="D2241" s="1" t="s">
        <v>1360</v>
      </c>
      <c r="E2241" s="1">
        <v>1.0</v>
      </c>
      <c r="F2241" s="1">
        <v>1.0</v>
      </c>
    </row>
    <row r="2242" ht="12.75" customHeight="1">
      <c r="A2242" s="1">
        <v>0.0</v>
      </c>
      <c r="B2242" s="2" t="s">
        <v>4461</v>
      </c>
      <c r="C2242" s="1" t="s">
        <v>4462</v>
      </c>
      <c r="D2242" s="1" t="s">
        <v>1503</v>
      </c>
      <c r="E2242" s="1">
        <v>1.0</v>
      </c>
      <c r="F2242" s="1">
        <v>1.0</v>
      </c>
    </row>
    <row r="2243" ht="12.75" customHeight="1">
      <c r="A2243" s="1">
        <v>0.0</v>
      </c>
      <c r="B2243" s="2">
        <v>7100105.0</v>
      </c>
      <c r="C2243" s="1" t="s">
        <v>4463</v>
      </c>
      <c r="D2243" s="1" t="s">
        <v>4464</v>
      </c>
      <c r="E2243" s="1">
        <v>1.0</v>
      </c>
      <c r="F2243" s="1">
        <v>1.0</v>
      </c>
    </row>
    <row r="2244" ht="12.75" customHeight="1">
      <c r="A2244" s="1">
        <v>0.0</v>
      </c>
      <c r="B2244" s="2" t="s">
        <v>4465</v>
      </c>
      <c r="C2244" s="1" t="s">
        <v>4466</v>
      </c>
      <c r="D2244" s="1" t="s">
        <v>4467</v>
      </c>
      <c r="E2244" s="1">
        <v>1.0</v>
      </c>
      <c r="F2244" s="1">
        <v>1.0</v>
      </c>
    </row>
    <row r="2245" ht="12.75" customHeight="1">
      <c r="A2245" s="1">
        <v>0.0</v>
      </c>
      <c r="B2245" s="2">
        <v>1130825.0</v>
      </c>
      <c r="C2245" s="1" t="s">
        <v>4468</v>
      </c>
      <c r="D2245" s="1" t="s">
        <v>4469</v>
      </c>
      <c r="E2245" s="1">
        <v>1.0</v>
      </c>
      <c r="F2245" s="1">
        <v>1.0</v>
      </c>
    </row>
    <row r="2246" ht="12.75" customHeight="1">
      <c r="A2246" s="1">
        <v>0.0</v>
      </c>
      <c r="B2246" s="2">
        <v>3801268.0</v>
      </c>
      <c r="C2246" s="1" t="s">
        <v>55</v>
      </c>
      <c r="D2246" s="1" t="s">
        <v>4470</v>
      </c>
      <c r="E2246" s="1">
        <v>1.0</v>
      </c>
      <c r="F2246" s="1">
        <v>2.0</v>
      </c>
    </row>
    <row r="2247" ht="12.75" customHeight="1">
      <c r="A2247" s="1">
        <v>0.0</v>
      </c>
      <c r="B2247" s="2">
        <v>1900101.0</v>
      </c>
      <c r="C2247" s="1" t="s">
        <v>4471</v>
      </c>
      <c r="D2247" s="1" t="s">
        <v>4472</v>
      </c>
      <c r="E2247" s="1">
        <v>1.0</v>
      </c>
      <c r="F2247" s="1">
        <v>4.0</v>
      </c>
    </row>
    <row r="2248" ht="12.75" customHeight="1">
      <c r="A2248" s="1">
        <v>0.0</v>
      </c>
      <c r="B2248" s="2" t="s">
        <v>4473</v>
      </c>
      <c r="C2248" s="1" t="s">
        <v>447</v>
      </c>
      <c r="D2248" s="1" t="s">
        <v>4474</v>
      </c>
      <c r="E2248" s="1">
        <v>1.0</v>
      </c>
      <c r="F2248" s="1">
        <v>7.0</v>
      </c>
    </row>
    <row r="2249" ht="12.75" customHeight="1">
      <c r="A2249" s="1">
        <v>0.0</v>
      </c>
      <c r="B2249" s="2">
        <v>3801558.0</v>
      </c>
      <c r="C2249" s="1" t="s">
        <v>21</v>
      </c>
      <c r="D2249" s="1" t="s">
        <v>4475</v>
      </c>
      <c r="E2249" s="1">
        <v>1.0</v>
      </c>
      <c r="F2249" s="1">
        <v>7.0</v>
      </c>
    </row>
    <row r="2250" ht="12.75" customHeight="1">
      <c r="A2250" s="1">
        <v>0.0</v>
      </c>
      <c r="B2250" s="2" t="s">
        <v>4476</v>
      </c>
      <c r="C2250" s="1" t="s">
        <v>4477</v>
      </c>
      <c r="D2250" s="1" t="s">
        <v>4478</v>
      </c>
      <c r="E2250" s="1">
        <v>1.0</v>
      </c>
      <c r="F2250" s="1">
        <v>7.0</v>
      </c>
    </row>
    <row r="2251" ht="12.75" customHeight="1">
      <c r="A2251" s="1">
        <v>0.0</v>
      </c>
      <c r="B2251" s="2" t="s">
        <v>4479</v>
      </c>
      <c r="C2251" s="1" t="s">
        <v>4480</v>
      </c>
      <c r="D2251" s="1" t="s">
        <v>4481</v>
      </c>
      <c r="E2251" s="1">
        <v>1.0</v>
      </c>
      <c r="F2251" s="1">
        <v>7.0</v>
      </c>
    </row>
    <row r="2252" ht="12.75" customHeight="1">
      <c r="A2252" s="1">
        <v>0.0</v>
      </c>
      <c r="B2252" s="2">
        <v>3801930.0</v>
      </c>
      <c r="C2252" s="1" t="s">
        <v>220</v>
      </c>
      <c r="D2252" s="1" t="s">
        <v>4482</v>
      </c>
      <c r="E2252" s="1">
        <v>1.0</v>
      </c>
      <c r="F2252" s="1">
        <v>7.0</v>
      </c>
    </row>
    <row r="2253" ht="12.75" customHeight="1">
      <c r="A2253" s="1">
        <v>0.0</v>
      </c>
      <c r="B2253" s="2" t="s">
        <v>4483</v>
      </c>
      <c r="C2253" s="1" t="s">
        <v>340</v>
      </c>
      <c r="D2253" s="1" t="s">
        <v>1550</v>
      </c>
      <c r="E2253" s="1">
        <v>1.0</v>
      </c>
      <c r="F2253" s="1">
        <v>7.0</v>
      </c>
    </row>
    <row r="2254" ht="12.75" customHeight="1">
      <c r="A2254" s="1">
        <v>0.0</v>
      </c>
      <c r="B2254" s="2" t="s">
        <v>4484</v>
      </c>
      <c r="C2254" s="1" t="s">
        <v>4485</v>
      </c>
      <c r="D2254" s="1" t="s">
        <v>4486</v>
      </c>
      <c r="E2254" s="1">
        <v>1.0</v>
      </c>
      <c r="F2254" s="1">
        <v>7.0</v>
      </c>
    </row>
    <row r="2255" ht="12.75" customHeight="1">
      <c r="A2255" s="1">
        <v>0.0</v>
      </c>
      <c r="B2255" s="2" t="s">
        <v>4487</v>
      </c>
      <c r="C2255" s="1" t="s">
        <v>4488</v>
      </c>
      <c r="D2255" s="1" t="s">
        <v>4489</v>
      </c>
      <c r="E2255" s="1">
        <v>1.0</v>
      </c>
      <c r="F2255" s="1">
        <v>7.0</v>
      </c>
    </row>
    <row r="2256" ht="12.75" customHeight="1">
      <c r="A2256" s="1">
        <v>0.0</v>
      </c>
      <c r="B2256" s="2" t="s">
        <v>4490</v>
      </c>
      <c r="C2256" s="1" t="s">
        <v>4491</v>
      </c>
      <c r="D2256" s="1" t="s">
        <v>4492</v>
      </c>
      <c r="E2256" s="1">
        <v>1.0</v>
      </c>
      <c r="F2256" s="1">
        <v>8.0</v>
      </c>
    </row>
    <row r="2257" ht="12.75" customHeight="1">
      <c r="A2257" s="1">
        <v>0.0</v>
      </c>
      <c r="B2257" s="2" t="s">
        <v>4493</v>
      </c>
      <c r="C2257" s="1" t="s">
        <v>4494</v>
      </c>
      <c r="D2257" s="1" t="s">
        <v>4232</v>
      </c>
      <c r="E2257" s="1">
        <v>1.0</v>
      </c>
      <c r="F2257" s="1">
        <v>8.0</v>
      </c>
    </row>
    <row r="2258" ht="12.75" customHeight="1">
      <c r="A2258" s="1">
        <v>0.0</v>
      </c>
      <c r="B2258" s="2" t="s">
        <v>4495</v>
      </c>
      <c r="C2258" s="1" t="s">
        <v>4496</v>
      </c>
      <c r="D2258" s="1" t="s">
        <v>4235</v>
      </c>
      <c r="E2258" s="1">
        <v>1.0</v>
      </c>
      <c r="F2258" s="1">
        <v>8.0</v>
      </c>
    </row>
    <row r="2259" ht="12.75" customHeight="1">
      <c r="A2259" s="1">
        <v>0.0</v>
      </c>
      <c r="B2259" s="2" t="s">
        <v>4497</v>
      </c>
      <c r="C2259" s="1" t="s">
        <v>4498</v>
      </c>
      <c r="D2259" s="1" t="s">
        <v>1580</v>
      </c>
      <c r="E2259" s="1">
        <v>1.0</v>
      </c>
      <c r="F2259" s="1">
        <v>8.0</v>
      </c>
    </row>
    <row r="2260" ht="12.75" customHeight="1">
      <c r="A2260" s="1">
        <v>0.0</v>
      </c>
      <c r="B2260" s="2" t="s">
        <v>4499</v>
      </c>
      <c r="C2260" s="1" t="s">
        <v>4500</v>
      </c>
      <c r="D2260" s="1" t="s">
        <v>4501</v>
      </c>
      <c r="E2260" s="1">
        <v>1.0</v>
      </c>
      <c r="F2260" s="1">
        <v>8.0</v>
      </c>
    </row>
    <row r="2261" ht="12.75" customHeight="1">
      <c r="A2261" s="1">
        <v>0.0</v>
      </c>
      <c r="B2261" s="2">
        <v>2990007.0</v>
      </c>
      <c r="C2261" s="1" t="s">
        <v>4502</v>
      </c>
      <c r="D2261" s="1" t="s">
        <v>334</v>
      </c>
      <c r="E2261" s="1">
        <v>1.0</v>
      </c>
      <c r="F2261" s="1">
        <v>8.0</v>
      </c>
    </row>
    <row r="2262" ht="12.75" customHeight="1">
      <c r="A2262" s="1">
        <v>0.0</v>
      </c>
      <c r="B2262" s="2">
        <v>4170004.0</v>
      </c>
      <c r="C2262" s="1" t="s">
        <v>602</v>
      </c>
      <c r="D2262" s="1" t="s">
        <v>4503</v>
      </c>
      <c r="E2262" s="1">
        <v>1.0</v>
      </c>
      <c r="F2262" s="1">
        <v>8.0</v>
      </c>
    </row>
    <row r="2263" ht="12.75" customHeight="1">
      <c r="A2263" s="1">
        <v>0.0</v>
      </c>
      <c r="B2263" s="2">
        <v>1130875.0</v>
      </c>
      <c r="C2263" s="1" t="s">
        <v>59</v>
      </c>
      <c r="D2263" s="1" t="s">
        <v>583</v>
      </c>
      <c r="E2263" s="1">
        <v>1.0</v>
      </c>
      <c r="F2263" s="1">
        <v>8.0</v>
      </c>
    </row>
    <row r="2264" ht="12.75" customHeight="1">
      <c r="A2264" s="1">
        <v>0.0</v>
      </c>
      <c r="B2264" s="2" t="s">
        <v>4504</v>
      </c>
      <c r="C2264" s="1" t="s">
        <v>4505</v>
      </c>
      <c r="D2264" s="1" t="s">
        <v>4506</v>
      </c>
      <c r="E2264" s="1">
        <v>1.0</v>
      </c>
      <c r="F2264" s="1">
        <v>8.0</v>
      </c>
    </row>
    <row r="2265" ht="12.75" customHeight="1">
      <c r="A2265" s="1">
        <v>0.0</v>
      </c>
      <c r="B2265" s="2" t="s">
        <v>4507</v>
      </c>
      <c r="C2265" s="1" t="s">
        <v>4508</v>
      </c>
      <c r="D2265" s="1" t="s">
        <v>1609</v>
      </c>
      <c r="E2265" s="1">
        <v>1.0</v>
      </c>
      <c r="F2265" s="1">
        <v>8.0</v>
      </c>
    </row>
    <row r="2266" ht="12.75" customHeight="1">
      <c r="A2266" s="1">
        <v>0.0</v>
      </c>
      <c r="B2266" s="2" t="s">
        <v>4509</v>
      </c>
      <c r="C2266" s="1" t="s">
        <v>4510</v>
      </c>
      <c r="D2266" s="1" t="s">
        <v>4511</v>
      </c>
      <c r="E2266" s="1">
        <v>1.0</v>
      </c>
      <c r="F2266" s="1">
        <v>8.0</v>
      </c>
    </row>
    <row r="2267" ht="12.75" customHeight="1">
      <c r="A2267" s="1">
        <v>0.0</v>
      </c>
      <c r="B2267" s="2" t="s">
        <v>4512</v>
      </c>
      <c r="C2267" s="1" t="s">
        <v>4513</v>
      </c>
      <c r="D2267" s="1" t="s">
        <v>4514</v>
      </c>
      <c r="E2267" s="1">
        <v>1.0</v>
      </c>
      <c r="F2267" s="1">
        <v>10.0</v>
      </c>
    </row>
    <row r="2268" ht="12.75" customHeight="1">
      <c r="A2268" s="1">
        <v>0.0</v>
      </c>
      <c r="B2268" s="2" t="s">
        <v>4515</v>
      </c>
      <c r="C2268" s="1" t="s">
        <v>4516</v>
      </c>
      <c r="D2268" s="1" t="s">
        <v>4517</v>
      </c>
      <c r="E2268" s="1">
        <v>1.0</v>
      </c>
      <c r="F2268" s="1">
        <v>10.0</v>
      </c>
    </row>
    <row r="2269" ht="12.75" customHeight="1">
      <c r="A2269" s="1">
        <v>0.0</v>
      </c>
      <c r="B2269" s="2" t="s">
        <v>4518</v>
      </c>
      <c r="C2269" s="1" t="s">
        <v>4519</v>
      </c>
      <c r="D2269" s="1" t="s">
        <v>4520</v>
      </c>
      <c r="E2269" s="1">
        <v>1.0</v>
      </c>
      <c r="F2269" s="1">
        <v>10.0</v>
      </c>
    </row>
    <row r="2270" ht="12.75" customHeight="1">
      <c r="A2270" s="1">
        <v>0.0</v>
      </c>
      <c r="B2270" s="2" t="s">
        <v>4521</v>
      </c>
      <c r="C2270" s="1" t="s">
        <v>4522</v>
      </c>
      <c r="D2270" s="1" t="s">
        <v>4523</v>
      </c>
      <c r="E2270" s="1">
        <v>1.0</v>
      </c>
      <c r="F2270" s="1">
        <v>10.0</v>
      </c>
    </row>
    <row r="2271" ht="12.75" customHeight="1">
      <c r="A2271" s="1">
        <v>0.0</v>
      </c>
      <c r="B2271" s="2" t="s">
        <v>4524</v>
      </c>
      <c r="C2271" s="1" t="s">
        <v>384</v>
      </c>
      <c r="D2271" s="1" t="s">
        <v>4525</v>
      </c>
      <c r="E2271" s="1">
        <v>1.0</v>
      </c>
      <c r="F2271" s="1">
        <v>10.0</v>
      </c>
    </row>
    <row r="2272" ht="12.75" customHeight="1">
      <c r="A2272" s="1">
        <v>0.0</v>
      </c>
      <c r="B2272" s="2" t="s">
        <v>4526</v>
      </c>
      <c r="C2272" s="1" t="s">
        <v>4527</v>
      </c>
      <c r="D2272" s="1" t="s">
        <v>4528</v>
      </c>
      <c r="E2272" s="1">
        <v>1.0</v>
      </c>
      <c r="F2272" s="1">
        <v>10.0</v>
      </c>
    </row>
    <row r="2273" ht="12.75" customHeight="1">
      <c r="A2273" s="1">
        <v>0.0</v>
      </c>
      <c r="B2273" s="2" t="s">
        <v>4529</v>
      </c>
      <c r="C2273" s="1" t="s">
        <v>4530</v>
      </c>
      <c r="D2273" s="1" t="s">
        <v>4531</v>
      </c>
      <c r="E2273" s="1">
        <v>1.0</v>
      </c>
      <c r="F2273" s="1">
        <v>11.0</v>
      </c>
    </row>
  </sheetData>
  <mergeCells count="4">
    <mergeCell ref="K23:L23"/>
    <mergeCell ref="L24:M24"/>
    <mergeCell ref="L25:M25"/>
    <mergeCell ref="J29:K29"/>
  </mergeCells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39.38"/>
    <col customWidth="1" min="4" max="4" width="22.25"/>
    <col customWidth="1" min="5" max="6" width="11.5"/>
    <col customWidth="1" min="7" max="26" width="8.63"/>
  </cols>
  <sheetData>
    <row r="1" ht="12.75" customHeight="1">
      <c r="A1" s="1" t="s">
        <v>0</v>
      </c>
      <c r="B1" s="2" t="s">
        <v>1</v>
      </c>
      <c r="D1" s="1" t="s">
        <v>2</v>
      </c>
      <c r="E1" s="3" t="s">
        <v>3</v>
      </c>
      <c r="F1" s="3" t="s">
        <v>5</v>
      </c>
    </row>
    <row r="2" ht="12.75" customHeight="1">
      <c r="A2" s="1">
        <v>173.0</v>
      </c>
      <c r="B2" s="2">
        <v>8051606.0</v>
      </c>
      <c r="C2" s="1" t="s">
        <v>6</v>
      </c>
      <c r="D2" s="1" t="s">
        <v>7</v>
      </c>
      <c r="E2" s="3">
        <v>1.0</v>
      </c>
      <c r="F2" s="3">
        <v>0.0</v>
      </c>
    </row>
    <row r="3" ht="12.75" customHeight="1">
      <c r="A3" s="1">
        <v>131.0</v>
      </c>
      <c r="B3" s="2">
        <v>8050124.0</v>
      </c>
      <c r="C3" s="1" t="s">
        <v>6</v>
      </c>
      <c r="D3" s="1" t="s">
        <v>13</v>
      </c>
      <c r="E3" s="3">
        <v>1.0</v>
      </c>
      <c r="F3" s="3">
        <v>0.0</v>
      </c>
    </row>
    <row r="4" ht="12.75" customHeight="1">
      <c r="A4" s="1">
        <v>90.0</v>
      </c>
      <c r="B4" s="2">
        <v>8050118.0</v>
      </c>
      <c r="C4" s="1" t="s">
        <v>6</v>
      </c>
      <c r="D4" s="1" t="s">
        <v>16</v>
      </c>
      <c r="E4" s="3">
        <v>1.0</v>
      </c>
      <c r="F4" s="3">
        <v>0.0</v>
      </c>
    </row>
    <row r="5" ht="12.75" customHeight="1">
      <c r="A5" s="1">
        <v>83.0</v>
      </c>
      <c r="B5" s="2">
        <v>1360308.0</v>
      </c>
      <c r="C5" s="1" t="s">
        <v>18</v>
      </c>
      <c r="D5" s="1" t="s">
        <v>19</v>
      </c>
      <c r="E5" s="3">
        <v>1.0</v>
      </c>
      <c r="F5" s="3">
        <v>0.0</v>
      </c>
    </row>
    <row r="6" ht="12.75" customHeight="1">
      <c r="A6" s="1">
        <v>70.0</v>
      </c>
      <c r="B6" s="2">
        <v>3801501.0</v>
      </c>
      <c r="C6" s="1" t="s">
        <v>21</v>
      </c>
      <c r="D6" s="1" t="s">
        <v>22</v>
      </c>
      <c r="E6" s="3">
        <v>1.0</v>
      </c>
      <c r="F6" s="3">
        <v>0.0</v>
      </c>
    </row>
    <row r="7" ht="12.75" customHeight="1">
      <c r="A7" s="1">
        <v>63.0</v>
      </c>
      <c r="B7" s="2" t="s">
        <v>24</v>
      </c>
      <c r="C7" s="1" t="s">
        <v>25</v>
      </c>
      <c r="D7" s="1" t="s">
        <v>26</v>
      </c>
      <c r="E7" s="3">
        <v>1.0</v>
      </c>
      <c r="F7" s="3">
        <v>0.0</v>
      </c>
    </row>
    <row r="8" ht="12.75" customHeight="1">
      <c r="A8" s="1">
        <v>62.0</v>
      </c>
      <c r="B8" s="2">
        <v>8050116.0</v>
      </c>
      <c r="C8" s="1" t="s">
        <v>6</v>
      </c>
      <c r="D8" s="1" t="s">
        <v>28</v>
      </c>
      <c r="E8" s="3">
        <v>1.0</v>
      </c>
      <c r="F8" s="3">
        <v>0.0</v>
      </c>
    </row>
    <row r="9" ht="12.75" customHeight="1">
      <c r="A9" s="1">
        <v>56.0</v>
      </c>
      <c r="B9" s="2">
        <v>3801506.0</v>
      </c>
      <c r="C9" s="1" t="s">
        <v>21</v>
      </c>
      <c r="D9" s="1" t="s">
        <v>30</v>
      </c>
      <c r="E9" s="3">
        <v>1.0</v>
      </c>
      <c r="F9" s="3">
        <v>0.0</v>
      </c>
    </row>
    <row r="10" ht="12.75" customHeight="1">
      <c r="A10" s="1">
        <v>55.0</v>
      </c>
      <c r="B10" s="2">
        <v>9810150.0</v>
      </c>
      <c r="C10" s="1" t="s">
        <v>32</v>
      </c>
      <c r="D10" s="1" t="s">
        <v>33</v>
      </c>
      <c r="E10" s="3">
        <v>1.0</v>
      </c>
      <c r="F10" s="3">
        <v>0.0</v>
      </c>
    </row>
    <row r="11" ht="12.75" customHeight="1">
      <c r="A11" s="1">
        <v>54.0</v>
      </c>
      <c r="B11" s="2">
        <v>3800341.0</v>
      </c>
      <c r="C11" s="1" t="s">
        <v>37</v>
      </c>
      <c r="D11" s="1" t="s">
        <v>38</v>
      </c>
      <c r="E11" s="3">
        <v>1.0</v>
      </c>
      <c r="F11" s="3">
        <v>0.0</v>
      </c>
    </row>
    <row r="12" ht="12.75" customHeight="1">
      <c r="A12" s="1">
        <v>54.0</v>
      </c>
      <c r="B12" s="2">
        <v>8050120.0</v>
      </c>
      <c r="C12" s="1" t="s">
        <v>6</v>
      </c>
      <c r="D12" s="1" t="s">
        <v>35</v>
      </c>
      <c r="E12" s="3">
        <v>1.0</v>
      </c>
      <c r="F12" s="3">
        <v>0.0</v>
      </c>
    </row>
    <row r="13" ht="12.75" customHeight="1">
      <c r="A13" s="1">
        <v>49.0</v>
      </c>
      <c r="B13" s="2">
        <v>8050122.0</v>
      </c>
      <c r="C13" s="1" t="s">
        <v>6</v>
      </c>
      <c r="D13" s="1" t="s">
        <v>40</v>
      </c>
      <c r="E13" s="3">
        <v>1.0</v>
      </c>
      <c r="F13" s="3">
        <v>0.0</v>
      </c>
    </row>
    <row r="14" ht="12.75" customHeight="1">
      <c r="A14" s="1">
        <v>46.0</v>
      </c>
      <c r="B14" s="2">
        <v>8050206.0</v>
      </c>
      <c r="C14" s="1" t="s">
        <v>6</v>
      </c>
      <c r="D14" s="1" t="s">
        <v>41</v>
      </c>
      <c r="E14" s="3">
        <v>1.0</v>
      </c>
      <c r="F14" s="3">
        <v>0.0</v>
      </c>
    </row>
    <row r="15" ht="12.75" customHeight="1">
      <c r="A15" s="1">
        <v>45.0</v>
      </c>
      <c r="B15" s="2">
        <v>8050146.0</v>
      </c>
      <c r="C15" s="1" t="s">
        <v>6</v>
      </c>
      <c r="D15" s="1" t="s">
        <v>42</v>
      </c>
      <c r="E15" s="3">
        <v>1.0</v>
      </c>
      <c r="F15" s="3">
        <v>0.0</v>
      </c>
    </row>
    <row r="16" ht="12.75" customHeight="1">
      <c r="A16" s="1">
        <v>43.0</v>
      </c>
      <c r="B16" s="2" t="s">
        <v>43</v>
      </c>
      <c r="C16" s="1" t="s">
        <v>21</v>
      </c>
      <c r="D16" s="1" t="s">
        <v>44</v>
      </c>
      <c r="E16" s="3">
        <v>1.0</v>
      </c>
      <c r="F16" s="3">
        <v>0.0</v>
      </c>
    </row>
    <row r="17" ht="12.75" customHeight="1">
      <c r="A17" s="1">
        <v>41.0</v>
      </c>
      <c r="B17" s="2">
        <v>1360309.0</v>
      </c>
      <c r="C17" s="1" t="s">
        <v>18</v>
      </c>
      <c r="D17" s="1" t="s">
        <v>45</v>
      </c>
      <c r="E17" s="3">
        <v>1.0</v>
      </c>
      <c r="F17" s="3">
        <v>0.0</v>
      </c>
    </row>
    <row r="18" ht="12.75" customHeight="1">
      <c r="A18" s="1">
        <v>39.0</v>
      </c>
      <c r="B18" s="2">
        <v>8051604.0</v>
      </c>
      <c r="C18" s="1" t="s">
        <v>6</v>
      </c>
      <c r="D18" s="1" t="s">
        <v>46</v>
      </c>
      <c r="E18" s="3">
        <v>1.0</v>
      </c>
      <c r="F18" s="3">
        <v>0.0</v>
      </c>
    </row>
    <row r="19" ht="12.75" customHeight="1">
      <c r="A19" s="1">
        <v>37.0</v>
      </c>
      <c r="B19" s="2">
        <v>1660104.0</v>
      </c>
      <c r="C19" s="1" t="s">
        <v>49</v>
      </c>
      <c r="D19" s="1" t="s">
        <v>50</v>
      </c>
      <c r="E19" s="3">
        <v>1.0</v>
      </c>
      <c r="F19" s="3">
        <v>0.0</v>
      </c>
    </row>
    <row r="20" ht="12.75" customHeight="1">
      <c r="A20" s="1">
        <v>37.0</v>
      </c>
      <c r="B20" s="2">
        <v>1660202.0</v>
      </c>
      <c r="C20" s="1" t="s">
        <v>49</v>
      </c>
      <c r="D20" s="1" t="s">
        <v>51</v>
      </c>
      <c r="E20" s="3">
        <v>1.0</v>
      </c>
      <c r="F20" s="3">
        <v>0.0</v>
      </c>
    </row>
    <row r="21" ht="12.75" customHeight="1">
      <c r="A21" s="1">
        <v>36.0</v>
      </c>
      <c r="B21" s="2">
        <v>1360306.0</v>
      </c>
      <c r="C21" s="1" t="s">
        <v>18</v>
      </c>
      <c r="D21" s="1" t="s">
        <v>52</v>
      </c>
      <c r="E21" s="3">
        <v>1.0</v>
      </c>
      <c r="F21" s="3">
        <v>0.0</v>
      </c>
    </row>
    <row r="22" ht="12.75" customHeight="1">
      <c r="A22" s="1">
        <v>36.0</v>
      </c>
      <c r="B22" s="2" t="s">
        <v>53</v>
      </c>
      <c r="C22" s="1" t="s">
        <v>25</v>
      </c>
      <c r="D22" s="1" t="s">
        <v>54</v>
      </c>
      <c r="E22" s="3">
        <v>1.0</v>
      </c>
      <c r="F22" s="3">
        <v>0.0</v>
      </c>
    </row>
    <row r="23" ht="12.75" customHeight="1">
      <c r="A23" s="1">
        <v>35.0</v>
      </c>
      <c r="B23" s="2">
        <v>3801250.0</v>
      </c>
      <c r="C23" s="1" t="s">
        <v>55</v>
      </c>
      <c r="D23" s="1" t="s">
        <v>56</v>
      </c>
      <c r="E23" s="3">
        <v>1.0</v>
      </c>
      <c r="F23" s="3">
        <v>0.0</v>
      </c>
    </row>
    <row r="24" ht="12.75" customHeight="1">
      <c r="A24" s="1">
        <v>34.0</v>
      </c>
      <c r="B24" s="2">
        <v>3801514.0</v>
      </c>
      <c r="C24" s="1" t="s">
        <v>21</v>
      </c>
      <c r="D24" s="1" t="s">
        <v>57</v>
      </c>
      <c r="E24" s="3">
        <v>1.0</v>
      </c>
      <c r="F24" s="3">
        <v>0.0</v>
      </c>
    </row>
    <row r="25" ht="12.75" customHeight="1">
      <c r="A25" s="1">
        <v>33.0</v>
      </c>
      <c r="B25" s="2">
        <v>3800344.0</v>
      </c>
      <c r="C25" s="1" t="s">
        <v>37</v>
      </c>
      <c r="D25" s="1" t="s">
        <v>58</v>
      </c>
      <c r="E25" s="3">
        <v>1.0</v>
      </c>
      <c r="F25" s="3">
        <v>0.0</v>
      </c>
    </row>
    <row r="26" ht="12.75" customHeight="1">
      <c r="A26" s="1">
        <v>31.0</v>
      </c>
      <c r="B26" s="2">
        <v>8050612.0</v>
      </c>
      <c r="C26" s="1" t="s">
        <v>6</v>
      </c>
      <c r="D26" s="1" t="s">
        <v>61</v>
      </c>
      <c r="E26" s="3">
        <v>1.0</v>
      </c>
      <c r="F26" s="3">
        <v>0.0</v>
      </c>
    </row>
    <row r="27" ht="12.75" customHeight="1">
      <c r="A27" s="1">
        <v>29.0</v>
      </c>
      <c r="B27" s="2">
        <v>1660203.0</v>
      </c>
      <c r="C27" s="1" t="s">
        <v>66</v>
      </c>
      <c r="D27" s="1" t="s">
        <v>67</v>
      </c>
      <c r="E27" s="3">
        <v>1.0</v>
      </c>
      <c r="F27" s="3">
        <v>0.0</v>
      </c>
    </row>
    <row r="28" ht="12.75" customHeight="1">
      <c r="A28" s="1">
        <v>29.0</v>
      </c>
      <c r="B28" s="2">
        <v>3800337.0</v>
      </c>
      <c r="C28" s="1" t="s">
        <v>37</v>
      </c>
      <c r="D28" s="1" t="s">
        <v>68</v>
      </c>
      <c r="E28" s="3">
        <v>1.0</v>
      </c>
      <c r="F28" s="3">
        <v>0.0</v>
      </c>
    </row>
    <row r="29" ht="12.75" customHeight="1">
      <c r="A29" s="1">
        <v>29.0</v>
      </c>
      <c r="B29" s="2">
        <v>3801537.0</v>
      </c>
      <c r="C29" s="1" t="s">
        <v>21</v>
      </c>
      <c r="D29" s="1" t="s">
        <v>69</v>
      </c>
      <c r="E29" s="3">
        <v>1.0</v>
      </c>
      <c r="F29" s="3">
        <v>0.0</v>
      </c>
    </row>
    <row r="30" ht="12.75" customHeight="1">
      <c r="A30" s="1">
        <v>29.0</v>
      </c>
      <c r="B30" s="2" t="s">
        <v>64</v>
      </c>
      <c r="C30" s="1" t="s">
        <v>25</v>
      </c>
      <c r="D30" s="1" t="s">
        <v>65</v>
      </c>
      <c r="E30" s="3">
        <v>1.0</v>
      </c>
      <c r="F30" s="3">
        <v>0.0</v>
      </c>
    </row>
    <row r="31" ht="12.75" customHeight="1">
      <c r="A31" s="1">
        <v>29.0</v>
      </c>
      <c r="B31" s="2">
        <v>3802570.0</v>
      </c>
      <c r="C31" s="1" t="s">
        <v>62</v>
      </c>
      <c r="D31" s="1" t="s">
        <v>63</v>
      </c>
      <c r="E31" s="3">
        <v>1.0</v>
      </c>
      <c r="F31" s="3">
        <v>0.0</v>
      </c>
    </row>
    <row r="32" ht="12.75" customHeight="1">
      <c r="A32" s="1">
        <v>28.0</v>
      </c>
      <c r="B32" s="2">
        <v>3801538.0</v>
      </c>
      <c r="C32" s="1" t="s">
        <v>47</v>
      </c>
      <c r="D32" s="1" t="s">
        <v>70</v>
      </c>
      <c r="E32" s="3">
        <v>1.0</v>
      </c>
      <c r="F32" s="3">
        <v>0.0</v>
      </c>
    </row>
    <row r="33" ht="12.75" customHeight="1">
      <c r="A33" s="1">
        <v>28.0</v>
      </c>
      <c r="B33" s="2">
        <v>3802051.0</v>
      </c>
      <c r="C33" s="1" t="s">
        <v>25</v>
      </c>
      <c r="D33" s="1" t="s">
        <v>71</v>
      </c>
      <c r="E33" s="3">
        <v>1.0</v>
      </c>
      <c r="F33" s="3">
        <v>0.0</v>
      </c>
    </row>
    <row r="34" ht="12.75" customHeight="1">
      <c r="A34" s="1">
        <v>27.0</v>
      </c>
      <c r="B34" s="2">
        <v>8050148.0</v>
      </c>
      <c r="C34" s="1" t="s">
        <v>6</v>
      </c>
      <c r="D34" s="1" t="s">
        <v>72</v>
      </c>
      <c r="E34" s="3">
        <v>1.0</v>
      </c>
      <c r="F34" s="3">
        <v>0.0</v>
      </c>
    </row>
    <row r="35" ht="12.75" customHeight="1">
      <c r="A35" s="1">
        <v>27.0</v>
      </c>
      <c r="B35" s="2">
        <v>8050153.0</v>
      </c>
      <c r="C35" s="1" t="s">
        <v>6</v>
      </c>
      <c r="D35" s="1" t="s">
        <v>73</v>
      </c>
      <c r="E35" s="3">
        <v>1.0</v>
      </c>
      <c r="F35" s="3">
        <v>0.0</v>
      </c>
    </row>
    <row r="36" ht="12.75" customHeight="1">
      <c r="A36" s="1">
        <v>26.0</v>
      </c>
      <c r="B36" s="2">
        <v>1660206.0</v>
      </c>
      <c r="C36" s="1" t="s">
        <v>66</v>
      </c>
      <c r="D36" s="1" t="s">
        <v>78</v>
      </c>
      <c r="E36" s="3">
        <v>1.0</v>
      </c>
      <c r="F36" s="3">
        <v>0.0</v>
      </c>
    </row>
    <row r="37" ht="12.75" customHeight="1">
      <c r="A37" s="1">
        <v>26.0</v>
      </c>
      <c r="B37" s="2">
        <v>3800350.0</v>
      </c>
      <c r="C37" s="1" t="s">
        <v>37</v>
      </c>
      <c r="D37" s="1" t="s">
        <v>79</v>
      </c>
      <c r="E37" s="3">
        <v>1.0</v>
      </c>
      <c r="F37" s="3">
        <v>0.0</v>
      </c>
    </row>
    <row r="38" ht="12.75" customHeight="1">
      <c r="A38" s="1">
        <v>26.0</v>
      </c>
      <c r="B38" s="2">
        <v>3801508.0</v>
      </c>
      <c r="C38" s="1" t="s">
        <v>21</v>
      </c>
      <c r="D38" s="1" t="s">
        <v>75</v>
      </c>
      <c r="E38" s="3">
        <v>1.0</v>
      </c>
      <c r="F38" s="3">
        <v>0.0</v>
      </c>
    </row>
    <row r="39" ht="12.75" customHeight="1">
      <c r="A39" s="1">
        <v>26.0</v>
      </c>
      <c r="B39" s="2">
        <v>3801539.0</v>
      </c>
      <c r="C39" s="1" t="s">
        <v>47</v>
      </c>
      <c r="D39" s="1" t="s">
        <v>74</v>
      </c>
      <c r="E39" s="3">
        <v>1.0</v>
      </c>
      <c r="F39" s="3">
        <v>0.0</v>
      </c>
    </row>
    <row r="40" ht="12.75" customHeight="1">
      <c r="A40" s="1">
        <v>26.0</v>
      </c>
      <c r="B40" s="2">
        <v>3801901.0</v>
      </c>
      <c r="C40" s="1" t="s">
        <v>76</v>
      </c>
      <c r="D40" s="1" t="s">
        <v>77</v>
      </c>
      <c r="E40" s="3">
        <v>1.0</v>
      </c>
      <c r="F40" s="3">
        <v>0.0</v>
      </c>
    </row>
    <row r="41" ht="12.75" customHeight="1">
      <c r="A41" s="1">
        <v>26.0</v>
      </c>
      <c r="B41" s="2">
        <v>5760206.0</v>
      </c>
      <c r="C41" s="1" t="s">
        <v>80</v>
      </c>
      <c r="D41" s="1" t="s">
        <v>81</v>
      </c>
      <c r="E41" s="3">
        <v>1.0</v>
      </c>
      <c r="F41" s="3">
        <v>0.0</v>
      </c>
    </row>
    <row r="42" ht="12.75" customHeight="1">
      <c r="A42" s="1">
        <v>26.0</v>
      </c>
      <c r="B42" s="2">
        <v>8050151.0</v>
      </c>
      <c r="C42" s="1" t="s">
        <v>6</v>
      </c>
      <c r="D42" s="1" t="s">
        <v>82</v>
      </c>
      <c r="E42" s="3">
        <v>1.0</v>
      </c>
      <c r="F42" s="3">
        <v>0.0</v>
      </c>
    </row>
    <row r="43" ht="12.75" customHeight="1">
      <c r="A43" s="1">
        <v>25.0</v>
      </c>
      <c r="B43" s="2">
        <v>3801214.0</v>
      </c>
      <c r="C43" s="1" t="s">
        <v>89</v>
      </c>
      <c r="D43" s="1" t="s">
        <v>90</v>
      </c>
      <c r="E43" s="3">
        <v>1.0</v>
      </c>
      <c r="F43" s="3">
        <v>0.0</v>
      </c>
    </row>
    <row r="44" ht="12.75" customHeight="1">
      <c r="A44" s="1">
        <v>24.0</v>
      </c>
      <c r="B44" s="2" t="s">
        <v>93</v>
      </c>
      <c r="C44" s="1" t="s">
        <v>94</v>
      </c>
      <c r="D44" s="1" t="s">
        <v>95</v>
      </c>
      <c r="E44" s="3">
        <v>1.0</v>
      </c>
      <c r="F44" s="3">
        <v>0.0</v>
      </c>
    </row>
    <row r="45" ht="12.75" customHeight="1">
      <c r="A45" s="1">
        <v>24.0</v>
      </c>
      <c r="B45" s="2">
        <v>3801904.0</v>
      </c>
      <c r="C45" s="1" t="s">
        <v>25</v>
      </c>
      <c r="D45" s="1" t="s">
        <v>96</v>
      </c>
      <c r="E45" s="3">
        <v>1.0</v>
      </c>
      <c r="F45" s="3">
        <v>0.0</v>
      </c>
    </row>
    <row r="46" ht="12.75" customHeight="1">
      <c r="A46" s="1">
        <v>23.0</v>
      </c>
      <c r="B46" s="2">
        <v>3801213.0</v>
      </c>
      <c r="C46" s="1" t="s">
        <v>98</v>
      </c>
      <c r="D46" s="1" t="s">
        <v>99</v>
      </c>
      <c r="E46" s="3">
        <v>1.0</v>
      </c>
      <c r="F46" s="3">
        <v>0.0</v>
      </c>
    </row>
    <row r="47" ht="12.75" customHeight="1">
      <c r="A47" s="1">
        <v>22.0</v>
      </c>
      <c r="B47" s="2">
        <v>3801267.0</v>
      </c>
      <c r="C47" s="1" t="s">
        <v>55</v>
      </c>
      <c r="D47" s="1" t="s">
        <v>105</v>
      </c>
      <c r="E47" s="3">
        <v>1.0</v>
      </c>
      <c r="F47" s="3">
        <v>0.0</v>
      </c>
    </row>
    <row r="48" ht="12.75" customHeight="1">
      <c r="A48" s="1">
        <v>22.0</v>
      </c>
      <c r="B48" s="2" t="s">
        <v>103</v>
      </c>
      <c r="C48" s="1" t="s">
        <v>21</v>
      </c>
      <c r="D48" s="1" t="s">
        <v>104</v>
      </c>
      <c r="E48" s="3">
        <v>1.0</v>
      </c>
      <c r="F48" s="3">
        <v>0.0</v>
      </c>
    </row>
    <row r="49" ht="12.75" customHeight="1">
      <c r="A49" s="1">
        <v>22.0</v>
      </c>
      <c r="B49" s="2">
        <v>3802053.0</v>
      </c>
      <c r="C49" s="1" t="s">
        <v>25</v>
      </c>
      <c r="D49" s="1" t="s">
        <v>106</v>
      </c>
      <c r="E49" s="3">
        <v>1.0</v>
      </c>
      <c r="F49" s="3">
        <v>0.0</v>
      </c>
    </row>
    <row r="50" ht="12.75" customHeight="1">
      <c r="A50" s="1">
        <v>21.0</v>
      </c>
      <c r="B50" s="2">
        <v>4490102.0</v>
      </c>
      <c r="C50" s="1" t="s">
        <v>109</v>
      </c>
      <c r="D50" s="1" t="s">
        <v>110</v>
      </c>
      <c r="E50" s="3">
        <v>1.0</v>
      </c>
      <c r="F50" s="3">
        <v>0.0</v>
      </c>
    </row>
    <row r="51" ht="12.75" customHeight="1">
      <c r="A51" s="1">
        <v>20.0</v>
      </c>
      <c r="B51" s="2">
        <v>3801251.0</v>
      </c>
      <c r="C51" s="1" t="s">
        <v>55</v>
      </c>
      <c r="D51" s="1" t="s">
        <v>114</v>
      </c>
      <c r="E51" s="3">
        <v>1.0</v>
      </c>
      <c r="F51" s="3">
        <v>0.0</v>
      </c>
    </row>
    <row r="52" ht="12.75" customHeight="1">
      <c r="A52" s="1">
        <v>20.0</v>
      </c>
      <c r="B52" s="2">
        <v>3801502.0</v>
      </c>
      <c r="C52" s="1" t="s">
        <v>21</v>
      </c>
      <c r="D52" s="1" t="s">
        <v>111</v>
      </c>
      <c r="E52" s="3">
        <v>1.0</v>
      </c>
      <c r="F52" s="3">
        <v>0.0</v>
      </c>
    </row>
    <row r="53" ht="12.75" customHeight="1">
      <c r="A53" s="1">
        <v>20.0</v>
      </c>
      <c r="B53" s="2">
        <v>7090104.0</v>
      </c>
      <c r="C53" s="1" t="s">
        <v>112</v>
      </c>
      <c r="D53" s="1" t="s">
        <v>113</v>
      </c>
      <c r="E53" s="3">
        <v>1.0</v>
      </c>
      <c r="F53" s="3">
        <v>0.0</v>
      </c>
    </row>
    <row r="54" ht="12.75" customHeight="1">
      <c r="A54" s="1">
        <v>19.0</v>
      </c>
      <c r="B54" s="2">
        <v>1990102.0</v>
      </c>
      <c r="C54" s="1" t="s">
        <v>117</v>
      </c>
      <c r="D54" s="1" t="s">
        <v>118</v>
      </c>
      <c r="E54" s="3">
        <v>1.0</v>
      </c>
      <c r="F54" s="3">
        <v>0.0</v>
      </c>
    </row>
    <row r="55" ht="12.75" customHeight="1">
      <c r="A55" s="1">
        <v>19.0</v>
      </c>
      <c r="B55" s="2">
        <v>3801545.0</v>
      </c>
      <c r="C55" s="1" t="s">
        <v>21</v>
      </c>
      <c r="D55" s="1" t="s">
        <v>120</v>
      </c>
      <c r="E55" s="3">
        <v>1.0</v>
      </c>
      <c r="F55" s="3">
        <v>0.0</v>
      </c>
    </row>
    <row r="56" ht="12.75" customHeight="1">
      <c r="A56" s="1">
        <v>19.0</v>
      </c>
      <c r="B56" s="2">
        <v>3801563.0</v>
      </c>
      <c r="C56" s="1" t="s">
        <v>21</v>
      </c>
      <c r="D56" s="1" t="s">
        <v>119</v>
      </c>
      <c r="E56" s="3">
        <v>1.0</v>
      </c>
      <c r="F56" s="3">
        <v>0.0</v>
      </c>
    </row>
    <row r="57" ht="12.75" customHeight="1">
      <c r="A57" s="1">
        <v>18.0</v>
      </c>
      <c r="B57" s="2">
        <v>3802509.0</v>
      </c>
      <c r="C57" s="1" t="s">
        <v>121</v>
      </c>
      <c r="D57" s="1" t="s">
        <v>122</v>
      </c>
      <c r="E57" s="3">
        <v>1.0</v>
      </c>
      <c r="F57" s="3">
        <v>0.0</v>
      </c>
    </row>
    <row r="58" ht="12.75" customHeight="1">
      <c r="A58" s="1">
        <v>18.0</v>
      </c>
      <c r="B58" s="2">
        <v>5760204.0</v>
      </c>
      <c r="C58" s="1" t="s">
        <v>80</v>
      </c>
      <c r="D58" s="1" t="s">
        <v>123</v>
      </c>
      <c r="E58" s="3">
        <v>1.0</v>
      </c>
      <c r="F58" s="3">
        <v>0.0</v>
      </c>
    </row>
    <row r="59" ht="12.75" customHeight="1">
      <c r="A59" s="1">
        <v>17.0</v>
      </c>
      <c r="B59" s="2" t="s">
        <v>125</v>
      </c>
      <c r="C59" s="1" t="s">
        <v>126</v>
      </c>
      <c r="D59" s="1" t="s">
        <v>127</v>
      </c>
      <c r="E59" s="3">
        <v>1.0</v>
      </c>
      <c r="F59" s="3">
        <v>0.0</v>
      </c>
    </row>
    <row r="60" ht="12.75" customHeight="1">
      <c r="A60" s="1">
        <v>17.0</v>
      </c>
      <c r="B60" s="2">
        <v>3801260.0</v>
      </c>
      <c r="C60" s="1" t="s">
        <v>55</v>
      </c>
      <c r="D60" s="1" t="s">
        <v>128</v>
      </c>
      <c r="E60" s="3">
        <v>1.0</v>
      </c>
      <c r="F60" s="3">
        <v>0.0</v>
      </c>
    </row>
    <row r="61" ht="12.75" customHeight="1">
      <c r="A61" s="1">
        <v>17.0</v>
      </c>
      <c r="B61" s="2">
        <v>3801505.0</v>
      </c>
      <c r="C61" s="1" t="s">
        <v>21</v>
      </c>
      <c r="D61" s="1" t="s">
        <v>124</v>
      </c>
      <c r="E61" s="3">
        <v>1.0</v>
      </c>
      <c r="F61" s="3">
        <v>0.0</v>
      </c>
    </row>
    <row r="62" ht="12.75" customHeight="1">
      <c r="A62" s="1">
        <v>16.0</v>
      </c>
      <c r="B62" s="2" t="s">
        <v>132</v>
      </c>
      <c r="C62" s="1" t="s">
        <v>133</v>
      </c>
      <c r="D62" s="1" t="s">
        <v>134</v>
      </c>
      <c r="E62" s="3">
        <v>1.0</v>
      </c>
      <c r="F62" s="3">
        <v>0.0</v>
      </c>
    </row>
    <row r="63" ht="12.75" customHeight="1">
      <c r="A63" s="1">
        <v>16.0</v>
      </c>
      <c r="B63" s="2" t="s">
        <v>130</v>
      </c>
      <c r="C63" s="1" t="s">
        <v>126</v>
      </c>
      <c r="D63" s="1" t="s">
        <v>131</v>
      </c>
      <c r="E63" s="3">
        <v>1.0</v>
      </c>
      <c r="F63" s="3">
        <v>0.0</v>
      </c>
    </row>
    <row r="64" ht="12.75" customHeight="1">
      <c r="A64" s="1">
        <v>16.0</v>
      </c>
      <c r="B64" s="2">
        <v>3802054.0</v>
      </c>
      <c r="C64" s="1" t="s">
        <v>25</v>
      </c>
      <c r="D64" s="1" t="s">
        <v>137</v>
      </c>
      <c r="E64" s="3">
        <v>1.0</v>
      </c>
      <c r="F64" s="3">
        <v>0.0</v>
      </c>
    </row>
    <row r="65" ht="12.75" customHeight="1">
      <c r="A65" s="1">
        <v>16.0</v>
      </c>
      <c r="B65" s="2">
        <v>8050502.0</v>
      </c>
      <c r="C65" s="1" t="s">
        <v>6</v>
      </c>
      <c r="D65" s="1" t="s">
        <v>136</v>
      </c>
      <c r="E65" s="3">
        <v>1.0</v>
      </c>
      <c r="F65" s="3">
        <v>0.0</v>
      </c>
    </row>
    <row r="66" ht="12.75" customHeight="1">
      <c r="A66" s="1">
        <v>16.0</v>
      </c>
      <c r="B66" s="2">
        <v>8050608.0</v>
      </c>
      <c r="C66" s="1" t="s">
        <v>6</v>
      </c>
      <c r="D66" s="1" t="s">
        <v>135</v>
      </c>
      <c r="E66" s="3">
        <v>1.0</v>
      </c>
      <c r="F66" s="3">
        <v>0.0</v>
      </c>
    </row>
    <row r="67" ht="12.75" customHeight="1">
      <c r="A67" s="1">
        <v>15.0</v>
      </c>
      <c r="B67" s="2" t="s">
        <v>142</v>
      </c>
      <c r="C67" s="1" t="s">
        <v>143</v>
      </c>
      <c r="D67" s="1" t="s">
        <v>144</v>
      </c>
      <c r="E67" s="3">
        <v>1.0</v>
      </c>
      <c r="F67" s="3">
        <v>0.0</v>
      </c>
    </row>
    <row r="68" ht="12.75" customHeight="1">
      <c r="A68" s="1">
        <v>15.0</v>
      </c>
      <c r="B68" s="2" t="s">
        <v>149</v>
      </c>
      <c r="C68" s="1" t="s">
        <v>150</v>
      </c>
      <c r="D68" s="1" t="s">
        <v>151</v>
      </c>
      <c r="E68" s="3">
        <v>1.0</v>
      </c>
      <c r="F68" s="3">
        <v>0.0</v>
      </c>
    </row>
    <row r="69" ht="12.75" customHeight="1">
      <c r="A69" s="1">
        <v>15.0</v>
      </c>
      <c r="B69" s="2">
        <v>3801211.0</v>
      </c>
      <c r="C69" s="1" t="s">
        <v>89</v>
      </c>
      <c r="D69" s="1" t="s">
        <v>147</v>
      </c>
      <c r="E69" s="3">
        <v>1.0</v>
      </c>
      <c r="F69" s="3">
        <v>0.0</v>
      </c>
    </row>
    <row r="70" ht="12.75" customHeight="1">
      <c r="A70" s="1">
        <v>15.0</v>
      </c>
      <c r="B70" s="2">
        <v>3801550.0</v>
      </c>
      <c r="C70" s="1" t="s">
        <v>21</v>
      </c>
      <c r="D70" s="1" t="s">
        <v>139</v>
      </c>
      <c r="E70" s="3">
        <v>1.0</v>
      </c>
      <c r="F70" s="3">
        <v>0.0</v>
      </c>
    </row>
    <row r="71" ht="12.75" customHeight="1">
      <c r="A71" s="1">
        <v>15.0</v>
      </c>
      <c r="B71" s="2">
        <v>3801551.0</v>
      </c>
      <c r="C71" s="1" t="s">
        <v>145</v>
      </c>
      <c r="D71" s="1" t="s">
        <v>146</v>
      </c>
      <c r="E71" s="3">
        <v>1.0</v>
      </c>
      <c r="F71" s="3">
        <v>0.0</v>
      </c>
    </row>
    <row r="72" ht="12.75" customHeight="1">
      <c r="A72" s="1">
        <v>15.0</v>
      </c>
      <c r="B72" s="2" t="s">
        <v>140</v>
      </c>
      <c r="C72" s="1" t="s">
        <v>25</v>
      </c>
      <c r="D72" s="1" t="s">
        <v>141</v>
      </c>
      <c r="E72" s="3">
        <v>1.0</v>
      </c>
      <c r="F72" s="3">
        <v>0.0</v>
      </c>
    </row>
    <row r="73" ht="12.75" customHeight="1">
      <c r="A73" s="1">
        <v>15.0</v>
      </c>
      <c r="B73" s="2">
        <v>8050114.0</v>
      </c>
      <c r="C73" s="1" t="s">
        <v>6</v>
      </c>
      <c r="D73" s="1" t="s">
        <v>148</v>
      </c>
      <c r="E73" s="3">
        <v>1.0</v>
      </c>
      <c r="F73" s="3">
        <v>0.0</v>
      </c>
    </row>
    <row r="74" ht="12.75" customHeight="1">
      <c r="A74" s="1">
        <v>14.0</v>
      </c>
      <c r="B74" s="2">
        <v>3800343.0</v>
      </c>
      <c r="C74" s="1" t="s">
        <v>37</v>
      </c>
      <c r="D74" s="1" t="s">
        <v>164</v>
      </c>
      <c r="E74" s="3">
        <v>1.0</v>
      </c>
      <c r="F74" s="3">
        <v>0.0</v>
      </c>
    </row>
    <row r="75" ht="12.75" customHeight="1">
      <c r="A75" s="1">
        <v>14.0</v>
      </c>
      <c r="B75" s="2" t="s">
        <v>160</v>
      </c>
      <c r="C75" s="1" t="s">
        <v>21</v>
      </c>
      <c r="D75" s="1" t="s">
        <v>161</v>
      </c>
      <c r="E75" s="3">
        <v>1.0</v>
      </c>
      <c r="F75" s="3">
        <v>0.0</v>
      </c>
    </row>
    <row r="76" ht="12.75" customHeight="1">
      <c r="A76" s="1">
        <v>14.0</v>
      </c>
      <c r="B76" s="2">
        <v>3805010.0</v>
      </c>
      <c r="C76" s="1" t="s">
        <v>162</v>
      </c>
      <c r="D76" s="1" t="s">
        <v>163</v>
      </c>
      <c r="E76" s="3">
        <v>1.0</v>
      </c>
      <c r="F76" s="3">
        <v>0.0</v>
      </c>
    </row>
    <row r="77" ht="12.75" customHeight="1">
      <c r="A77" s="1">
        <v>13.0</v>
      </c>
      <c r="B77" s="2">
        <v>3801500.0</v>
      </c>
      <c r="C77" s="1" t="s">
        <v>21</v>
      </c>
      <c r="D77" s="1" t="s">
        <v>166</v>
      </c>
      <c r="E77" s="3">
        <v>1.0</v>
      </c>
      <c r="F77" s="3">
        <v>0.0</v>
      </c>
    </row>
    <row r="78" ht="12.75" customHeight="1">
      <c r="A78" s="1">
        <v>13.0</v>
      </c>
      <c r="B78" s="2">
        <v>3802061.0</v>
      </c>
      <c r="C78" s="1" t="s">
        <v>25</v>
      </c>
      <c r="D78" s="1" t="s">
        <v>169</v>
      </c>
      <c r="E78" s="3">
        <v>1.0</v>
      </c>
      <c r="F78" s="3">
        <v>0.0</v>
      </c>
    </row>
    <row r="79" ht="12.75" customHeight="1">
      <c r="A79" s="1">
        <v>13.0</v>
      </c>
      <c r="B79" s="2">
        <v>5090204.0</v>
      </c>
      <c r="C79" s="1" t="s">
        <v>167</v>
      </c>
      <c r="D79" s="1" t="s">
        <v>168</v>
      </c>
      <c r="E79" s="3">
        <v>1.0</v>
      </c>
      <c r="F79" s="3">
        <v>0.0</v>
      </c>
    </row>
    <row r="80" ht="12.75" customHeight="1">
      <c r="A80" s="1">
        <v>12.0</v>
      </c>
      <c r="B80" s="2">
        <v>1130839.0</v>
      </c>
      <c r="C80" s="1" t="s">
        <v>176</v>
      </c>
      <c r="D80" s="1" t="s">
        <v>177</v>
      </c>
      <c r="E80" s="3">
        <v>1.0</v>
      </c>
      <c r="F80" s="3">
        <v>0.0</v>
      </c>
    </row>
    <row r="81" ht="12.75" customHeight="1">
      <c r="A81" s="1">
        <v>12.0</v>
      </c>
      <c r="B81" s="2">
        <v>1990101.0</v>
      </c>
      <c r="C81" s="1" t="s">
        <v>117</v>
      </c>
      <c r="D81" s="1">
        <v>101.0</v>
      </c>
      <c r="E81" s="3">
        <v>1.0</v>
      </c>
      <c r="F81" s="3">
        <v>0.0</v>
      </c>
    </row>
    <row r="82" ht="12.75" customHeight="1">
      <c r="A82" s="1">
        <v>12.0</v>
      </c>
      <c r="B82" s="2">
        <v>3801520.0</v>
      </c>
      <c r="C82" s="1" t="s">
        <v>21</v>
      </c>
      <c r="D82" s="1" t="s">
        <v>175</v>
      </c>
      <c r="E82" s="3">
        <v>1.0</v>
      </c>
      <c r="F82" s="3">
        <v>0.0</v>
      </c>
    </row>
    <row r="83" ht="12.75" customHeight="1">
      <c r="A83" s="1">
        <v>12.0</v>
      </c>
      <c r="B83" s="2">
        <v>8821641.0</v>
      </c>
      <c r="C83" s="1" t="s">
        <v>173</v>
      </c>
      <c r="D83" s="1" t="s">
        <v>174</v>
      </c>
      <c r="E83" s="3">
        <v>1.0</v>
      </c>
      <c r="F83" s="3">
        <v>0.0</v>
      </c>
    </row>
    <row r="84" ht="12.75" customHeight="1">
      <c r="A84" s="1">
        <v>12.0</v>
      </c>
      <c r="B84" s="2">
        <v>8821644.0</v>
      </c>
      <c r="C84" s="1" t="s">
        <v>178</v>
      </c>
      <c r="D84" s="1" t="s">
        <v>179</v>
      </c>
      <c r="E84" s="3">
        <v>1.0</v>
      </c>
      <c r="F84" s="3">
        <v>0.0</v>
      </c>
    </row>
    <row r="85" ht="12.75" customHeight="1">
      <c r="A85" s="1">
        <v>11.0</v>
      </c>
      <c r="B85" s="2" t="s">
        <v>184</v>
      </c>
      <c r="C85" s="1" t="s">
        <v>25</v>
      </c>
      <c r="D85" s="1" t="s">
        <v>185</v>
      </c>
      <c r="E85" s="3">
        <v>1.0</v>
      </c>
      <c r="F85" s="3">
        <v>0.0</v>
      </c>
    </row>
    <row r="86" ht="12.75" customHeight="1">
      <c r="A86" s="1">
        <v>11.0</v>
      </c>
      <c r="B86" s="2">
        <v>8821646.0</v>
      </c>
      <c r="C86" s="1" t="s">
        <v>178</v>
      </c>
      <c r="D86" s="1" t="s">
        <v>186</v>
      </c>
      <c r="E86" s="3">
        <v>1.0</v>
      </c>
      <c r="F86" s="3">
        <v>0.0</v>
      </c>
    </row>
    <row r="87" ht="12.75" customHeight="1">
      <c r="A87" s="1">
        <v>10.0</v>
      </c>
      <c r="B87" s="2" t="s">
        <v>194</v>
      </c>
      <c r="C87" s="1" t="s">
        <v>143</v>
      </c>
      <c r="D87" s="1" t="s">
        <v>195</v>
      </c>
      <c r="E87" s="3">
        <v>1.0</v>
      </c>
      <c r="F87" s="3">
        <v>0.0</v>
      </c>
    </row>
    <row r="88" ht="12.75" customHeight="1">
      <c r="A88" s="1">
        <v>10.0</v>
      </c>
      <c r="B88" s="2">
        <v>1660106.0</v>
      </c>
      <c r="C88" s="1" t="s">
        <v>49</v>
      </c>
      <c r="D88" s="1" t="s">
        <v>193</v>
      </c>
      <c r="E88" s="3">
        <v>1.0</v>
      </c>
      <c r="F88" s="3">
        <v>0.0</v>
      </c>
    </row>
    <row r="89" ht="12.75" customHeight="1">
      <c r="A89" s="1">
        <v>10.0</v>
      </c>
      <c r="B89" s="2">
        <v>3550808.0</v>
      </c>
      <c r="C89" s="1" t="s">
        <v>191</v>
      </c>
      <c r="D89" s="1" t="s">
        <v>192</v>
      </c>
      <c r="E89" s="3">
        <v>1.0</v>
      </c>
      <c r="F89" s="3">
        <v>0.0</v>
      </c>
    </row>
    <row r="90" ht="12.75" customHeight="1">
      <c r="A90" s="1">
        <v>10.0</v>
      </c>
      <c r="B90" s="2">
        <v>5760104.0</v>
      </c>
      <c r="C90" s="1" t="s">
        <v>196</v>
      </c>
      <c r="D90" s="1" t="s">
        <v>197</v>
      </c>
      <c r="E90" s="3">
        <v>1.0</v>
      </c>
      <c r="F90" s="3">
        <v>0.0</v>
      </c>
    </row>
    <row r="91" ht="12.75" customHeight="1">
      <c r="A91" s="1">
        <v>10.0</v>
      </c>
      <c r="B91" s="2">
        <v>8050112.0</v>
      </c>
      <c r="C91" s="1" t="s">
        <v>6</v>
      </c>
      <c r="D91" s="1" t="s">
        <v>198</v>
      </c>
      <c r="E91" s="3">
        <v>1.0</v>
      </c>
      <c r="F91" s="3">
        <v>0.0</v>
      </c>
    </row>
    <row r="92" ht="12.75" customHeight="1">
      <c r="A92" s="1">
        <v>10.0</v>
      </c>
      <c r="B92" s="2">
        <v>8050602.0</v>
      </c>
      <c r="C92" s="1" t="s">
        <v>6</v>
      </c>
      <c r="D92" s="1" t="s">
        <v>199</v>
      </c>
      <c r="E92" s="3">
        <v>1.0</v>
      </c>
      <c r="F92" s="3">
        <v>0.0</v>
      </c>
    </row>
    <row r="93" ht="12.75" customHeight="1">
      <c r="A93" s="1">
        <v>10.0</v>
      </c>
      <c r="B93" s="2">
        <v>8050610.0</v>
      </c>
      <c r="C93" s="1" t="s">
        <v>6</v>
      </c>
      <c r="D93" s="1" t="s">
        <v>200</v>
      </c>
      <c r="E93" s="3">
        <v>1.0</v>
      </c>
      <c r="F93" s="3">
        <v>0.0</v>
      </c>
    </row>
    <row r="94" ht="12.75" customHeight="1">
      <c r="A94" s="1">
        <v>10.0</v>
      </c>
      <c r="B94" s="2">
        <v>8050902.0</v>
      </c>
      <c r="C94" s="1" t="s">
        <v>6</v>
      </c>
      <c r="D94" s="1" t="s">
        <v>201</v>
      </c>
      <c r="E94" s="3">
        <v>1.0</v>
      </c>
      <c r="F94" s="3">
        <v>0.0</v>
      </c>
    </row>
    <row r="95" ht="12.75" customHeight="1">
      <c r="A95" s="1">
        <v>9.0</v>
      </c>
      <c r="B95" s="2" t="s">
        <v>209</v>
      </c>
      <c r="C95" s="1" t="s">
        <v>133</v>
      </c>
      <c r="D95" s="1" t="s">
        <v>210</v>
      </c>
      <c r="E95" s="3">
        <v>1.0</v>
      </c>
      <c r="F95" s="3">
        <v>0.0</v>
      </c>
    </row>
    <row r="96" ht="12.75" customHeight="1">
      <c r="A96" s="1">
        <v>9.0</v>
      </c>
      <c r="B96" s="2">
        <v>1130847.0</v>
      </c>
      <c r="C96" s="1" t="s">
        <v>212</v>
      </c>
      <c r="D96" s="1" t="s">
        <v>213</v>
      </c>
      <c r="E96" s="3">
        <v>1.0</v>
      </c>
      <c r="F96" s="3">
        <v>0.0</v>
      </c>
    </row>
    <row r="97" ht="12.75" customHeight="1">
      <c r="A97" s="1">
        <v>9.0</v>
      </c>
      <c r="B97" s="2">
        <v>3800339.0</v>
      </c>
      <c r="C97" s="1" t="s">
        <v>37</v>
      </c>
      <c r="D97" s="1" t="s">
        <v>211</v>
      </c>
      <c r="E97" s="3">
        <v>1.0</v>
      </c>
      <c r="F97" s="3">
        <v>0.0</v>
      </c>
    </row>
    <row r="98" ht="12.75" customHeight="1">
      <c r="A98" s="1">
        <v>9.0</v>
      </c>
      <c r="B98" s="2">
        <v>3801517.0</v>
      </c>
      <c r="C98" s="1" t="s">
        <v>21</v>
      </c>
      <c r="D98" s="1" t="s">
        <v>205</v>
      </c>
      <c r="E98" s="3">
        <v>1.0</v>
      </c>
      <c r="F98" s="3">
        <v>0.0</v>
      </c>
    </row>
    <row r="99" ht="12.75" customHeight="1">
      <c r="A99" s="1">
        <v>9.0</v>
      </c>
      <c r="B99" s="2">
        <v>3802065.0</v>
      </c>
      <c r="C99" s="1" t="s">
        <v>25</v>
      </c>
      <c r="D99" s="1" t="s">
        <v>217</v>
      </c>
      <c r="E99" s="3">
        <v>1.0</v>
      </c>
      <c r="F99" s="3">
        <v>0.0</v>
      </c>
    </row>
    <row r="100" ht="12.75" customHeight="1">
      <c r="A100" s="1">
        <v>9.0</v>
      </c>
      <c r="B100" s="2">
        <v>3802504.0</v>
      </c>
      <c r="C100" s="1" t="s">
        <v>207</v>
      </c>
      <c r="D100" s="1" t="s">
        <v>208</v>
      </c>
      <c r="E100" s="3">
        <v>1.0</v>
      </c>
      <c r="F100" s="3">
        <v>0.0</v>
      </c>
    </row>
    <row r="101" ht="12.75" customHeight="1">
      <c r="A101" s="1">
        <v>9.0</v>
      </c>
      <c r="B101" s="2">
        <v>7090105.0</v>
      </c>
      <c r="C101" s="1" t="s">
        <v>112</v>
      </c>
      <c r="D101" s="1" t="s">
        <v>206</v>
      </c>
      <c r="E101" s="3">
        <v>1.0</v>
      </c>
      <c r="F101" s="3">
        <v>0.0</v>
      </c>
    </row>
    <row r="102" ht="12.75" customHeight="1">
      <c r="A102" s="1">
        <v>9.0</v>
      </c>
      <c r="B102" s="2">
        <v>8050102.0</v>
      </c>
      <c r="C102" s="1" t="s">
        <v>6</v>
      </c>
      <c r="D102" s="1" t="s">
        <v>214</v>
      </c>
      <c r="E102" s="3">
        <v>1.0</v>
      </c>
      <c r="F102" s="3">
        <v>0.0</v>
      </c>
    </row>
    <row r="103" ht="12.75" customHeight="1">
      <c r="A103" s="1">
        <v>9.0</v>
      </c>
      <c r="B103" s="2">
        <v>8050202.0</v>
      </c>
      <c r="C103" s="1" t="s">
        <v>6</v>
      </c>
      <c r="D103" s="1" t="s">
        <v>215</v>
      </c>
      <c r="E103" s="3">
        <v>1.0</v>
      </c>
      <c r="F103" s="3">
        <v>0.0</v>
      </c>
    </row>
    <row r="104" ht="12.75" customHeight="1">
      <c r="A104" s="1">
        <v>9.0</v>
      </c>
      <c r="B104" s="2">
        <v>8821649.0</v>
      </c>
      <c r="C104" s="1" t="s">
        <v>178</v>
      </c>
      <c r="D104" s="1" t="s">
        <v>216</v>
      </c>
      <c r="E104" s="3">
        <v>1.0</v>
      </c>
      <c r="F104" s="3">
        <v>0.0</v>
      </c>
    </row>
    <row r="105" ht="12.75" customHeight="1">
      <c r="A105" s="1">
        <v>8.0</v>
      </c>
      <c r="B105" s="2">
        <v>1130871.0</v>
      </c>
      <c r="C105" s="1" t="s">
        <v>227</v>
      </c>
      <c r="D105" s="1" t="s">
        <v>228</v>
      </c>
      <c r="E105" s="3">
        <v>1.0</v>
      </c>
      <c r="F105" s="3">
        <v>0.0</v>
      </c>
    </row>
    <row r="106" ht="12.75" customHeight="1">
      <c r="A106" s="1">
        <v>8.0</v>
      </c>
      <c r="B106" s="2">
        <v>3801262.0</v>
      </c>
      <c r="C106" s="1" t="s">
        <v>55</v>
      </c>
      <c r="D106" s="1" t="s">
        <v>224</v>
      </c>
      <c r="E106" s="3">
        <v>1.0</v>
      </c>
      <c r="F106" s="3">
        <v>0.0</v>
      </c>
    </row>
    <row r="107" ht="12.75" customHeight="1">
      <c r="A107" s="1">
        <v>8.0</v>
      </c>
      <c r="B107" s="2">
        <v>3801902.0</v>
      </c>
      <c r="C107" s="1" t="s">
        <v>25</v>
      </c>
      <c r="D107" s="1" t="s">
        <v>223</v>
      </c>
      <c r="E107" s="3">
        <v>1.0</v>
      </c>
      <c r="F107" s="3">
        <v>0.0</v>
      </c>
    </row>
    <row r="108" ht="12.75" customHeight="1">
      <c r="A108" s="1">
        <v>8.0</v>
      </c>
      <c r="B108" s="2" t="s">
        <v>225</v>
      </c>
      <c r="C108" s="1" t="s">
        <v>25</v>
      </c>
      <c r="D108" s="1" t="s">
        <v>226</v>
      </c>
      <c r="E108" s="3">
        <v>1.0</v>
      </c>
      <c r="F108" s="3">
        <v>0.0</v>
      </c>
    </row>
    <row r="109" ht="12.75" customHeight="1">
      <c r="A109" s="1">
        <v>8.0</v>
      </c>
      <c r="B109" s="2">
        <v>7090103.0</v>
      </c>
      <c r="C109" s="1" t="s">
        <v>112</v>
      </c>
      <c r="D109" s="1" t="s">
        <v>222</v>
      </c>
      <c r="E109" s="3">
        <v>1.0</v>
      </c>
      <c r="F109" s="3">
        <v>0.0</v>
      </c>
    </row>
    <row r="110" ht="12.75" customHeight="1">
      <c r="A110" s="1">
        <v>7.0</v>
      </c>
      <c r="B110" s="2" t="s">
        <v>238</v>
      </c>
      <c r="C110" s="1" t="s">
        <v>143</v>
      </c>
      <c r="D110" s="1" t="s">
        <v>239</v>
      </c>
      <c r="E110" s="3">
        <v>1.0</v>
      </c>
      <c r="F110" s="3">
        <v>0.0</v>
      </c>
    </row>
    <row r="111" ht="12.75" customHeight="1">
      <c r="A111" s="1">
        <v>7.0</v>
      </c>
      <c r="B111" s="2">
        <v>780132.0</v>
      </c>
      <c r="C111" s="1" t="s">
        <v>245</v>
      </c>
      <c r="D111" s="1" t="s">
        <v>246</v>
      </c>
      <c r="E111" s="3">
        <v>1.0</v>
      </c>
      <c r="F111" s="3">
        <v>0.0</v>
      </c>
    </row>
    <row r="112" ht="12.75" customHeight="1">
      <c r="A112" s="1">
        <v>7.0</v>
      </c>
      <c r="B112" s="2">
        <v>1240104.0</v>
      </c>
      <c r="C112" s="1" t="s">
        <v>234</v>
      </c>
      <c r="D112" s="1" t="s">
        <v>235</v>
      </c>
      <c r="E112" s="3">
        <v>1.0</v>
      </c>
      <c r="F112" s="3">
        <v>0.0</v>
      </c>
    </row>
    <row r="113" ht="12.75" customHeight="1">
      <c r="A113" s="1">
        <v>7.0</v>
      </c>
      <c r="B113" s="2">
        <v>1360312.0</v>
      </c>
      <c r="C113" s="1" t="s">
        <v>18</v>
      </c>
      <c r="D113" s="1" t="s">
        <v>241</v>
      </c>
      <c r="E113" s="3">
        <v>1.0</v>
      </c>
      <c r="F113" s="3">
        <v>0.0</v>
      </c>
    </row>
    <row r="114" ht="12.75" customHeight="1">
      <c r="A114" s="1">
        <v>7.0</v>
      </c>
      <c r="B114" s="2">
        <v>1660207.0</v>
      </c>
      <c r="C114" s="1" t="s">
        <v>66</v>
      </c>
      <c r="D114" s="1" t="s">
        <v>237</v>
      </c>
      <c r="E114" s="3">
        <v>1.0</v>
      </c>
      <c r="F114" s="3">
        <v>0.0</v>
      </c>
    </row>
    <row r="115" ht="12.75" customHeight="1">
      <c r="A115" s="1">
        <v>7.0</v>
      </c>
      <c r="B115" s="2">
        <v>3801265.0</v>
      </c>
      <c r="C115" s="1" t="s">
        <v>242</v>
      </c>
      <c r="D115" s="1" t="s">
        <v>243</v>
      </c>
      <c r="E115" s="3">
        <v>1.0</v>
      </c>
      <c r="F115" s="3">
        <v>0.0</v>
      </c>
    </row>
    <row r="116" ht="12.75" customHeight="1">
      <c r="A116" s="1">
        <v>7.0</v>
      </c>
      <c r="B116" s="2">
        <v>3801512.0</v>
      </c>
      <c r="C116" s="1" t="s">
        <v>21</v>
      </c>
      <c r="D116" s="1" t="s">
        <v>233</v>
      </c>
      <c r="E116" s="3">
        <v>1.0</v>
      </c>
      <c r="F116" s="3">
        <v>0.0</v>
      </c>
    </row>
    <row r="117" ht="12.75" customHeight="1">
      <c r="A117" s="1">
        <v>7.0</v>
      </c>
      <c r="B117" s="2">
        <v>3801925.0</v>
      </c>
      <c r="C117" s="1" t="s">
        <v>25</v>
      </c>
      <c r="D117" s="1" t="s">
        <v>240</v>
      </c>
      <c r="E117" s="3">
        <v>1.0</v>
      </c>
      <c r="F117" s="3">
        <v>0.0</v>
      </c>
    </row>
    <row r="118" ht="12.75" customHeight="1">
      <c r="A118" s="1">
        <v>7.0</v>
      </c>
      <c r="B118" s="2">
        <v>3802055.0</v>
      </c>
      <c r="C118" s="1" t="s">
        <v>25</v>
      </c>
      <c r="D118" s="1" t="s">
        <v>248</v>
      </c>
      <c r="E118" s="3">
        <v>1.0</v>
      </c>
      <c r="F118" s="3">
        <v>0.0</v>
      </c>
    </row>
    <row r="119" ht="12.75" customHeight="1">
      <c r="A119" s="1">
        <v>7.0</v>
      </c>
      <c r="B119" s="2">
        <v>3802060.0</v>
      </c>
      <c r="C119" s="1" t="s">
        <v>25</v>
      </c>
      <c r="D119" s="1" t="s">
        <v>247</v>
      </c>
      <c r="E119" s="3">
        <v>1.0</v>
      </c>
      <c r="F119" s="3">
        <v>0.0</v>
      </c>
    </row>
    <row r="120" ht="12.75" customHeight="1">
      <c r="A120" s="1">
        <v>7.0</v>
      </c>
      <c r="B120" s="2">
        <v>3802506.0</v>
      </c>
      <c r="C120" s="1" t="s">
        <v>207</v>
      </c>
      <c r="D120" s="1" t="s">
        <v>236</v>
      </c>
      <c r="E120" s="3">
        <v>1.0</v>
      </c>
      <c r="F120" s="3">
        <v>0.0</v>
      </c>
    </row>
    <row r="121" ht="12.75" customHeight="1">
      <c r="A121" s="1">
        <v>7.0</v>
      </c>
      <c r="B121" s="2">
        <v>5760103.0</v>
      </c>
      <c r="C121" s="1" t="s">
        <v>196</v>
      </c>
      <c r="D121" s="1" t="s">
        <v>244</v>
      </c>
      <c r="E121" s="3">
        <v>1.0</v>
      </c>
      <c r="F121" s="3">
        <v>0.0</v>
      </c>
    </row>
    <row r="122" ht="12.75" customHeight="1">
      <c r="A122" s="1">
        <v>6.0</v>
      </c>
      <c r="B122" s="2">
        <v>1403008.0</v>
      </c>
      <c r="C122" s="1" t="s">
        <v>269</v>
      </c>
      <c r="D122" s="1" t="s">
        <v>270</v>
      </c>
      <c r="E122" s="3">
        <v>1.0</v>
      </c>
      <c r="F122" s="3">
        <v>0.0</v>
      </c>
    </row>
    <row r="123" ht="12.75" customHeight="1">
      <c r="A123" s="1">
        <v>6.0</v>
      </c>
      <c r="B123" s="2">
        <v>1660107.0</v>
      </c>
      <c r="C123" s="1" t="s">
        <v>49</v>
      </c>
      <c r="D123" s="1" t="s">
        <v>263</v>
      </c>
      <c r="E123" s="3">
        <v>1.0</v>
      </c>
      <c r="F123" s="3">
        <v>0.0</v>
      </c>
    </row>
    <row r="124" ht="12.75" customHeight="1">
      <c r="A124" s="1">
        <v>6.0</v>
      </c>
      <c r="B124" s="2">
        <v>1660212.0</v>
      </c>
      <c r="C124" s="1" t="s">
        <v>49</v>
      </c>
      <c r="D124" s="1" t="s">
        <v>259</v>
      </c>
      <c r="E124" s="3">
        <v>1.0</v>
      </c>
      <c r="F124" s="3">
        <v>0.0</v>
      </c>
    </row>
    <row r="125" ht="12.75" customHeight="1">
      <c r="A125" s="1">
        <v>6.0</v>
      </c>
      <c r="B125" s="2">
        <v>1660302.0</v>
      </c>
      <c r="C125" s="1" t="s">
        <v>49</v>
      </c>
      <c r="D125" s="1" t="s">
        <v>276</v>
      </c>
      <c r="E125" s="3">
        <v>1.0</v>
      </c>
      <c r="F125" s="3">
        <v>0.0</v>
      </c>
    </row>
    <row r="126" ht="12.75" customHeight="1">
      <c r="A126" s="1">
        <v>6.0</v>
      </c>
      <c r="B126" s="2">
        <v>3800360.0</v>
      </c>
      <c r="C126" s="1" t="s">
        <v>37</v>
      </c>
      <c r="D126" s="1" t="s">
        <v>257</v>
      </c>
      <c r="E126" s="3">
        <v>1.0</v>
      </c>
      <c r="F126" s="3">
        <v>0.0</v>
      </c>
    </row>
    <row r="127" ht="12.75" customHeight="1">
      <c r="A127" s="1">
        <v>6.0</v>
      </c>
      <c r="B127" s="2">
        <v>3801548.0</v>
      </c>
      <c r="C127" s="1" t="s">
        <v>47</v>
      </c>
      <c r="D127" s="1" t="s">
        <v>258</v>
      </c>
      <c r="E127" s="3">
        <v>1.0</v>
      </c>
      <c r="F127" s="3">
        <v>0.0</v>
      </c>
    </row>
    <row r="128" ht="12.75" customHeight="1">
      <c r="A128" s="1">
        <v>6.0</v>
      </c>
      <c r="B128" s="2">
        <v>3801920.0</v>
      </c>
      <c r="C128" s="1" t="s">
        <v>25</v>
      </c>
      <c r="D128" s="1" t="s">
        <v>275</v>
      </c>
      <c r="E128" s="3">
        <v>1.0</v>
      </c>
      <c r="F128" s="3">
        <v>0.0</v>
      </c>
    </row>
    <row r="129" ht="12.75" customHeight="1">
      <c r="A129" s="1">
        <v>6.0</v>
      </c>
      <c r="B129" s="2">
        <v>3801950.0</v>
      </c>
      <c r="C129" s="1" t="s">
        <v>25</v>
      </c>
      <c r="D129" s="1" t="s">
        <v>268</v>
      </c>
      <c r="E129" s="3">
        <v>1.0</v>
      </c>
      <c r="F129" s="3">
        <v>0.0</v>
      </c>
    </row>
    <row r="130" ht="12.75" customHeight="1">
      <c r="A130" s="1">
        <v>6.0</v>
      </c>
      <c r="B130" s="2" t="s">
        <v>265</v>
      </c>
      <c r="C130" s="1" t="s">
        <v>266</v>
      </c>
      <c r="D130" s="1" t="s">
        <v>267</v>
      </c>
      <c r="E130" s="3">
        <v>1.0</v>
      </c>
      <c r="F130" s="3">
        <v>0.0</v>
      </c>
    </row>
    <row r="131" ht="12.75" customHeight="1">
      <c r="A131" s="1">
        <v>6.0</v>
      </c>
      <c r="B131" s="2" t="s">
        <v>260</v>
      </c>
      <c r="C131" s="1" t="s">
        <v>261</v>
      </c>
      <c r="D131" s="1" t="s">
        <v>262</v>
      </c>
      <c r="E131" s="3">
        <v>1.0</v>
      </c>
      <c r="F131" s="3">
        <v>0.0</v>
      </c>
    </row>
    <row r="132" ht="12.75" customHeight="1">
      <c r="A132" s="1">
        <v>6.0</v>
      </c>
      <c r="B132" s="2">
        <v>5760102.0</v>
      </c>
      <c r="C132" s="1" t="s">
        <v>196</v>
      </c>
      <c r="D132" s="1" t="s">
        <v>271</v>
      </c>
      <c r="E132" s="3">
        <v>1.0</v>
      </c>
      <c r="F132" s="3">
        <v>0.0</v>
      </c>
    </row>
    <row r="133" ht="12.75" customHeight="1">
      <c r="A133" s="1">
        <v>6.0</v>
      </c>
      <c r="B133" s="2">
        <v>8050147.0</v>
      </c>
      <c r="C133" s="1" t="s">
        <v>6</v>
      </c>
      <c r="D133" s="1" t="s">
        <v>274</v>
      </c>
      <c r="E133" s="3">
        <v>1.0</v>
      </c>
      <c r="F133" s="3">
        <v>0.0</v>
      </c>
    </row>
    <row r="134" ht="12.75" customHeight="1">
      <c r="A134" s="1">
        <v>6.0</v>
      </c>
      <c r="B134" s="2">
        <v>8321510.0</v>
      </c>
      <c r="C134" s="1" t="s">
        <v>278</v>
      </c>
      <c r="D134" s="1" t="s">
        <v>279</v>
      </c>
      <c r="E134" s="3">
        <v>1.0</v>
      </c>
      <c r="F134" s="3">
        <v>0.0</v>
      </c>
    </row>
    <row r="135" ht="12.75" customHeight="1">
      <c r="A135" s="1">
        <v>6.0</v>
      </c>
      <c r="B135" s="2">
        <v>8821640.0</v>
      </c>
      <c r="C135" s="1" t="s">
        <v>173</v>
      </c>
      <c r="D135" s="1" t="s">
        <v>264</v>
      </c>
      <c r="E135" s="3">
        <v>1.0</v>
      </c>
      <c r="F135" s="3">
        <v>0.0</v>
      </c>
    </row>
    <row r="136" ht="12.75" customHeight="1">
      <c r="A136" s="1">
        <v>6.0</v>
      </c>
      <c r="B136" s="2">
        <v>8821643.0</v>
      </c>
      <c r="C136" s="1" t="s">
        <v>178</v>
      </c>
      <c r="D136" s="1" t="s">
        <v>277</v>
      </c>
      <c r="E136" s="3">
        <v>1.0</v>
      </c>
      <c r="F136" s="3">
        <v>0.0</v>
      </c>
    </row>
    <row r="137" ht="12.75" customHeight="1">
      <c r="A137" s="1">
        <v>6.0</v>
      </c>
      <c r="B137" s="2">
        <v>9820213.0</v>
      </c>
      <c r="C137" s="1" t="s">
        <v>272</v>
      </c>
      <c r="D137" s="1" t="s">
        <v>273</v>
      </c>
      <c r="E137" s="3">
        <v>1.0</v>
      </c>
      <c r="F137" s="3">
        <v>0.0</v>
      </c>
    </row>
    <row r="138" ht="12.75" customHeight="1">
      <c r="A138" s="1">
        <v>5.0</v>
      </c>
      <c r="B138" s="2" t="s">
        <v>299</v>
      </c>
      <c r="C138" s="1" t="s">
        <v>21</v>
      </c>
      <c r="D138" s="1" t="s">
        <v>300</v>
      </c>
      <c r="E138" s="3">
        <v>1.0</v>
      </c>
      <c r="F138" s="3">
        <v>0.0</v>
      </c>
    </row>
    <row r="139" ht="12.75" customHeight="1">
      <c r="A139" s="1">
        <v>5.0</v>
      </c>
      <c r="B139" s="2" t="s">
        <v>306</v>
      </c>
      <c r="C139" s="1" t="s">
        <v>229</v>
      </c>
      <c r="D139" s="1" t="s">
        <v>307</v>
      </c>
      <c r="E139" s="3">
        <v>1.0</v>
      </c>
      <c r="F139" s="3">
        <v>0.0</v>
      </c>
    </row>
    <row r="140" ht="12.75" customHeight="1">
      <c r="A140" s="1">
        <v>5.0</v>
      </c>
      <c r="B140" s="2" t="s">
        <v>290</v>
      </c>
      <c r="C140" s="1" t="s">
        <v>155</v>
      </c>
      <c r="D140" s="1" t="s">
        <v>291</v>
      </c>
      <c r="E140" s="3">
        <v>1.0</v>
      </c>
      <c r="F140" s="3">
        <v>0.0</v>
      </c>
    </row>
    <row r="141" ht="12.75" customHeight="1">
      <c r="A141" s="1">
        <v>5.0</v>
      </c>
      <c r="B141" s="2" t="s">
        <v>301</v>
      </c>
      <c r="C141" s="1" t="s">
        <v>302</v>
      </c>
      <c r="D141" s="1" t="s">
        <v>303</v>
      </c>
      <c r="E141" s="3">
        <v>1.0</v>
      </c>
      <c r="F141" s="3">
        <v>0.0</v>
      </c>
    </row>
    <row r="142" ht="12.75" customHeight="1">
      <c r="A142" s="1">
        <v>5.0</v>
      </c>
      <c r="B142" s="2" t="s">
        <v>324</v>
      </c>
      <c r="C142" s="1" t="s">
        <v>325</v>
      </c>
      <c r="D142" s="1" t="s">
        <v>326</v>
      </c>
      <c r="E142" s="3">
        <v>1.0</v>
      </c>
      <c r="F142" s="3">
        <v>0.0</v>
      </c>
    </row>
    <row r="143" ht="12.75" customHeight="1">
      <c r="A143" s="1">
        <v>5.0</v>
      </c>
      <c r="B143" s="2">
        <v>3800348.0</v>
      </c>
      <c r="C143" s="1" t="s">
        <v>37</v>
      </c>
      <c r="D143" s="1">
        <v>604.0</v>
      </c>
      <c r="E143" s="3">
        <v>1.0</v>
      </c>
      <c r="F143" s="3">
        <v>0.0</v>
      </c>
    </row>
    <row r="144" ht="12.75" customHeight="1">
      <c r="A144" s="1">
        <v>5.0</v>
      </c>
      <c r="B144" s="2">
        <v>3801208.0</v>
      </c>
      <c r="C144" s="1" t="s">
        <v>55</v>
      </c>
      <c r="D144" s="1" t="s">
        <v>319</v>
      </c>
      <c r="E144" s="3">
        <v>1.0</v>
      </c>
      <c r="F144" s="3">
        <v>0.0</v>
      </c>
    </row>
    <row r="145" ht="12.75" customHeight="1">
      <c r="A145" s="1">
        <v>5.0</v>
      </c>
      <c r="B145" s="2">
        <v>3801361.0</v>
      </c>
      <c r="C145" s="1" t="s">
        <v>312</v>
      </c>
      <c r="D145" s="1" t="s">
        <v>314</v>
      </c>
      <c r="E145" s="3">
        <v>1.0</v>
      </c>
      <c r="F145" s="3">
        <v>0.0</v>
      </c>
    </row>
    <row r="146" ht="12.75" customHeight="1">
      <c r="A146" s="1">
        <v>5.0</v>
      </c>
      <c r="B146" s="2">
        <v>3801365.0</v>
      </c>
      <c r="C146" s="1" t="s">
        <v>312</v>
      </c>
      <c r="D146" s="1" t="s">
        <v>313</v>
      </c>
      <c r="E146" s="3">
        <v>1.0</v>
      </c>
      <c r="F146" s="3">
        <v>0.0</v>
      </c>
    </row>
    <row r="147" ht="12.75" customHeight="1">
      <c r="A147" s="1">
        <v>5.0</v>
      </c>
      <c r="B147" s="2">
        <v>3801503.0</v>
      </c>
      <c r="C147" s="1" t="s">
        <v>21</v>
      </c>
      <c r="D147" s="1" t="s">
        <v>298</v>
      </c>
      <c r="E147" s="3">
        <v>1.0</v>
      </c>
      <c r="F147" s="3">
        <v>0.0</v>
      </c>
    </row>
    <row r="148" ht="12.75" customHeight="1">
      <c r="A148" s="1">
        <v>5.0</v>
      </c>
      <c r="B148" s="2">
        <v>3801507.0</v>
      </c>
      <c r="C148" s="1" t="s">
        <v>21</v>
      </c>
      <c r="D148" s="1" t="s">
        <v>297</v>
      </c>
      <c r="E148" s="3">
        <v>1.0</v>
      </c>
      <c r="F148" s="3">
        <v>0.0</v>
      </c>
    </row>
    <row r="149" ht="12.75" customHeight="1">
      <c r="A149" s="1">
        <v>5.0</v>
      </c>
      <c r="B149" s="2">
        <v>3801543.0</v>
      </c>
      <c r="C149" s="1" t="s">
        <v>47</v>
      </c>
      <c r="D149" s="1" t="s">
        <v>294</v>
      </c>
      <c r="E149" s="3">
        <v>1.0</v>
      </c>
      <c r="F149" s="3">
        <v>0.0</v>
      </c>
    </row>
    <row r="150" ht="12.75" customHeight="1">
      <c r="A150" s="1">
        <v>5.0</v>
      </c>
      <c r="B150" s="2" t="s">
        <v>292</v>
      </c>
      <c r="C150" s="1" t="s">
        <v>21</v>
      </c>
      <c r="D150" s="1" t="s">
        <v>293</v>
      </c>
      <c r="E150" s="3">
        <v>1.0</v>
      </c>
      <c r="F150" s="3">
        <v>0.0</v>
      </c>
    </row>
    <row r="151" ht="12.75" customHeight="1">
      <c r="A151" s="1">
        <v>5.0</v>
      </c>
      <c r="B151" s="2" t="s">
        <v>295</v>
      </c>
      <c r="C151" s="1" t="s">
        <v>21</v>
      </c>
      <c r="D151" s="1" t="s">
        <v>296</v>
      </c>
      <c r="E151" s="3">
        <v>1.0</v>
      </c>
      <c r="F151" s="3">
        <v>0.0</v>
      </c>
    </row>
    <row r="152" ht="12.75" customHeight="1">
      <c r="A152" s="1">
        <v>5.0</v>
      </c>
      <c r="B152" s="2">
        <v>3801945.0</v>
      </c>
      <c r="C152" s="1" t="s">
        <v>25</v>
      </c>
      <c r="D152" s="1" t="s">
        <v>327</v>
      </c>
      <c r="E152" s="3">
        <v>1.0</v>
      </c>
      <c r="F152" s="3">
        <v>0.0</v>
      </c>
    </row>
    <row r="153" ht="12.75" customHeight="1">
      <c r="A153" s="1">
        <v>5.0</v>
      </c>
      <c r="B153" s="2">
        <v>3802050.0</v>
      </c>
      <c r="C153" s="1" t="s">
        <v>266</v>
      </c>
      <c r="D153" s="1" t="s">
        <v>328</v>
      </c>
      <c r="E153" s="3">
        <v>1.0</v>
      </c>
      <c r="F153" s="3">
        <v>0.0</v>
      </c>
    </row>
    <row r="154" ht="12.75" customHeight="1">
      <c r="A154" s="1">
        <v>5.0</v>
      </c>
      <c r="B154" s="2">
        <v>3802660.0</v>
      </c>
      <c r="C154" s="1" t="s">
        <v>305</v>
      </c>
      <c r="D154" s="1" t="s">
        <v>163</v>
      </c>
      <c r="E154" s="3">
        <v>1.0</v>
      </c>
      <c r="F154" s="3">
        <v>0.0</v>
      </c>
    </row>
    <row r="155" ht="12.75" customHeight="1">
      <c r="A155" s="1">
        <v>5.0</v>
      </c>
      <c r="B155" s="2">
        <v>4490106.0</v>
      </c>
      <c r="C155" s="1" t="s">
        <v>310</v>
      </c>
      <c r="D155" s="1" t="s">
        <v>311</v>
      </c>
      <c r="E155" s="3">
        <v>1.0</v>
      </c>
      <c r="F155" s="3">
        <v>0.0</v>
      </c>
    </row>
    <row r="156" ht="12.75" customHeight="1">
      <c r="A156" s="1">
        <v>5.0</v>
      </c>
      <c r="B156" s="2">
        <v>5100102.0</v>
      </c>
      <c r="C156" s="1" t="s">
        <v>317</v>
      </c>
      <c r="D156" s="1" t="s">
        <v>318</v>
      </c>
      <c r="E156" s="3">
        <v>1.0</v>
      </c>
      <c r="F156" s="3">
        <v>0.0</v>
      </c>
    </row>
    <row r="157" ht="12.75" customHeight="1">
      <c r="A157" s="1">
        <v>5.0</v>
      </c>
      <c r="B157" s="2">
        <v>5100202.0</v>
      </c>
      <c r="C157" s="1" t="s">
        <v>315</v>
      </c>
      <c r="D157" s="1" t="s">
        <v>316</v>
      </c>
      <c r="E157" s="3">
        <v>1.0</v>
      </c>
      <c r="F157" s="3">
        <v>0.0</v>
      </c>
    </row>
    <row r="158" ht="12.75" customHeight="1">
      <c r="A158" s="1">
        <v>5.0</v>
      </c>
      <c r="B158" s="2">
        <v>8050104.0</v>
      </c>
      <c r="C158" s="1" t="s">
        <v>6</v>
      </c>
      <c r="D158" s="1" t="s">
        <v>320</v>
      </c>
      <c r="E158" s="3">
        <v>1.0</v>
      </c>
      <c r="F158" s="3">
        <v>0.0</v>
      </c>
    </row>
    <row r="159" ht="12.75" customHeight="1">
      <c r="A159" s="1">
        <v>5.0</v>
      </c>
      <c r="B159" s="2">
        <v>8050108.0</v>
      </c>
      <c r="C159" s="1" t="s">
        <v>6</v>
      </c>
      <c r="D159" s="1" t="s">
        <v>321</v>
      </c>
      <c r="E159" s="3">
        <v>1.0</v>
      </c>
      <c r="F159" s="3">
        <v>0.0</v>
      </c>
    </row>
    <row r="160" ht="12.75" customHeight="1">
      <c r="A160" s="1">
        <v>5.0</v>
      </c>
      <c r="B160" s="2">
        <v>8050110.0</v>
      </c>
      <c r="C160" s="1" t="s">
        <v>6</v>
      </c>
      <c r="D160" s="1" t="s">
        <v>322</v>
      </c>
      <c r="E160" s="3">
        <v>1.0</v>
      </c>
      <c r="F160" s="3">
        <v>0.0</v>
      </c>
    </row>
    <row r="161" ht="12.75" customHeight="1">
      <c r="A161" s="1">
        <v>5.0</v>
      </c>
      <c r="B161" s="2">
        <v>8050614.0</v>
      </c>
      <c r="C161" s="1" t="s">
        <v>6</v>
      </c>
      <c r="D161" s="1" t="s">
        <v>323</v>
      </c>
      <c r="E161" s="3">
        <v>1.0</v>
      </c>
      <c r="F161" s="3">
        <v>0.0</v>
      </c>
    </row>
    <row r="162" ht="12.75" customHeight="1">
      <c r="A162" s="1">
        <v>5.0</v>
      </c>
      <c r="B162" s="2">
        <v>8320602.0</v>
      </c>
      <c r="C162" s="1" t="s">
        <v>278</v>
      </c>
      <c r="D162" s="1" t="s">
        <v>304</v>
      </c>
      <c r="E162" s="3">
        <v>1.0</v>
      </c>
      <c r="F162" s="3">
        <v>0.0</v>
      </c>
    </row>
    <row r="163" ht="12.75" customHeight="1">
      <c r="A163" s="1">
        <v>5.0</v>
      </c>
      <c r="B163" s="2">
        <v>8500101.0</v>
      </c>
      <c r="C163" s="1" t="s">
        <v>308</v>
      </c>
      <c r="D163" s="1" t="s">
        <v>309</v>
      </c>
      <c r="E163" s="3">
        <v>1.0</v>
      </c>
      <c r="F163" s="3">
        <v>0.0</v>
      </c>
    </row>
    <row r="164" ht="12.75" customHeight="1">
      <c r="A164" s="1">
        <v>5.0</v>
      </c>
      <c r="B164" s="2">
        <v>9820211.0</v>
      </c>
      <c r="C164" s="1" t="s">
        <v>32</v>
      </c>
      <c r="D164" s="1" t="s">
        <v>273</v>
      </c>
      <c r="E164" s="3">
        <v>1.0</v>
      </c>
      <c r="F164" s="3">
        <v>0.0</v>
      </c>
    </row>
    <row r="165" ht="12.75" customHeight="1">
      <c r="A165" s="1">
        <v>4.0</v>
      </c>
      <c r="B165" s="2">
        <v>130202.0</v>
      </c>
      <c r="C165" s="1" t="s">
        <v>374</v>
      </c>
      <c r="D165" s="1" t="s">
        <v>375</v>
      </c>
      <c r="E165" s="3">
        <v>1.0</v>
      </c>
      <c r="F165" s="3">
        <v>0.0</v>
      </c>
    </row>
    <row r="166" ht="12.75" customHeight="1">
      <c r="A166" s="1">
        <v>4.0</v>
      </c>
      <c r="B166" s="2" t="s">
        <v>358</v>
      </c>
      <c r="C166" s="1" t="s">
        <v>359</v>
      </c>
      <c r="D166" s="1" t="s">
        <v>357</v>
      </c>
      <c r="E166" s="3">
        <v>1.0</v>
      </c>
      <c r="F166" s="3">
        <v>0.0</v>
      </c>
    </row>
    <row r="167" ht="12.75" customHeight="1">
      <c r="A167" s="1">
        <v>4.0</v>
      </c>
      <c r="B167" s="2">
        <v>561192.0</v>
      </c>
      <c r="C167" s="1" t="s">
        <v>348</v>
      </c>
      <c r="D167" s="1" t="s">
        <v>349</v>
      </c>
      <c r="E167" s="3">
        <v>1.0</v>
      </c>
      <c r="F167" s="3">
        <v>0.0</v>
      </c>
    </row>
    <row r="168" ht="12.75" customHeight="1">
      <c r="A168" s="1">
        <v>4.0</v>
      </c>
      <c r="B168" s="2" t="s">
        <v>351</v>
      </c>
      <c r="C168" s="1" t="s">
        <v>352</v>
      </c>
      <c r="D168" s="1" t="s">
        <v>353</v>
      </c>
      <c r="E168" s="3">
        <v>1.0</v>
      </c>
      <c r="F168" s="3">
        <v>0.0</v>
      </c>
    </row>
    <row r="169" ht="12.75" customHeight="1">
      <c r="A169" s="1">
        <v>4.0</v>
      </c>
      <c r="B169" s="2">
        <v>1360305.0</v>
      </c>
      <c r="C169" s="1" t="s">
        <v>18</v>
      </c>
      <c r="D169" s="1" t="s">
        <v>354</v>
      </c>
      <c r="E169" s="3">
        <v>1.0</v>
      </c>
      <c r="F169" s="3">
        <v>0.0</v>
      </c>
    </row>
    <row r="170" ht="12.75" customHeight="1">
      <c r="A170" s="1">
        <v>4.0</v>
      </c>
      <c r="B170" s="2">
        <v>1403004.0</v>
      </c>
      <c r="C170" s="1" t="s">
        <v>269</v>
      </c>
      <c r="D170" s="1" t="s">
        <v>363</v>
      </c>
      <c r="E170" s="3">
        <v>1.0</v>
      </c>
      <c r="F170" s="3">
        <v>0.0</v>
      </c>
    </row>
    <row r="171" ht="12.75" customHeight="1">
      <c r="A171" s="1">
        <v>4.0</v>
      </c>
      <c r="B171" s="2">
        <v>1660109.0</v>
      </c>
      <c r="C171" s="1" t="s">
        <v>66</v>
      </c>
      <c r="D171" s="1" t="s">
        <v>347</v>
      </c>
      <c r="E171" s="3">
        <v>1.0</v>
      </c>
      <c r="F171" s="3">
        <v>0.0</v>
      </c>
    </row>
    <row r="172" ht="12.75" customHeight="1">
      <c r="A172" s="1">
        <v>4.0</v>
      </c>
      <c r="B172" s="2">
        <v>1660211.0</v>
      </c>
      <c r="C172" s="1" t="s">
        <v>66</v>
      </c>
      <c r="D172" s="1" t="s">
        <v>51</v>
      </c>
      <c r="E172" s="3">
        <v>1.0</v>
      </c>
      <c r="F172" s="3">
        <v>0.0</v>
      </c>
    </row>
    <row r="173" ht="12.75" customHeight="1">
      <c r="A173" s="1">
        <v>4.0</v>
      </c>
      <c r="B173" s="2">
        <v>1660306.0</v>
      </c>
      <c r="C173" s="1" t="s">
        <v>49</v>
      </c>
      <c r="D173" s="1" t="s">
        <v>366</v>
      </c>
      <c r="E173" s="3">
        <v>1.0</v>
      </c>
      <c r="F173" s="3">
        <v>0.0</v>
      </c>
    </row>
    <row r="174" ht="12.75" customHeight="1">
      <c r="A174" s="1">
        <v>4.0</v>
      </c>
      <c r="B174" s="2">
        <v>1660311.0</v>
      </c>
      <c r="C174" s="1" t="s">
        <v>370</v>
      </c>
      <c r="D174" s="1" t="s">
        <v>371</v>
      </c>
      <c r="E174" s="3">
        <v>1.0</v>
      </c>
      <c r="F174" s="3">
        <v>0.0</v>
      </c>
    </row>
    <row r="175" ht="12.75" customHeight="1">
      <c r="A175" s="1">
        <v>4.0</v>
      </c>
      <c r="B175" s="2">
        <v>3550812.0</v>
      </c>
      <c r="C175" s="1" t="s">
        <v>191</v>
      </c>
      <c r="D175" s="1" t="s">
        <v>350</v>
      </c>
      <c r="E175" s="3">
        <v>1.0</v>
      </c>
      <c r="F175" s="3">
        <v>0.0</v>
      </c>
    </row>
    <row r="176" ht="12.75" customHeight="1">
      <c r="A176" s="1">
        <v>4.0</v>
      </c>
      <c r="B176" s="2">
        <v>3801263.0</v>
      </c>
      <c r="C176" s="1" t="s">
        <v>55</v>
      </c>
      <c r="D176" s="1" t="s">
        <v>355</v>
      </c>
      <c r="E176" s="3">
        <v>1.0</v>
      </c>
      <c r="F176" s="3">
        <v>0.0</v>
      </c>
    </row>
    <row r="177" ht="12.75" customHeight="1">
      <c r="A177" s="1">
        <v>4.0</v>
      </c>
      <c r="B177" s="2">
        <v>3801315.0</v>
      </c>
      <c r="C177" s="1" t="s">
        <v>312</v>
      </c>
      <c r="D177" s="1" t="s">
        <v>344</v>
      </c>
      <c r="E177" s="3">
        <v>1.0</v>
      </c>
      <c r="F177" s="3">
        <v>0.0</v>
      </c>
    </row>
    <row r="178" ht="12.75" customHeight="1">
      <c r="A178" s="1">
        <v>4.0</v>
      </c>
      <c r="B178" s="2">
        <v>3801908.0</v>
      </c>
      <c r="C178" s="1" t="s">
        <v>346</v>
      </c>
      <c r="D178" s="1" t="s">
        <v>96</v>
      </c>
      <c r="E178" s="3">
        <v>1.0</v>
      </c>
      <c r="F178" s="3">
        <v>0.0</v>
      </c>
    </row>
    <row r="179" ht="12.75" customHeight="1">
      <c r="A179" s="1">
        <v>4.0</v>
      </c>
      <c r="B179" s="2">
        <v>3801960.0</v>
      </c>
      <c r="C179" s="1" t="s">
        <v>25</v>
      </c>
      <c r="D179" s="1" t="s">
        <v>362</v>
      </c>
      <c r="E179" s="3">
        <v>1.0</v>
      </c>
      <c r="F179" s="3">
        <v>0.0</v>
      </c>
    </row>
    <row r="180" ht="12.75" customHeight="1">
      <c r="A180" s="1">
        <v>4.0</v>
      </c>
      <c r="B180" s="2" t="s">
        <v>360</v>
      </c>
      <c r="C180" s="1" t="s">
        <v>25</v>
      </c>
      <c r="D180" s="1" t="s">
        <v>361</v>
      </c>
      <c r="E180" s="3">
        <v>1.0</v>
      </c>
      <c r="F180" s="3">
        <v>0.0</v>
      </c>
    </row>
    <row r="181" ht="12.75" customHeight="1">
      <c r="A181" s="1">
        <v>4.0</v>
      </c>
      <c r="B181" s="2">
        <v>3802052.0</v>
      </c>
      <c r="C181" s="1" t="s">
        <v>25</v>
      </c>
      <c r="D181" s="1" t="s">
        <v>373</v>
      </c>
      <c r="E181" s="3">
        <v>1.0</v>
      </c>
      <c r="F181" s="3">
        <v>0.0</v>
      </c>
    </row>
    <row r="182" ht="12.75" customHeight="1">
      <c r="A182" s="1">
        <v>4.0</v>
      </c>
      <c r="B182" s="2">
        <v>3802555.0</v>
      </c>
      <c r="C182" s="1" t="s">
        <v>101</v>
      </c>
      <c r="D182" s="1" t="s">
        <v>345</v>
      </c>
      <c r="E182" s="3">
        <v>1.0</v>
      </c>
      <c r="F182" s="3">
        <v>0.0</v>
      </c>
    </row>
    <row r="183" ht="12.75" customHeight="1">
      <c r="A183" s="1">
        <v>4.0</v>
      </c>
      <c r="B183" s="2">
        <v>7300102.0</v>
      </c>
      <c r="C183" s="1" t="s">
        <v>364</v>
      </c>
      <c r="D183" s="1" t="s">
        <v>365</v>
      </c>
      <c r="E183" s="3">
        <v>1.0</v>
      </c>
      <c r="F183" s="3">
        <v>0.0</v>
      </c>
    </row>
    <row r="184" ht="12.75" customHeight="1">
      <c r="A184" s="1">
        <v>4.0</v>
      </c>
      <c r="B184" s="2">
        <v>8321506.0</v>
      </c>
      <c r="C184" s="1" t="s">
        <v>278</v>
      </c>
      <c r="D184" s="1" t="s">
        <v>372</v>
      </c>
      <c r="E184" s="3">
        <v>1.0</v>
      </c>
      <c r="F184" s="3">
        <v>0.0</v>
      </c>
    </row>
    <row r="185" ht="12.75" customHeight="1">
      <c r="A185" s="1">
        <v>4.0</v>
      </c>
      <c r="B185" s="2">
        <v>8821647.0</v>
      </c>
      <c r="C185" s="1" t="s">
        <v>178</v>
      </c>
      <c r="D185" s="1" t="s">
        <v>369</v>
      </c>
      <c r="E185" s="3">
        <v>1.0</v>
      </c>
      <c r="F185" s="3">
        <v>0.0</v>
      </c>
    </row>
    <row r="186" ht="12.75" customHeight="1">
      <c r="A186" s="1">
        <v>4.0</v>
      </c>
      <c r="B186" s="2">
        <v>8821650.0</v>
      </c>
      <c r="C186" s="1" t="s">
        <v>367</v>
      </c>
      <c r="D186" s="1" t="s">
        <v>368</v>
      </c>
      <c r="E186" s="3">
        <v>1.0</v>
      </c>
      <c r="F186" s="3">
        <v>0.0</v>
      </c>
    </row>
    <row r="187" ht="12.75" customHeight="1">
      <c r="A187" s="1">
        <v>4.0</v>
      </c>
      <c r="B187" s="2">
        <v>9910102.0</v>
      </c>
      <c r="C187" s="1" t="s">
        <v>356</v>
      </c>
      <c r="D187" s="1" t="s">
        <v>357</v>
      </c>
      <c r="E187" s="3">
        <v>1.0</v>
      </c>
      <c r="F187" s="3">
        <v>0.0</v>
      </c>
    </row>
    <row r="188" ht="12.75" customHeight="1">
      <c r="A188" s="1">
        <v>3.0</v>
      </c>
      <c r="B188" s="2">
        <v>200506.0</v>
      </c>
      <c r="C188" s="1" t="s">
        <v>411</v>
      </c>
      <c r="D188" s="1" t="s">
        <v>412</v>
      </c>
      <c r="E188" s="3">
        <v>1.0</v>
      </c>
      <c r="F188" s="3">
        <v>0.0</v>
      </c>
    </row>
    <row r="189" ht="12.75" customHeight="1">
      <c r="A189" s="1">
        <v>3.0</v>
      </c>
      <c r="B189" s="2" t="s">
        <v>406</v>
      </c>
      <c r="C189" s="1" t="s">
        <v>133</v>
      </c>
      <c r="D189" s="1" t="s">
        <v>349</v>
      </c>
      <c r="E189" s="3">
        <v>1.0</v>
      </c>
      <c r="F189" s="3">
        <v>0.0</v>
      </c>
    </row>
    <row r="190" ht="12.75" customHeight="1">
      <c r="A190" s="1">
        <v>3.0</v>
      </c>
      <c r="B190" s="2" t="s">
        <v>397</v>
      </c>
      <c r="C190" s="1" t="s">
        <v>398</v>
      </c>
      <c r="D190" s="1" t="s">
        <v>303</v>
      </c>
      <c r="E190" s="3">
        <v>1.0</v>
      </c>
      <c r="F190" s="3">
        <v>0.0</v>
      </c>
    </row>
    <row r="191" ht="12.75" customHeight="1">
      <c r="A191" s="1">
        <v>3.0</v>
      </c>
      <c r="B191" s="2" t="s">
        <v>430</v>
      </c>
      <c r="C191" s="1" t="s">
        <v>431</v>
      </c>
      <c r="D191" s="1" t="s">
        <v>432</v>
      </c>
      <c r="E191" s="3">
        <v>1.0</v>
      </c>
      <c r="F191" s="3">
        <v>0.0</v>
      </c>
    </row>
    <row r="192" ht="12.75" customHeight="1">
      <c r="A192" s="1">
        <v>3.0</v>
      </c>
      <c r="B192" s="2" t="s">
        <v>405</v>
      </c>
      <c r="C192" s="1" t="s">
        <v>381</v>
      </c>
      <c r="D192" s="1" t="s">
        <v>382</v>
      </c>
      <c r="E192" s="3">
        <v>1.0</v>
      </c>
      <c r="F192" s="3">
        <v>0.0</v>
      </c>
    </row>
    <row r="193" ht="12.75" customHeight="1">
      <c r="A193" s="1">
        <v>3.0</v>
      </c>
      <c r="B193" s="2">
        <v>1130861.0</v>
      </c>
      <c r="C193" s="1" t="s">
        <v>420</v>
      </c>
      <c r="D193" s="1" t="s">
        <v>421</v>
      </c>
      <c r="E193" s="3">
        <v>1.0</v>
      </c>
      <c r="F193" s="3">
        <v>0.0</v>
      </c>
    </row>
    <row r="194" ht="12.75" customHeight="1">
      <c r="A194" s="1">
        <v>3.0</v>
      </c>
      <c r="B194" s="2">
        <v>1360307.0</v>
      </c>
      <c r="C194" s="1" t="s">
        <v>409</v>
      </c>
      <c r="D194" s="1" t="s">
        <v>410</v>
      </c>
      <c r="E194" s="3">
        <v>1.0</v>
      </c>
      <c r="F194" s="3">
        <v>0.0</v>
      </c>
    </row>
    <row r="195" ht="12.75" customHeight="1">
      <c r="A195" s="1">
        <v>3.0</v>
      </c>
      <c r="B195" s="2">
        <v>1403014.0</v>
      </c>
      <c r="C195" s="1" t="s">
        <v>269</v>
      </c>
      <c r="D195" s="1" t="s">
        <v>418</v>
      </c>
      <c r="E195" s="3">
        <v>1.0</v>
      </c>
      <c r="F195" s="3">
        <v>0.0</v>
      </c>
    </row>
    <row r="196" ht="12.75" customHeight="1">
      <c r="A196" s="1">
        <v>3.0</v>
      </c>
      <c r="B196" s="2">
        <v>1403016.0</v>
      </c>
      <c r="C196" s="1" t="s">
        <v>269</v>
      </c>
      <c r="D196" s="1" t="s">
        <v>419</v>
      </c>
      <c r="E196" s="3">
        <v>1.0</v>
      </c>
      <c r="F196" s="3">
        <v>0.0</v>
      </c>
    </row>
    <row r="197" ht="12.75" customHeight="1">
      <c r="A197" s="1">
        <v>3.0</v>
      </c>
      <c r="B197" s="2">
        <v>1660108.0</v>
      </c>
      <c r="C197" s="1" t="s">
        <v>49</v>
      </c>
      <c r="D197" s="1" t="s">
        <v>404</v>
      </c>
      <c r="E197" s="3">
        <v>1.0</v>
      </c>
      <c r="F197" s="3">
        <v>0.0</v>
      </c>
    </row>
    <row r="198" ht="12.75" customHeight="1">
      <c r="A198" s="1">
        <v>3.0</v>
      </c>
      <c r="B198" s="2">
        <v>1660201.0</v>
      </c>
      <c r="C198" s="1" t="s">
        <v>49</v>
      </c>
      <c r="D198" s="1" t="s">
        <v>371</v>
      </c>
      <c r="E198" s="3">
        <v>1.0</v>
      </c>
      <c r="F198" s="3">
        <v>0.0</v>
      </c>
    </row>
    <row r="199" ht="12.75" customHeight="1">
      <c r="A199" s="1">
        <v>3.0</v>
      </c>
      <c r="B199" s="2">
        <v>1660309.0</v>
      </c>
      <c r="C199" s="1" t="s">
        <v>433</v>
      </c>
      <c r="D199" s="1" t="s">
        <v>371</v>
      </c>
      <c r="E199" s="3">
        <v>1.0</v>
      </c>
      <c r="F199" s="3">
        <v>0.0</v>
      </c>
    </row>
    <row r="200" ht="12.75" customHeight="1">
      <c r="A200" s="1">
        <v>3.0</v>
      </c>
      <c r="B200" s="2">
        <v>1990104.0</v>
      </c>
      <c r="C200" s="1" t="s">
        <v>117</v>
      </c>
      <c r="D200" s="1" t="s">
        <v>387</v>
      </c>
      <c r="E200" s="3">
        <v>1.0</v>
      </c>
      <c r="F200" s="3">
        <v>0.0</v>
      </c>
    </row>
    <row r="201" ht="12.75" customHeight="1">
      <c r="A201" s="1">
        <v>3.0</v>
      </c>
      <c r="B201" s="2">
        <v>3550806.0</v>
      </c>
      <c r="C201" s="1" t="s">
        <v>191</v>
      </c>
      <c r="D201" s="1" t="s">
        <v>402</v>
      </c>
      <c r="E201" s="3">
        <v>1.0</v>
      </c>
      <c r="F201" s="3">
        <v>0.0</v>
      </c>
    </row>
    <row r="202" ht="12.75" customHeight="1">
      <c r="A202" s="1">
        <v>3.0</v>
      </c>
      <c r="B202" s="2">
        <v>3800346.0</v>
      </c>
      <c r="C202" s="1" t="s">
        <v>37</v>
      </c>
      <c r="D202" s="1" t="s">
        <v>399</v>
      </c>
      <c r="E202" s="3">
        <v>1.0</v>
      </c>
      <c r="F202" s="3">
        <v>0.0</v>
      </c>
    </row>
    <row r="203" ht="12.75" customHeight="1">
      <c r="A203" s="1">
        <v>3.0</v>
      </c>
      <c r="B203" s="2">
        <v>3801510.0</v>
      </c>
      <c r="C203" s="1" t="s">
        <v>21</v>
      </c>
      <c r="D203" s="1" t="s">
        <v>395</v>
      </c>
      <c r="E203" s="3">
        <v>1.0</v>
      </c>
      <c r="F203" s="3">
        <v>0.0</v>
      </c>
    </row>
    <row r="204" ht="12.75" customHeight="1">
      <c r="A204" s="1">
        <v>3.0</v>
      </c>
      <c r="B204" s="2">
        <v>3801518.0</v>
      </c>
      <c r="C204" s="1" t="s">
        <v>21</v>
      </c>
      <c r="D204" s="1" t="s">
        <v>396</v>
      </c>
      <c r="E204" s="3">
        <v>1.0</v>
      </c>
      <c r="F204" s="3">
        <v>0.0</v>
      </c>
    </row>
    <row r="205" ht="12.75" customHeight="1">
      <c r="A205" s="1">
        <v>3.0</v>
      </c>
      <c r="B205" s="2">
        <v>3801535.0</v>
      </c>
      <c r="C205" s="1" t="s">
        <v>21</v>
      </c>
      <c r="D205" s="1" t="s">
        <v>407</v>
      </c>
      <c r="E205" s="3">
        <v>1.0</v>
      </c>
      <c r="F205" s="3">
        <v>0.0</v>
      </c>
    </row>
    <row r="206" ht="12.75" customHeight="1">
      <c r="A206" s="1">
        <v>3.0</v>
      </c>
      <c r="B206" s="2">
        <v>3801554.0</v>
      </c>
      <c r="C206" s="1" t="s">
        <v>21</v>
      </c>
      <c r="D206" s="1" t="s">
        <v>408</v>
      </c>
      <c r="E206" s="3">
        <v>1.0</v>
      </c>
      <c r="F206" s="3">
        <v>0.0</v>
      </c>
    </row>
    <row r="207" ht="12.75" customHeight="1">
      <c r="A207" s="1">
        <v>3.0</v>
      </c>
      <c r="B207" s="2">
        <v>3801581.0</v>
      </c>
      <c r="C207" s="1" t="s">
        <v>21</v>
      </c>
      <c r="D207" s="1" t="s">
        <v>4532</v>
      </c>
      <c r="E207" s="3">
        <v>1.0</v>
      </c>
      <c r="F207" s="3">
        <v>0.0</v>
      </c>
    </row>
    <row r="208" ht="12.75" customHeight="1">
      <c r="A208" s="1">
        <v>3.0</v>
      </c>
      <c r="B208" s="2" t="s">
        <v>391</v>
      </c>
      <c r="C208" s="1" t="s">
        <v>21</v>
      </c>
      <c r="D208" s="1" t="s">
        <v>392</v>
      </c>
      <c r="E208" s="3">
        <v>1.0</v>
      </c>
      <c r="F208" s="3">
        <v>0.0</v>
      </c>
    </row>
    <row r="209" ht="12.75" customHeight="1">
      <c r="A209" s="1">
        <v>3.0</v>
      </c>
      <c r="B209" s="2" t="s">
        <v>393</v>
      </c>
      <c r="C209" s="1" t="s">
        <v>21</v>
      </c>
      <c r="D209" s="1" t="s">
        <v>394</v>
      </c>
      <c r="E209" s="3">
        <v>1.0</v>
      </c>
      <c r="F209" s="3">
        <v>0.0</v>
      </c>
    </row>
    <row r="210" ht="12.75" customHeight="1">
      <c r="A210" s="1">
        <v>3.0</v>
      </c>
      <c r="B210" s="2" t="s">
        <v>389</v>
      </c>
      <c r="C210" s="1" t="s">
        <v>21</v>
      </c>
      <c r="D210" s="1" t="s">
        <v>390</v>
      </c>
      <c r="E210" s="3">
        <v>1.0</v>
      </c>
      <c r="F210" s="3">
        <v>0.0</v>
      </c>
    </row>
    <row r="211" ht="12.75" customHeight="1">
      <c r="A211" s="1">
        <v>3.0</v>
      </c>
      <c r="B211" s="2">
        <v>3801923.0</v>
      </c>
      <c r="C211" s="1" t="s">
        <v>416</v>
      </c>
      <c r="D211" s="1" t="s">
        <v>417</v>
      </c>
      <c r="E211" s="3">
        <v>1.0</v>
      </c>
      <c r="F211" s="3">
        <v>0.0</v>
      </c>
    </row>
    <row r="212" ht="12.75" customHeight="1">
      <c r="A212" s="1">
        <v>3.0</v>
      </c>
      <c r="B212" s="2">
        <v>3801933.0</v>
      </c>
      <c r="C212" s="1" t="s">
        <v>25</v>
      </c>
      <c r="D212" s="1" t="s">
        <v>423</v>
      </c>
      <c r="E212" s="3">
        <v>1.0</v>
      </c>
      <c r="F212" s="3">
        <v>0.0</v>
      </c>
    </row>
    <row r="213" ht="12.75" customHeight="1">
      <c r="A213" s="1">
        <v>3.0</v>
      </c>
      <c r="B213" s="2">
        <v>3801955.0</v>
      </c>
      <c r="C213" s="1" t="s">
        <v>220</v>
      </c>
      <c r="D213" s="1" t="s">
        <v>435</v>
      </c>
      <c r="E213" s="3">
        <v>1.0</v>
      </c>
      <c r="F213" s="3">
        <v>0.0</v>
      </c>
    </row>
    <row r="214" ht="12.75" customHeight="1">
      <c r="A214" s="1">
        <v>3.0</v>
      </c>
      <c r="B214" s="2">
        <v>3801964.0</v>
      </c>
      <c r="C214" s="1" t="s">
        <v>220</v>
      </c>
      <c r="D214" s="1" t="s">
        <v>388</v>
      </c>
      <c r="E214" s="3">
        <v>1.0</v>
      </c>
      <c r="F214" s="3">
        <v>0.0</v>
      </c>
    </row>
    <row r="215" ht="12.75" customHeight="1">
      <c r="A215" s="1">
        <v>3.0</v>
      </c>
      <c r="B215" s="2">
        <v>3801965.0</v>
      </c>
      <c r="C215" s="1" t="s">
        <v>25</v>
      </c>
      <c r="D215" s="1" t="s">
        <v>413</v>
      </c>
      <c r="E215" s="3">
        <v>1.0</v>
      </c>
      <c r="F215" s="3">
        <v>0.0</v>
      </c>
    </row>
    <row r="216" ht="12.75" customHeight="1">
      <c r="A216" s="1">
        <v>3.0</v>
      </c>
      <c r="B216" s="2" t="s">
        <v>414</v>
      </c>
      <c r="C216" s="1" t="s">
        <v>346</v>
      </c>
      <c r="D216" s="1" t="s">
        <v>415</v>
      </c>
      <c r="E216" s="3">
        <v>1.0</v>
      </c>
      <c r="F216" s="3">
        <v>0.0</v>
      </c>
    </row>
    <row r="217" ht="12.75" customHeight="1">
      <c r="A217" s="1">
        <v>3.0</v>
      </c>
      <c r="B217" s="2">
        <v>3802003.0</v>
      </c>
      <c r="C217" s="1" t="s">
        <v>152</v>
      </c>
      <c r="D217" s="1" t="s">
        <v>403</v>
      </c>
      <c r="E217" s="3">
        <v>1.0</v>
      </c>
      <c r="F217" s="3">
        <v>0.0</v>
      </c>
    </row>
    <row r="218" ht="12.75" customHeight="1">
      <c r="A218" s="1">
        <v>3.0</v>
      </c>
      <c r="B218" s="2">
        <v>3802559.0</v>
      </c>
      <c r="C218" s="1" t="s">
        <v>400</v>
      </c>
      <c r="D218" s="1" t="s">
        <v>401</v>
      </c>
      <c r="E218" s="3">
        <v>1.0</v>
      </c>
      <c r="F218" s="3">
        <v>0.0</v>
      </c>
    </row>
    <row r="219" ht="12.75" customHeight="1">
      <c r="A219" s="1">
        <v>3.0</v>
      </c>
      <c r="B219" s="2">
        <v>4690620.0</v>
      </c>
      <c r="C219" s="1" t="s">
        <v>424</v>
      </c>
      <c r="D219" s="1" t="s">
        <v>425</v>
      </c>
      <c r="E219" s="3">
        <v>1.0</v>
      </c>
      <c r="F219" s="3">
        <v>0.0</v>
      </c>
    </row>
    <row r="220" ht="12.75" customHeight="1">
      <c r="A220" s="1">
        <v>3.0</v>
      </c>
      <c r="B220" s="2">
        <v>8050515.0</v>
      </c>
      <c r="C220" s="1" t="s">
        <v>6</v>
      </c>
      <c r="D220" s="1" t="s">
        <v>422</v>
      </c>
      <c r="E220" s="3">
        <v>1.0</v>
      </c>
      <c r="F220" s="3">
        <v>0.0</v>
      </c>
    </row>
    <row r="221" ht="12.75" customHeight="1">
      <c r="A221" s="1">
        <v>3.0</v>
      </c>
      <c r="B221" s="2">
        <v>8320402.0</v>
      </c>
      <c r="C221" s="1" t="s">
        <v>278</v>
      </c>
      <c r="D221" s="1" t="s">
        <v>434</v>
      </c>
      <c r="E221" s="3">
        <v>1.0</v>
      </c>
      <c r="F221" s="3">
        <v>0.0</v>
      </c>
    </row>
    <row r="222" ht="12.75" customHeight="1">
      <c r="A222" s="1">
        <v>3.0</v>
      </c>
      <c r="B222" s="2">
        <v>8821636.0</v>
      </c>
      <c r="C222" s="1" t="s">
        <v>173</v>
      </c>
      <c r="D222" s="1" t="s">
        <v>426</v>
      </c>
      <c r="E222" s="3">
        <v>1.0</v>
      </c>
      <c r="F222" s="3">
        <v>0.0</v>
      </c>
    </row>
    <row r="223" ht="12.75" customHeight="1">
      <c r="A223" s="1">
        <v>3.0</v>
      </c>
      <c r="B223" s="2">
        <v>8821648.0</v>
      </c>
      <c r="C223" s="1" t="s">
        <v>427</v>
      </c>
      <c r="D223" s="1" t="s">
        <v>428</v>
      </c>
      <c r="E223" s="3">
        <v>1.0</v>
      </c>
      <c r="F223" s="3">
        <v>0.0</v>
      </c>
    </row>
    <row r="224" ht="12.75" customHeight="1">
      <c r="A224" s="1">
        <v>3.0</v>
      </c>
      <c r="B224" s="2">
        <v>8821655.0</v>
      </c>
      <c r="C224" s="1" t="s">
        <v>178</v>
      </c>
      <c r="D224" s="1" t="s">
        <v>429</v>
      </c>
      <c r="E224" s="3">
        <v>1.0</v>
      </c>
      <c r="F224" s="3">
        <v>0.0</v>
      </c>
    </row>
    <row r="225" ht="12.75" customHeight="1">
      <c r="A225" s="1">
        <v>2.0</v>
      </c>
      <c r="B225" s="2">
        <v>130230.0</v>
      </c>
      <c r="C225" s="1" t="s">
        <v>374</v>
      </c>
      <c r="D225" s="1" t="s">
        <v>567</v>
      </c>
      <c r="E225" s="3">
        <v>1.0</v>
      </c>
      <c r="F225" s="3">
        <v>0.0</v>
      </c>
    </row>
    <row r="226" ht="12.75" customHeight="1">
      <c r="A226" s="1">
        <v>2.0</v>
      </c>
      <c r="B226" s="2">
        <v>160002.0</v>
      </c>
      <c r="C226" s="1" t="s">
        <v>91</v>
      </c>
      <c r="D226" s="1" t="s">
        <v>459</v>
      </c>
      <c r="E226" s="3">
        <v>1.0</v>
      </c>
      <c r="F226" s="3">
        <v>0.0</v>
      </c>
    </row>
    <row r="227" ht="12.75" customHeight="1">
      <c r="A227" s="1">
        <v>2.0</v>
      </c>
      <c r="B227" s="2">
        <v>550313.0</v>
      </c>
      <c r="C227" s="1" t="s">
        <v>547</v>
      </c>
      <c r="D227" s="1" t="s">
        <v>548</v>
      </c>
      <c r="E227" s="3">
        <v>1.0</v>
      </c>
      <c r="F227" s="3">
        <v>0.0</v>
      </c>
    </row>
    <row r="228" ht="12.75" customHeight="1">
      <c r="A228" s="1">
        <v>2.0</v>
      </c>
      <c r="B228" s="2" t="s">
        <v>487</v>
      </c>
      <c r="C228" s="1" t="s">
        <v>488</v>
      </c>
      <c r="D228" s="1" t="s">
        <v>489</v>
      </c>
      <c r="E228" s="3">
        <v>1.0</v>
      </c>
      <c r="F228" s="3">
        <v>0.0</v>
      </c>
    </row>
    <row r="229" ht="12.75" customHeight="1">
      <c r="A229" s="1">
        <v>2.0</v>
      </c>
      <c r="B229" s="2" t="s">
        <v>494</v>
      </c>
      <c r="C229" s="1" t="s">
        <v>495</v>
      </c>
      <c r="D229" s="1" t="s">
        <v>496</v>
      </c>
      <c r="E229" s="3">
        <v>1.0</v>
      </c>
      <c r="F229" s="3">
        <v>0.0</v>
      </c>
    </row>
    <row r="230" ht="12.75" customHeight="1">
      <c r="A230" s="1">
        <v>2.0</v>
      </c>
      <c r="B230" s="2" t="s">
        <v>452</v>
      </c>
      <c r="C230" s="1" t="s">
        <v>133</v>
      </c>
      <c r="D230" s="1" t="s">
        <v>453</v>
      </c>
      <c r="E230" s="3">
        <v>1.0</v>
      </c>
      <c r="F230" s="3">
        <v>0.0</v>
      </c>
    </row>
    <row r="231" ht="12.75" customHeight="1">
      <c r="A231" s="1">
        <v>2.0</v>
      </c>
      <c r="B231" s="2" t="s">
        <v>456</v>
      </c>
      <c r="C231" s="1" t="s">
        <v>457</v>
      </c>
      <c r="D231" s="1" t="s">
        <v>458</v>
      </c>
      <c r="E231" s="3">
        <v>1.0</v>
      </c>
      <c r="F231" s="3">
        <v>0.0</v>
      </c>
    </row>
    <row r="232" ht="12.75" customHeight="1">
      <c r="A232" s="1">
        <v>2.0</v>
      </c>
      <c r="B232" s="2" t="s">
        <v>553</v>
      </c>
      <c r="C232" s="1" t="s">
        <v>554</v>
      </c>
      <c r="D232" s="1" t="s">
        <v>555</v>
      </c>
      <c r="E232" s="3">
        <v>1.0</v>
      </c>
      <c r="F232" s="3">
        <v>0.0</v>
      </c>
    </row>
    <row r="233" ht="12.75" customHeight="1">
      <c r="A233" s="1">
        <v>2.0</v>
      </c>
      <c r="B233" s="2" t="s">
        <v>550</v>
      </c>
      <c r="C233" s="1" t="s">
        <v>551</v>
      </c>
      <c r="D233" s="1" t="s">
        <v>326</v>
      </c>
      <c r="E233" s="3">
        <v>1.0</v>
      </c>
      <c r="F233" s="3">
        <v>0.0</v>
      </c>
    </row>
    <row r="234" ht="12.75" customHeight="1">
      <c r="A234" s="1">
        <v>2.0</v>
      </c>
      <c r="B234" s="2" t="s">
        <v>544</v>
      </c>
      <c r="C234" s="1" t="s">
        <v>545</v>
      </c>
      <c r="D234" s="1" t="s">
        <v>546</v>
      </c>
      <c r="E234" s="3">
        <v>1.0</v>
      </c>
      <c r="F234" s="3">
        <v>0.0</v>
      </c>
    </row>
    <row r="235" ht="12.75" customHeight="1">
      <c r="A235" s="1">
        <v>2.0</v>
      </c>
      <c r="B235" s="2" t="s">
        <v>541</v>
      </c>
      <c r="C235" s="1" t="s">
        <v>542</v>
      </c>
      <c r="D235" s="1" t="s">
        <v>543</v>
      </c>
      <c r="E235" s="3">
        <v>1.0</v>
      </c>
      <c r="F235" s="3">
        <v>0.0</v>
      </c>
    </row>
    <row r="236" ht="12.75" customHeight="1">
      <c r="A236" s="1">
        <v>2.0</v>
      </c>
      <c r="B236" s="2" t="s">
        <v>518</v>
      </c>
      <c r="C236" s="1" t="s">
        <v>519</v>
      </c>
      <c r="D236" s="1" t="s">
        <v>520</v>
      </c>
      <c r="E236" s="3">
        <v>1.0</v>
      </c>
      <c r="F236" s="3">
        <v>0.0</v>
      </c>
    </row>
    <row r="237" ht="12.75" customHeight="1">
      <c r="A237" s="1">
        <v>2.0</v>
      </c>
      <c r="B237" s="2" t="s">
        <v>498</v>
      </c>
      <c r="C237" s="1" t="s">
        <v>352</v>
      </c>
      <c r="D237" s="1" t="s">
        <v>499</v>
      </c>
      <c r="E237" s="3">
        <v>1.0</v>
      </c>
      <c r="F237" s="3">
        <v>0.0</v>
      </c>
    </row>
    <row r="238" ht="12.75" customHeight="1">
      <c r="A238" s="1">
        <v>2.0</v>
      </c>
      <c r="B238" s="2" t="s">
        <v>454</v>
      </c>
      <c r="C238" s="1" t="s">
        <v>455</v>
      </c>
      <c r="D238" s="1" t="s">
        <v>95</v>
      </c>
      <c r="E238" s="3">
        <v>1.0</v>
      </c>
      <c r="F238" s="3">
        <v>0.0</v>
      </c>
    </row>
    <row r="239" ht="12.75" customHeight="1">
      <c r="A239" s="1">
        <v>2.0</v>
      </c>
      <c r="B239" s="2" t="s">
        <v>481</v>
      </c>
      <c r="C239" s="1" t="s">
        <v>348</v>
      </c>
      <c r="D239" s="1" t="s">
        <v>482</v>
      </c>
      <c r="E239" s="3">
        <v>1.0</v>
      </c>
      <c r="F239" s="3">
        <v>0.0</v>
      </c>
    </row>
    <row r="240" ht="12.75" customHeight="1">
      <c r="A240" s="1">
        <v>2.0</v>
      </c>
      <c r="B240" s="2" t="s">
        <v>516</v>
      </c>
      <c r="C240" s="1" t="s">
        <v>229</v>
      </c>
      <c r="D240" s="1" t="s">
        <v>517</v>
      </c>
      <c r="E240" s="3">
        <v>1.0</v>
      </c>
      <c r="F240" s="3">
        <v>0.0</v>
      </c>
    </row>
    <row r="241" ht="12.75" customHeight="1">
      <c r="A241" s="1">
        <v>2.0</v>
      </c>
      <c r="B241" s="2" t="s">
        <v>510</v>
      </c>
      <c r="C241" s="1" t="s">
        <v>255</v>
      </c>
      <c r="D241" s="1" t="s">
        <v>511</v>
      </c>
      <c r="E241" s="3">
        <v>1.0</v>
      </c>
      <c r="F241" s="3">
        <v>0.0</v>
      </c>
    </row>
    <row r="242" ht="12.75" customHeight="1">
      <c r="A242" s="1">
        <v>2.0</v>
      </c>
      <c r="B242" s="2" t="s">
        <v>483</v>
      </c>
      <c r="C242" s="1" t="s">
        <v>381</v>
      </c>
      <c r="D242" s="1" t="s">
        <v>482</v>
      </c>
      <c r="E242" s="3">
        <v>1.0</v>
      </c>
      <c r="F242" s="3">
        <v>0.0</v>
      </c>
    </row>
    <row r="243" ht="12.75" customHeight="1">
      <c r="A243" s="1">
        <v>2.0</v>
      </c>
      <c r="B243" s="2" t="s">
        <v>484</v>
      </c>
      <c r="C243" s="1" t="s">
        <v>485</v>
      </c>
      <c r="D243" s="1" t="s">
        <v>486</v>
      </c>
      <c r="E243" s="3">
        <v>1.0</v>
      </c>
      <c r="F243" s="3">
        <v>0.0</v>
      </c>
    </row>
    <row r="244" ht="12.75" customHeight="1">
      <c r="A244" s="1">
        <v>2.0</v>
      </c>
      <c r="B244" s="2" t="s">
        <v>532</v>
      </c>
      <c r="C244" s="1" t="s">
        <v>533</v>
      </c>
      <c r="D244" s="1" t="s">
        <v>534</v>
      </c>
      <c r="E244" s="3">
        <v>1.0</v>
      </c>
      <c r="F244" s="3">
        <v>0.0</v>
      </c>
    </row>
    <row r="245" ht="12.75" customHeight="1">
      <c r="A245" s="1">
        <v>2.0</v>
      </c>
      <c r="B245" s="2" t="s">
        <v>552</v>
      </c>
      <c r="C245" s="1" t="s">
        <v>325</v>
      </c>
      <c r="D245" s="1" t="s">
        <v>326</v>
      </c>
      <c r="E245" s="3">
        <v>1.0</v>
      </c>
      <c r="F245" s="3">
        <v>0.0</v>
      </c>
    </row>
    <row r="246" ht="12.75" customHeight="1">
      <c r="A246" s="1">
        <v>2.0</v>
      </c>
      <c r="B246" s="2">
        <v>1403012.0</v>
      </c>
      <c r="C246" s="1" t="s">
        <v>269</v>
      </c>
      <c r="D246" s="1" t="s">
        <v>535</v>
      </c>
      <c r="E246" s="3">
        <v>1.0</v>
      </c>
      <c r="F246" s="3">
        <v>0.0</v>
      </c>
    </row>
    <row r="247" ht="12.75" customHeight="1">
      <c r="A247" s="1">
        <v>2.0</v>
      </c>
      <c r="B247" s="2">
        <v>1660214.0</v>
      </c>
      <c r="C247" s="1" t="s">
        <v>433</v>
      </c>
      <c r="D247" s="1" t="s">
        <v>490</v>
      </c>
      <c r="E247" s="3">
        <v>1.0</v>
      </c>
      <c r="F247" s="3">
        <v>0.0</v>
      </c>
    </row>
    <row r="248" ht="12.75" customHeight="1">
      <c r="A248" s="1">
        <v>2.0</v>
      </c>
      <c r="B248" s="2">
        <v>1870101.0</v>
      </c>
      <c r="C248" s="1" t="s">
        <v>473</v>
      </c>
      <c r="D248" s="1" t="s">
        <v>474</v>
      </c>
      <c r="E248" s="3">
        <v>1.0</v>
      </c>
      <c r="F248" s="3">
        <v>0.0</v>
      </c>
    </row>
    <row r="249" ht="12.75" customHeight="1">
      <c r="A249" s="1">
        <v>2.0</v>
      </c>
      <c r="B249" s="2">
        <v>1981008.0</v>
      </c>
      <c r="C249" s="1" t="s">
        <v>525</v>
      </c>
      <c r="D249" s="1" t="s">
        <v>526</v>
      </c>
      <c r="E249" s="3">
        <v>1.0</v>
      </c>
      <c r="F249" s="3">
        <v>0.0</v>
      </c>
    </row>
    <row r="250" ht="12.75" customHeight="1">
      <c r="A250" s="1">
        <v>2.0</v>
      </c>
      <c r="B250" s="2">
        <v>2480126.0</v>
      </c>
      <c r="C250" s="1" t="s">
        <v>561</v>
      </c>
      <c r="D250" s="1" t="s">
        <v>562</v>
      </c>
      <c r="E250" s="3">
        <v>1.0</v>
      </c>
      <c r="F250" s="3">
        <v>0.0</v>
      </c>
    </row>
    <row r="251" ht="12.75" customHeight="1">
      <c r="A251" s="1">
        <v>2.0</v>
      </c>
      <c r="B251" s="2">
        <v>3690102.0</v>
      </c>
      <c r="C251" s="1" t="s">
        <v>539</v>
      </c>
      <c r="D251" s="1" t="s">
        <v>540</v>
      </c>
      <c r="E251" s="3">
        <v>1.0</v>
      </c>
      <c r="F251" s="3">
        <v>0.0</v>
      </c>
    </row>
    <row r="252" ht="12.75" customHeight="1">
      <c r="A252" s="1">
        <v>2.0</v>
      </c>
      <c r="B252" s="2">
        <v>3800313.0</v>
      </c>
      <c r="C252" s="1" t="s">
        <v>37</v>
      </c>
      <c r="D252" s="1" t="s">
        <v>493</v>
      </c>
      <c r="E252" s="3">
        <v>1.0</v>
      </c>
      <c r="F252" s="3">
        <v>0.0</v>
      </c>
    </row>
    <row r="253" ht="12.75" customHeight="1">
      <c r="A253" s="1">
        <v>2.0</v>
      </c>
      <c r="B253" s="2">
        <v>3800347.0</v>
      </c>
      <c r="C253" s="1" t="s">
        <v>37</v>
      </c>
      <c r="D253" s="1">
        <v>304.0</v>
      </c>
      <c r="E253" s="3">
        <v>1.0</v>
      </c>
      <c r="F253" s="3">
        <v>0.0</v>
      </c>
    </row>
    <row r="254" ht="12.75" customHeight="1">
      <c r="A254" s="1">
        <v>2.0</v>
      </c>
      <c r="B254" s="2">
        <v>3800351.0</v>
      </c>
      <c r="C254" s="1" t="s">
        <v>37</v>
      </c>
      <c r="D254" s="1" t="s">
        <v>530</v>
      </c>
      <c r="E254" s="3">
        <v>1.0</v>
      </c>
      <c r="F254" s="3">
        <v>0.0</v>
      </c>
    </row>
    <row r="255" ht="12.75" customHeight="1">
      <c r="A255" s="1">
        <v>2.0</v>
      </c>
      <c r="B255" s="2" t="s">
        <v>471</v>
      </c>
      <c r="C255" s="1" t="s">
        <v>37</v>
      </c>
      <c r="D255" s="1" t="s">
        <v>472</v>
      </c>
      <c r="E255" s="3">
        <v>1.0</v>
      </c>
      <c r="F255" s="3">
        <v>0.0</v>
      </c>
    </row>
    <row r="256" ht="12.75" customHeight="1">
      <c r="A256" s="1">
        <v>2.0</v>
      </c>
      <c r="B256" s="2">
        <v>3800517.0</v>
      </c>
      <c r="C256" s="1" t="s">
        <v>512</v>
      </c>
      <c r="D256" s="1" t="s">
        <v>513</v>
      </c>
      <c r="E256" s="3">
        <v>1.0</v>
      </c>
      <c r="F256" s="3">
        <v>0.0</v>
      </c>
    </row>
    <row r="257" ht="12.75" customHeight="1">
      <c r="A257" s="1">
        <v>2.0</v>
      </c>
      <c r="B257" s="2">
        <v>3801049.0</v>
      </c>
      <c r="C257" s="1" t="s">
        <v>528</v>
      </c>
      <c r="D257" s="1" t="s">
        <v>529</v>
      </c>
      <c r="E257" s="3">
        <v>1.0</v>
      </c>
      <c r="F257" s="3">
        <v>0.0</v>
      </c>
    </row>
    <row r="258" ht="12.75" customHeight="1">
      <c r="A258" s="1">
        <v>2.0</v>
      </c>
      <c r="B258" s="2">
        <v>3801217.0</v>
      </c>
      <c r="C258" s="1" t="s">
        <v>521</v>
      </c>
      <c r="D258" s="1" t="s">
        <v>522</v>
      </c>
      <c r="E258" s="3">
        <v>1.0</v>
      </c>
      <c r="F258" s="3">
        <v>0.0</v>
      </c>
    </row>
    <row r="259" ht="12.75" customHeight="1">
      <c r="A259" s="1">
        <v>2.0</v>
      </c>
      <c r="B259" s="2">
        <v>3801261.0</v>
      </c>
      <c r="C259" s="1" t="s">
        <v>55</v>
      </c>
      <c r="D259" s="1" t="s">
        <v>523</v>
      </c>
      <c r="E259" s="3">
        <v>1.0</v>
      </c>
      <c r="F259" s="3">
        <v>0.0</v>
      </c>
    </row>
    <row r="260" ht="12.75" customHeight="1">
      <c r="A260" s="1">
        <v>2.0</v>
      </c>
      <c r="B260" s="2">
        <v>3801264.0</v>
      </c>
      <c r="C260" s="1" t="s">
        <v>242</v>
      </c>
      <c r="D260" s="1" t="s">
        <v>524</v>
      </c>
      <c r="E260" s="3">
        <v>1.0</v>
      </c>
      <c r="F260" s="3">
        <v>0.0</v>
      </c>
    </row>
    <row r="261" ht="12.75" customHeight="1">
      <c r="A261" s="1">
        <v>2.0</v>
      </c>
      <c r="B261" s="2">
        <v>3801318.0</v>
      </c>
      <c r="C261" s="1" t="s">
        <v>312</v>
      </c>
      <c r="D261" s="1" t="s">
        <v>464</v>
      </c>
      <c r="E261" s="3">
        <v>1.0</v>
      </c>
      <c r="F261" s="3">
        <v>0.0</v>
      </c>
    </row>
    <row r="262" ht="12.75" customHeight="1">
      <c r="A262" s="1">
        <v>2.0</v>
      </c>
      <c r="B262" s="2">
        <v>3801351.0</v>
      </c>
      <c r="C262" s="1" t="s">
        <v>312</v>
      </c>
      <c r="D262" s="1" t="s">
        <v>549</v>
      </c>
      <c r="E262" s="3">
        <v>1.0</v>
      </c>
      <c r="F262" s="3">
        <v>0.0</v>
      </c>
    </row>
    <row r="263" ht="12.75" customHeight="1">
      <c r="A263" s="1">
        <v>2.0</v>
      </c>
      <c r="B263" s="2">
        <v>3801381.0</v>
      </c>
      <c r="C263" s="1" t="s">
        <v>312</v>
      </c>
      <c r="D263" s="1" t="s">
        <v>566</v>
      </c>
      <c r="E263" s="3">
        <v>1.0</v>
      </c>
      <c r="F263" s="3">
        <v>0.0</v>
      </c>
    </row>
    <row r="264" ht="12.75" customHeight="1">
      <c r="A264" s="1">
        <v>2.0</v>
      </c>
      <c r="B264" s="2">
        <v>3801509.0</v>
      </c>
      <c r="C264" s="1" t="s">
        <v>21</v>
      </c>
      <c r="D264" s="1" t="s">
        <v>507</v>
      </c>
      <c r="E264" s="3">
        <v>1.0</v>
      </c>
      <c r="F264" s="3">
        <v>0.0</v>
      </c>
    </row>
    <row r="265" ht="12.75" customHeight="1">
      <c r="A265" s="1">
        <v>2.0</v>
      </c>
      <c r="B265" s="2">
        <v>3801511.0</v>
      </c>
      <c r="C265" s="1" t="s">
        <v>462</v>
      </c>
      <c r="D265" s="1" t="s">
        <v>463</v>
      </c>
      <c r="E265" s="3">
        <v>1.0</v>
      </c>
      <c r="F265" s="3">
        <v>0.0</v>
      </c>
    </row>
    <row r="266" ht="12.75" customHeight="1">
      <c r="A266" s="1">
        <v>2.0</v>
      </c>
      <c r="B266" s="2">
        <v>3801522.0</v>
      </c>
      <c r="C266" s="1" t="s">
        <v>21</v>
      </c>
      <c r="D266" s="1" t="s">
        <v>502</v>
      </c>
      <c r="E266" s="3">
        <v>1.0</v>
      </c>
      <c r="F266" s="3">
        <v>0.0</v>
      </c>
    </row>
    <row r="267" ht="12.75" customHeight="1">
      <c r="A267" s="1">
        <v>2.0</v>
      </c>
      <c r="B267" s="2">
        <v>3801525.0</v>
      </c>
      <c r="C267" s="1" t="s">
        <v>21</v>
      </c>
      <c r="D267" s="1" t="s">
        <v>503</v>
      </c>
      <c r="E267" s="3">
        <v>1.0</v>
      </c>
      <c r="F267" s="3">
        <v>0.0</v>
      </c>
    </row>
    <row r="268" ht="12.75" customHeight="1">
      <c r="A268" s="1">
        <v>2.0</v>
      </c>
      <c r="B268" s="2">
        <v>3801530.0</v>
      </c>
      <c r="C268" s="1" t="s">
        <v>21</v>
      </c>
      <c r="D268" s="1" t="s">
        <v>504</v>
      </c>
      <c r="E268" s="3">
        <v>1.0</v>
      </c>
      <c r="F268" s="3">
        <v>0.0</v>
      </c>
    </row>
    <row r="269" ht="12.75" customHeight="1">
      <c r="A269" s="1">
        <v>2.0</v>
      </c>
      <c r="B269" s="2">
        <v>3801542.0</v>
      </c>
      <c r="C269" s="1" t="s">
        <v>21</v>
      </c>
      <c r="D269" s="1" t="s">
        <v>505</v>
      </c>
      <c r="E269" s="3">
        <v>1.0</v>
      </c>
      <c r="F269" s="3">
        <v>0.0</v>
      </c>
    </row>
    <row r="270" ht="12.75" customHeight="1">
      <c r="A270" s="1">
        <v>2.0</v>
      </c>
      <c r="B270" s="2">
        <v>3801567.0</v>
      </c>
      <c r="C270" s="1" t="s">
        <v>21</v>
      </c>
      <c r="D270" s="1" t="s">
        <v>506</v>
      </c>
      <c r="E270" s="3">
        <v>1.0</v>
      </c>
      <c r="F270" s="3">
        <v>0.0</v>
      </c>
    </row>
    <row r="271" ht="12.75" customHeight="1">
      <c r="A271" s="1">
        <v>2.0</v>
      </c>
      <c r="B271" s="2">
        <v>3801906.0</v>
      </c>
      <c r="C271" s="1" t="s">
        <v>25</v>
      </c>
      <c r="D271" s="1" t="s">
        <v>480</v>
      </c>
      <c r="E271" s="3">
        <v>1.0</v>
      </c>
      <c r="F271" s="3">
        <v>0.0</v>
      </c>
    </row>
    <row r="272" ht="12.75" customHeight="1">
      <c r="A272" s="1">
        <v>2.0</v>
      </c>
      <c r="B272" s="2">
        <v>3801951.0</v>
      </c>
      <c r="C272" s="1" t="s">
        <v>25</v>
      </c>
      <c r="D272" s="1" t="s">
        <v>531</v>
      </c>
      <c r="E272" s="3">
        <v>1.0</v>
      </c>
      <c r="F272" s="3">
        <v>0.0</v>
      </c>
    </row>
    <row r="273" ht="12.75" customHeight="1">
      <c r="A273" s="1">
        <v>2.0</v>
      </c>
      <c r="B273" s="2" t="s">
        <v>508</v>
      </c>
      <c r="C273" s="1" t="s">
        <v>25</v>
      </c>
      <c r="D273" s="1" t="s">
        <v>509</v>
      </c>
      <c r="E273" s="3">
        <v>1.0</v>
      </c>
      <c r="F273" s="3">
        <v>0.0</v>
      </c>
    </row>
    <row r="274" ht="12.75" customHeight="1">
      <c r="A274" s="1">
        <v>2.0</v>
      </c>
      <c r="B274" s="2">
        <v>3802056.0</v>
      </c>
      <c r="C274" s="1" t="s">
        <v>152</v>
      </c>
      <c r="D274" s="1" t="s">
        <v>565</v>
      </c>
      <c r="E274" s="3">
        <v>1.0</v>
      </c>
      <c r="F274" s="3">
        <v>0.0</v>
      </c>
    </row>
    <row r="275" ht="12.75" customHeight="1">
      <c r="A275" s="1">
        <v>2.0</v>
      </c>
      <c r="B275" s="2">
        <v>3802057.0</v>
      </c>
      <c r="C275" s="1" t="s">
        <v>152</v>
      </c>
      <c r="D275" s="1" t="s">
        <v>461</v>
      </c>
      <c r="E275" s="3">
        <v>1.0</v>
      </c>
      <c r="F275" s="3">
        <v>0.0</v>
      </c>
    </row>
    <row r="276" ht="12.75" customHeight="1">
      <c r="A276" s="1">
        <v>2.0</v>
      </c>
      <c r="B276" s="2">
        <v>3802219.0</v>
      </c>
      <c r="C276" s="1" t="s">
        <v>500</v>
      </c>
      <c r="D276" s="1" t="s">
        <v>501</v>
      </c>
      <c r="E276" s="3">
        <v>1.0</v>
      </c>
      <c r="F276" s="3">
        <v>0.0</v>
      </c>
    </row>
    <row r="277" ht="12.75" customHeight="1">
      <c r="A277" s="1">
        <v>2.0</v>
      </c>
      <c r="B277" s="2">
        <v>3802502.0</v>
      </c>
      <c r="C277" s="1" t="s">
        <v>207</v>
      </c>
      <c r="D277" s="1" t="s">
        <v>475</v>
      </c>
      <c r="E277" s="3">
        <v>1.0</v>
      </c>
      <c r="F277" s="3">
        <v>0.0</v>
      </c>
    </row>
    <row r="278" ht="12.75" customHeight="1">
      <c r="A278" s="1">
        <v>2.0</v>
      </c>
      <c r="B278" s="2">
        <v>3802507.0</v>
      </c>
      <c r="C278" s="1" t="s">
        <v>207</v>
      </c>
      <c r="D278" s="1" t="s">
        <v>479</v>
      </c>
      <c r="E278" s="3">
        <v>1.0</v>
      </c>
      <c r="F278" s="3">
        <v>0.0</v>
      </c>
    </row>
    <row r="279" ht="12.75" customHeight="1">
      <c r="A279" s="1">
        <v>2.0</v>
      </c>
      <c r="B279" s="2">
        <v>3802508.0</v>
      </c>
      <c r="C279" s="1" t="s">
        <v>207</v>
      </c>
      <c r="D279" s="1" t="s">
        <v>478</v>
      </c>
      <c r="E279" s="3">
        <v>1.0</v>
      </c>
      <c r="F279" s="3">
        <v>0.0</v>
      </c>
    </row>
    <row r="280" ht="12.75" customHeight="1">
      <c r="A280" s="1">
        <v>2.0</v>
      </c>
      <c r="B280" s="2">
        <v>3802661.0</v>
      </c>
      <c r="C280" s="1" t="s">
        <v>400</v>
      </c>
      <c r="D280" s="1" t="s">
        <v>460</v>
      </c>
      <c r="E280" s="3">
        <v>1.0</v>
      </c>
      <c r="F280" s="3">
        <v>0.0</v>
      </c>
    </row>
    <row r="281" ht="12.75" customHeight="1">
      <c r="A281" s="1">
        <v>2.0</v>
      </c>
      <c r="B281" s="2">
        <v>3805021.0</v>
      </c>
      <c r="C281" s="1" t="s">
        <v>476</v>
      </c>
      <c r="D281" s="1" t="s">
        <v>477</v>
      </c>
      <c r="E281" s="3">
        <v>1.0</v>
      </c>
      <c r="F281" s="3">
        <v>0.0</v>
      </c>
    </row>
    <row r="282" ht="12.75" customHeight="1">
      <c r="A282" s="1">
        <v>2.0</v>
      </c>
      <c r="B282" s="2">
        <v>4490104.0</v>
      </c>
      <c r="C282" s="1" t="s">
        <v>109</v>
      </c>
      <c r="D282" s="1" t="s">
        <v>497</v>
      </c>
      <c r="E282" s="3">
        <v>1.0</v>
      </c>
      <c r="F282" s="3">
        <v>0.0</v>
      </c>
    </row>
    <row r="283" ht="12.75" customHeight="1">
      <c r="A283" s="1">
        <v>2.0</v>
      </c>
      <c r="B283" s="2" t="s">
        <v>468</v>
      </c>
      <c r="C283" s="1" t="s">
        <v>469</v>
      </c>
      <c r="D283" s="1" t="s">
        <v>470</v>
      </c>
      <c r="E283" s="3">
        <v>1.0</v>
      </c>
      <c r="F283" s="3">
        <v>0.0</v>
      </c>
    </row>
    <row r="284" ht="12.75" customHeight="1">
      <c r="A284" s="1">
        <v>2.0</v>
      </c>
      <c r="B284" s="2">
        <v>5100203.0</v>
      </c>
      <c r="C284" s="1" t="s">
        <v>514</v>
      </c>
      <c r="D284" s="1" t="s">
        <v>515</v>
      </c>
      <c r="E284" s="3">
        <v>1.0</v>
      </c>
      <c r="F284" s="3">
        <v>0.0</v>
      </c>
    </row>
    <row r="285" ht="12.75" customHeight="1">
      <c r="A285" s="1">
        <v>2.0</v>
      </c>
      <c r="B285" s="2">
        <v>5760202.0</v>
      </c>
      <c r="C285" s="1" t="s">
        <v>80</v>
      </c>
      <c r="D285" s="1" t="s">
        <v>538</v>
      </c>
      <c r="E285" s="3">
        <v>1.0</v>
      </c>
      <c r="F285" s="3">
        <v>0.0</v>
      </c>
    </row>
    <row r="286" ht="12.75" customHeight="1">
      <c r="A286" s="1">
        <v>2.0</v>
      </c>
      <c r="B286" s="2">
        <v>7100102.0</v>
      </c>
      <c r="C286" s="1" t="s">
        <v>563</v>
      </c>
      <c r="D286" s="1" t="s">
        <v>564</v>
      </c>
      <c r="E286" s="3">
        <v>1.0</v>
      </c>
      <c r="F286" s="3">
        <v>0.0</v>
      </c>
    </row>
    <row r="287" ht="12.75" customHeight="1">
      <c r="A287" s="1">
        <v>2.0</v>
      </c>
      <c r="B287" s="2" t="s">
        <v>465</v>
      </c>
      <c r="C287" s="1" t="s">
        <v>466</v>
      </c>
      <c r="D287" s="1" t="s">
        <v>467</v>
      </c>
      <c r="E287" s="3">
        <v>1.0</v>
      </c>
      <c r="F287" s="3">
        <v>0.0</v>
      </c>
    </row>
    <row r="288" ht="12.75" customHeight="1">
      <c r="A288" s="1">
        <v>2.0</v>
      </c>
      <c r="B288" s="2">
        <v>8321508.0</v>
      </c>
      <c r="C288" s="1" t="s">
        <v>278</v>
      </c>
      <c r="D288" s="1" t="s">
        <v>558</v>
      </c>
      <c r="E288" s="3">
        <v>1.0</v>
      </c>
      <c r="F288" s="3">
        <v>0.0</v>
      </c>
    </row>
    <row r="289" ht="12.75" customHeight="1">
      <c r="A289" s="1">
        <v>2.0</v>
      </c>
      <c r="B289" s="2">
        <v>8501001.0</v>
      </c>
      <c r="C289" s="1" t="s">
        <v>491</v>
      </c>
      <c r="D289" s="1" t="s">
        <v>492</v>
      </c>
      <c r="E289" s="3">
        <v>1.0</v>
      </c>
      <c r="F289" s="3">
        <v>0.0</v>
      </c>
    </row>
    <row r="290" ht="12.75" customHeight="1">
      <c r="A290" s="1">
        <v>2.0</v>
      </c>
      <c r="B290" s="2">
        <v>8822001.0</v>
      </c>
      <c r="C290" s="1" t="s">
        <v>173</v>
      </c>
      <c r="D290" s="1" t="s">
        <v>557</v>
      </c>
      <c r="E290" s="3">
        <v>1.0</v>
      </c>
      <c r="F290" s="3">
        <v>0.0</v>
      </c>
    </row>
    <row r="291" ht="12.75" customHeight="1">
      <c r="A291" s="1">
        <v>2.0</v>
      </c>
      <c r="B291" s="2">
        <v>8822203.0</v>
      </c>
      <c r="C291" s="1" t="s">
        <v>178</v>
      </c>
      <c r="D291" s="1" t="s">
        <v>556</v>
      </c>
      <c r="E291" s="3">
        <v>1.0</v>
      </c>
      <c r="F291" s="3">
        <v>0.0</v>
      </c>
    </row>
    <row r="292" ht="12.75" customHeight="1">
      <c r="A292" s="1">
        <v>2.0</v>
      </c>
      <c r="B292" s="2">
        <v>9480104.0</v>
      </c>
      <c r="C292" s="1" t="s">
        <v>559</v>
      </c>
      <c r="D292" s="1" t="s">
        <v>560</v>
      </c>
      <c r="E292" s="3">
        <v>1.0</v>
      </c>
      <c r="F292" s="3">
        <v>0.0</v>
      </c>
    </row>
    <row r="293" ht="12.75" customHeight="1">
      <c r="A293" s="1">
        <v>2.0</v>
      </c>
      <c r="B293" s="2">
        <v>9620210.0</v>
      </c>
      <c r="C293" s="1" t="s">
        <v>536</v>
      </c>
      <c r="D293" s="1" t="s">
        <v>537</v>
      </c>
      <c r="E293" s="3">
        <v>1.0</v>
      </c>
      <c r="F293" s="3">
        <v>0.0</v>
      </c>
    </row>
    <row r="294" ht="12.75" customHeight="1">
      <c r="A294" s="1">
        <v>2.0</v>
      </c>
      <c r="B294" s="2">
        <v>9910104.0</v>
      </c>
      <c r="C294" s="1" t="s">
        <v>356</v>
      </c>
      <c r="D294" s="1" t="s">
        <v>527</v>
      </c>
      <c r="E294" s="3">
        <v>1.0</v>
      </c>
      <c r="F294" s="3">
        <v>0.0</v>
      </c>
    </row>
    <row r="295" ht="12.75" customHeight="1">
      <c r="A295" s="1">
        <v>1.0</v>
      </c>
      <c r="B295" s="2" t="s">
        <v>835</v>
      </c>
      <c r="C295" s="1" t="s">
        <v>836</v>
      </c>
      <c r="D295" s="1" t="s">
        <v>837</v>
      </c>
      <c r="E295" s="3">
        <v>1.0</v>
      </c>
      <c r="F295" s="3">
        <v>0.0</v>
      </c>
    </row>
    <row r="296" ht="12.75" customHeight="1">
      <c r="A296" s="1">
        <v>1.0</v>
      </c>
      <c r="B296" s="2">
        <v>130102.0</v>
      </c>
      <c r="C296" s="1" t="s">
        <v>1363</v>
      </c>
      <c r="D296" s="1" t="s">
        <v>375</v>
      </c>
      <c r="E296" s="3">
        <v>1.0</v>
      </c>
      <c r="F296" s="3">
        <v>0.0</v>
      </c>
    </row>
    <row r="297" ht="12.75" customHeight="1">
      <c r="A297" s="1">
        <v>1.0</v>
      </c>
      <c r="B297" s="2">
        <v>190301.0</v>
      </c>
      <c r="C297" s="1" t="s">
        <v>838</v>
      </c>
      <c r="D297" s="1" t="s">
        <v>839</v>
      </c>
      <c r="E297" s="3">
        <v>1.0</v>
      </c>
      <c r="F297" s="3">
        <v>0.0</v>
      </c>
    </row>
    <row r="298" ht="12.75" customHeight="1">
      <c r="A298" s="1">
        <v>1.0</v>
      </c>
      <c r="B298" s="2" t="s">
        <v>1351</v>
      </c>
      <c r="C298" s="1" t="s">
        <v>1352</v>
      </c>
      <c r="D298" s="1" t="s">
        <v>1353</v>
      </c>
      <c r="E298" s="3">
        <v>1.0</v>
      </c>
      <c r="F298" s="3">
        <v>0.0</v>
      </c>
    </row>
    <row r="299" ht="12.75" customHeight="1">
      <c r="A299" s="1">
        <v>1.0</v>
      </c>
      <c r="B299" s="2" t="s">
        <v>676</v>
      </c>
      <c r="C299" s="1" t="s">
        <v>677</v>
      </c>
      <c r="D299" s="1" t="s">
        <v>678</v>
      </c>
      <c r="E299" s="3">
        <v>1.0</v>
      </c>
      <c r="F299" s="3">
        <v>0.0</v>
      </c>
    </row>
    <row r="300" ht="12.75" customHeight="1">
      <c r="A300" s="1">
        <v>1.0</v>
      </c>
      <c r="B300" s="2" t="s">
        <v>614</v>
      </c>
      <c r="C300" s="1" t="s">
        <v>615</v>
      </c>
      <c r="D300" s="1">
        <v>35.0</v>
      </c>
      <c r="E300" s="3">
        <v>1.0</v>
      </c>
      <c r="F300" s="3">
        <v>0.0</v>
      </c>
    </row>
    <row r="301" ht="12.75" customHeight="1">
      <c r="A301" s="1">
        <v>1.0</v>
      </c>
      <c r="B301" s="2" t="s">
        <v>651</v>
      </c>
      <c r="C301" s="1" t="s">
        <v>652</v>
      </c>
      <c r="D301" s="1" t="s">
        <v>653</v>
      </c>
      <c r="E301" s="3">
        <v>1.0</v>
      </c>
      <c r="F301" s="3">
        <v>0.0</v>
      </c>
    </row>
    <row r="302" ht="12.75" customHeight="1">
      <c r="A302" s="1">
        <v>1.0</v>
      </c>
      <c r="B302" s="2" t="s">
        <v>624</v>
      </c>
      <c r="C302" s="1" t="s">
        <v>625</v>
      </c>
      <c r="D302" s="1" t="s">
        <v>626</v>
      </c>
      <c r="E302" s="3">
        <v>1.0</v>
      </c>
      <c r="F302" s="3">
        <v>0.0</v>
      </c>
    </row>
    <row r="303" ht="12.75" customHeight="1">
      <c r="A303" s="1">
        <v>1.0</v>
      </c>
      <c r="B303" s="2" t="s">
        <v>863</v>
      </c>
      <c r="C303" s="1" t="s">
        <v>864</v>
      </c>
      <c r="D303" s="1" t="s">
        <v>865</v>
      </c>
      <c r="E303" s="3">
        <v>1.0</v>
      </c>
      <c r="F303" s="3">
        <v>0.0</v>
      </c>
    </row>
    <row r="304" ht="12.75" customHeight="1">
      <c r="A304" s="1">
        <v>1.0</v>
      </c>
      <c r="B304" s="2" t="s">
        <v>897</v>
      </c>
      <c r="C304" s="1" t="s">
        <v>898</v>
      </c>
      <c r="D304" s="1" t="s">
        <v>895</v>
      </c>
      <c r="E304" s="3">
        <v>1.0</v>
      </c>
      <c r="F304" s="3">
        <v>0.0</v>
      </c>
    </row>
    <row r="305" ht="12.75" customHeight="1">
      <c r="A305" s="1">
        <v>1.0</v>
      </c>
      <c r="B305" s="2" t="s">
        <v>996</v>
      </c>
      <c r="C305" s="1" t="s">
        <v>997</v>
      </c>
      <c r="D305" s="1" t="s">
        <v>998</v>
      </c>
      <c r="E305" s="3">
        <v>1.0</v>
      </c>
      <c r="F305" s="3">
        <v>0.0</v>
      </c>
    </row>
    <row r="306" ht="12.75" customHeight="1">
      <c r="A306" s="1">
        <v>1.0</v>
      </c>
      <c r="B306" s="2">
        <v>560322.0</v>
      </c>
      <c r="C306" s="1" t="s">
        <v>1199</v>
      </c>
      <c r="D306" s="1" t="s">
        <v>1233</v>
      </c>
      <c r="E306" s="3">
        <v>1.0</v>
      </c>
      <c r="F306" s="3">
        <v>0.0</v>
      </c>
    </row>
    <row r="307" ht="12.75" customHeight="1">
      <c r="A307" s="1">
        <v>1.0</v>
      </c>
      <c r="B307" s="2">
        <v>560339.0</v>
      </c>
      <c r="C307" s="1" t="s">
        <v>911</v>
      </c>
      <c r="D307" s="1" t="s">
        <v>912</v>
      </c>
      <c r="E307" s="3">
        <v>1.0</v>
      </c>
      <c r="F307" s="3">
        <v>0.0</v>
      </c>
    </row>
    <row r="308" ht="12.75" customHeight="1">
      <c r="A308" s="1">
        <v>1.0</v>
      </c>
      <c r="B308" s="2" t="s">
        <v>1010</v>
      </c>
      <c r="C308" s="1" t="s">
        <v>1011</v>
      </c>
      <c r="D308" s="1" t="s">
        <v>1012</v>
      </c>
      <c r="E308" s="3">
        <v>1.0</v>
      </c>
      <c r="F308" s="3">
        <v>0.0</v>
      </c>
    </row>
    <row r="309" ht="12.75" customHeight="1">
      <c r="A309" s="1">
        <v>1.0</v>
      </c>
      <c r="B309" s="2">
        <v>560342.0</v>
      </c>
      <c r="C309" s="1" t="s">
        <v>892</v>
      </c>
      <c r="D309" s="1" t="s">
        <v>912</v>
      </c>
      <c r="E309" s="3">
        <v>1.0</v>
      </c>
      <c r="F309" s="3">
        <v>0.0</v>
      </c>
    </row>
    <row r="310" ht="12.75" customHeight="1">
      <c r="A310" s="1">
        <v>1.0</v>
      </c>
      <c r="B310" s="2">
        <v>560345.0</v>
      </c>
      <c r="C310" s="1" t="s">
        <v>892</v>
      </c>
      <c r="D310" s="1" t="s">
        <v>893</v>
      </c>
      <c r="E310" s="3">
        <v>1.0</v>
      </c>
      <c r="F310" s="3">
        <v>0.0</v>
      </c>
    </row>
    <row r="311" ht="12.75" customHeight="1">
      <c r="A311" s="1">
        <v>1.0</v>
      </c>
      <c r="B311" s="2">
        <v>560347.0</v>
      </c>
      <c r="C311" s="1" t="s">
        <v>892</v>
      </c>
      <c r="D311" s="1" t="s">
        <v>893</v>
      </c>
      <c r="E311" s="3">
        <v>1.0</v>
      </c>
      <c r="F311" s="3">
        <v>0.0</v>
      </c>
    </row>
    <row r="312" ht="12.75" customHeight="1">
      <c r="A312" s="1">
        <v>1.0</v>
      </c>
      <c r="B312" s="2" t="s">
        <v>905</v>
      </c>
      <c r="C312" s="1" t="s">
        <v>906</v>
      </c>
      <c r="D312" s="1" t="s">
        <v>907</v>
      </c>
      <c r="E312" s="3">
        <v>1.0</v>
      </c>
      <c r="F312" s="3">
        <v>0.0</v>
      </c>
    </row>
    <row r="313" ht="12.75" customHeight="1">
      <c r="A313" s="1">
        <v>1.0</v>
      </c>
      <c r="B313" s="2" t="s">
        <v>915</v>
      </c>
      <c r="C313" s="1" t="s">
        <v>916</v>
      </c>
      <c r="D313" s="1" t="s">
        <v>912</v>
      </c>
      <c r="E313" s="3">
        <v>1.0</v>
      </c>
      <c r="F313" s="3">
        <v>0.0</v>
      </c>
    </row>
    <row r="314" ht="12.75" customHeight="1">
      <c r="A314" s="1">
        <v>1.0</v>
      </c>
      <c r="B314" s="2">
        <v>560355.0</v>
      </c>
      <c r="C314" s="1" t="s">
        <v>892</v>
      </c>
      <c r="D314" s="1" t="s">
        <v>932</v>
      </c>
      <c r="E314" s="3">
        <v>1.0</v>
      </c>
      <c r="F314" s="3">
        <v>0.0</v>
      </c>
    </row>
    <row r="315" ht="12.75" customHeight="1">
      <c r="A315" s="1">
        <v>1.0</v>
      </c>
      <c r="B315" s="2" t="s">
        <v>899</v>
      </c>
      <c r="C315" s="1" t="s">
        <v>900</v>
      </c>
      <c r="D315" s="1" t="s">
        <v>895</v>
      </c>
      <c r="E315" s="3">
        <v>1.0</v>
      </c>
      <c r="F315" s="3">
        <v>0.0</v>
      </c>
    </row>
    <row r="316" ht="12.75" customHeight="1">
      <c r="A316" s="1">
        <v>1.0</v>
      </c>
      <c r="B316" s="2" t="s">
        <v>901</v>
      </c>
      <c r="C316" s="1" t="s">
        <v>892</v>
      </c>
      <c r="D316" s="1" t="s">
        <v>895</v>
      </c>
      <c r="E316" s="3">
        <v>1.0</v>
      </c>
      <c r="F316" s="3">
        <v>0.0</v>
      </c>
    </row>
    <row r="317" ht="12.75" customHeight="1">
      <c r="A317" s="1">
        <v>1.0</v>
      </c>
      <c r="B317" s="2" t="s">
        <v>902</v>
      </c>
      <c r="C317" s="1" t="s">
        <v>892</v>
      </c>
      <c r="D317" s="1" t="s">
        <v>895</v>
      </c>
      <c r="E317" s="3">
        <v>1.0</v>
      </c>
      <c r="F317" s="3">
        <v>0.0</v>
      </c>
    </row>
    <row r="318" ht="12.75" customHeight="1">
      <c r="A318" s="1">
        <v>1.0</v>
      </c>
      <c r="B318" s="2" t="s">
        <v>903</v>
      </c>
      <c r="C318" s="1" t="s">
        <v>892</v>
      </c>
      <c r="D318" s="1" t="s">
        <v>895</v>
      </c>
      <c r="E318" s="3">
        <v>1.0</v>
      </c>
      <c r="F318" s="3">
        <v>0.0</v>
      </c>
    </row>
    <row r="319" ht="12.75" customHeight="1">
      <c r="A319" s="1">
        <v>1.0</v>
      </c>
      <c r="B319" s="2" t="s">
        <v>917</v>
      </c>
      <c r="C319" s="1" t="s">
        <v>892</v>
      </c>
      <c r="D319" s="1" t="s">
        <v>912</v>
      </c>
      <c r="E319" s="3">
        <v>1.0</v>
      </c>
      <c r="F319" s="3">
        <v>0.0</v>
      </c>
    </row>
    <row r="320" ht="12.75" customHeight="1">
      <c r="A320" s="1">
        <v>1.0</v>
      </c>
      <c r="B320" s="2" t="s">
        <v>904</v>
      </c>
      <c r="C320" s="1" t="s">
        <v>892</v>
      </c>
      <c r="D320" s="1" t="s">
        <v>895</v>
      </c>
      <c r="E320" s="3">
        <v>1.0</v>
      </c>
      <c r="F320" s="3">
        <v>0.0</v>
      </c>
    </row>
    <row r="321" ht="12.75" customHeight="1">
      <c r="A321" s="1">
        <v>1.0</v>
      </c>
      <c r="B321" s="2" t="s">
        <v>970</v>
      </c>
      <c r="C321" s="1" t="s">
        <v>892</v>
      </c>
      <c r="D321" s="1" t="s">
        <v>971</v>
      </c>
      <c r="E321" s="3">
        <v>1.0</v>
      </c>
      <c r="F321" s="3">
        <v>0.0</v>
      </c>
    </row>
    <row r="322" ht="12.75" customHeight="1">
      <c r="A322" s="1">
        <v>1.0</v>
      </c>
      <c r="B322" s="2" t="s">
        <v>918</v>
      </c>
      <c r="C322" s="1" t="s">
        <v>892</v>
      </c>
      <c r="D322" s="1" t="s">
        <v>912</v>
      </c>
      <c r="E322" s="3">
        <v>1.0</v>
      </c>
      <c r="F322" s="3">
        <v>0.0</v>
      </c>
    </row>
    <row r="323" ht="12.75" customHeight="1">
      <c r="A323" s="1">
        <v>1.0</v>
      </c>
      <c r="B323" s="2" t="s">
        <v>1254</v>
      </c>
      <c r="C323" s="1" t="s">
        <v>1255</v>
      </c>
      <c r="D323" s="1" t="s">
        <v>1256</v>
      </c>
      <c r="E323" s="3">
        <v>1.0</v>
      </c>
      <c r="F323" s="3">
        <v>0.0</v>
      </c>
    </row>
    <row r="324" ht="12.75" customHeight="1">
      <c r="A324" s="1">
        <v>1.0</v>
      </c>
      <c r="B324" s="2" t="s">
        <v>4533</v>
      </c>
      <c r="C324" s="1" t="s">
        <v>4534</v>
      </c>
      <c r="D324" s="1">
        <v>4.0</v>
      </c>
      <c r="E324" s="3">
        <v>1.0</v>
      </c>
      <c r="F324" s="3">
        <v>0.0</v>
      </c>
    </row>
    <row r="325" ht="12.75" customHeight="1">
      <c r="A325" s="1">
        <v>1.0</v>
      </c>
      <c r="B325" s="2" t="s">
        <v>908</v>
      </c>
      <c r="C325" s="1" t="s">
        <v>909</v>
      </c>
      <c r="D325" s="1" t="s">
        <v>910</v>
      </c>
      <c r="E325" s="3">
        <v>1.0</v>
      </c>
      <c r="F325" s="3">
        <v>0.0</v>
      </c>
    </row>
    <row r="326" ht="12.75" customHeight="1">
      <c r="A326" s="1">
        <v>1.0</v>
      </c>
      <c r="B326" s="2" t="s">
        <v>4535</v>
      </c>
      <c r="C326" s="1" t="s">
        <v>1709</v>
      </c>
      <c r="D326" s="1">
        <v>68.0</v>
      </c>
      <c r="E326" s="3">
        <v>1.0</v>
      </c>
      <c r="F326" s="3">
        <v>0.0</v>
      </c>
    </row>
    <row r="327" ht="12.75" customHeight="1">
      <c r="A327" s="1">
        <v>1.0</v>
      </c>
      <c r="B327" s="2" t="s">
        <v>4536</v>
      </c>
      <c r="C327" s="1" t="s">
        <v>4537</v>
      </c>
      <c r="D327" s="1" t="s">
        <v>4538</v>
      </c>
      <c r="E327" s="3">
        <v>1.0</v>
      </c>
      <c r="F327" s="3">
        <v>0.0</v>
      </c>
    </row>
    <row r="328" ht="12.75" customHeight="1">
      <c r="A328" s="1">
        <v>1.0</v>
      </c>
      <c r="B328" s="2" t="s">
        <v>4539</v>
      </c>
      <c r="C328" s="1" t="s">
        <v>4540</v>
      </c>
      <c r="D328" s="1" t="s">
        <v>4541</v>
      </c>
      <c r="E328" s="3">
        <v>1.0</v>
      </c>
      <c r="F328" s="3">
        <v>0.0</v>
      </c>
    </row>
    <row r="329" ht="12.75" customHeight="1">
      <c r="A329" s="1">
        <v>1.0</v>
      </c>
      <c r="B329" s="2" t="s">
        <v>4542</v>
      </c>
      <c r="C329" s="1" t="s">
        <v>4543</v>
      </c>
      <c r="D329" s="1" t="s">
        <v>4544</v>
      </c>
      <c r="E329" s="3">
        <v>1.0</v>
      </c>
      <c r="F329" s="3">
        <v>0.0</v>
      </c>
    </row>
    <row r="330" ht="12.75" customHeight="1">
      <c r="A330" s="1">
        <v>1.0</v>
      </c>
      <c r="B330" s="2" t="s">
        <v>919</v>
      </c>
      <c r="C330" s="1" t="s">
        <v>495</v>
      </c>
      <c r="D330" s="1" t="s">
        <v>912</v>
      </c>
      <c r="E330" s="3">
        <v>1.0</v>
      </c>
      <c r="F330" s="3">
        <v>0.0</v>
      </c>
    </row>
    <row r="331" ht="12.75" customHeight="1">
      <c r="A331" s="1">
        <v>1.0</v>
      </c>
      <c r="B331" s="2" t="s">
        <v>930</v>
      </c>
      <c r="C331" s="1" t="s">
        <v>495</v>
      </c>
      <c r="D331" s="1" t="s">
        <v>931</v>
      </c>
      <c r="E331" s="3">
        <v>1.0</v>
      </c>
      <c r="F331" s="3">
        <v>0.0</v>
      </c>
    </row>
    <row r="332" ht="12.75" customHeight="1">
      <c r="A332" s="1">
        <v>1.0</v>
      </c>
      <c r="B332" s="2" t="s">
        <v>1197</v>
      </c>
      <c r="C332" s="1" t="s">
        <v>1198</v>
      </c>
      <c r="D332" s="1" t="s">
        <v>1199</v>
      </c>
      <c r="E332" s="3">
        <v>1.0</v>
      </c>
      <c r="F332" s="3">
        <v>0.0</v>
      </c>
    </row>
    <row r="333" ht="12.75" customHeight="1">
      <c r="A333" s="1">
        <v>1.0</v>
      </c>
      <c r="B333" s="2" t="s">
        <v>875</v>
      </c>
      <c r="C333" s="1" t="s">
        <v>876</v>
      </c>
      <c r="D333" s="1" t="s">
        <v>877</v>
      </c>
      <c r="E333" s="3">
        <v>1.0</v>
      </c>
      <c r="F333" s="3">
        <v>0.0</v>
      </c>
    </row>
    <row r="334" ht="12.75" customHeight="1">
      <c r="A334" s="1">
        <v>1.0</v>
      </c>
      <c r="B334" s="2" t="s">
        <v>1007</v>
      </c>
      <c r="C334" s="1" t="s">
        <v>1008</v>
      </c>
      <c r="D334" s="1" t="s">
        <v>1009</v>
      </c>
      <c r="E334" s="3">
        <v>1.0</v>
      </c>
      <c r="F334" s="3">
        <v>0.0</v>
      </c>
    </row>
    <row r="335" ht="12.75" customHeight="1">
      <c r="A335" s="1">
        <v>1.0</v>
      </c>
      <c r="B335" s="2" t="s">
        <v>1154</v>
      </c>
      <c r="C335" s="1" t="s">
        <v>1155</v>
      </c>
      <c r="D335" s="1" t="s">
        <v>1156</v>
      </c>
      <c r="E335" s="3">
        <v>1.0</v>
      </c>
      <c r="F335" s="3">
        <v>0.0</v>
      </c>
    </row>
    <row r="336" ht="12.75" customHeight="1">
      <c r="A336" s="1">
        <v>1.0</v>
      </c>
      <c r="B336" s="2" t="s">
        <v>1237</v>
      </c>
      <c r="C336" s="1" t="s">
        <v>1238</v>
      </c>
      <c r="D336" s="1" t="s">
        <v>1239</v>
      </c>
      <c r="E336" s="3">
        <v>1.0</v>
      </c>
      <c r="F336" s="3">
        <v>0.0</v>
      </c>
    </row>
    <row r="337" ht="12.75" customHeight="1">
      <c r="A337" s="1">
        <v>1.0</v>
      </c>
      <c r="B337" s="2" t="s">
        <v>4545</v>
      </c>
      <c r="C337" s="1" t="s">
        <v>4546</v>
      </c>
      <c r="D337" s="1" t="s">
        <v>4547</v>
      </c>
      <c r="E337" s="3">
        <v>1.0</v>
      </c>
      <c r="F337" s="3">
        <v>0.0</v>
      </c>
    </row>
    <row r="338" ht="12.75" customHeight="1">
      <c r="A338" s="1">
        <v>1.0</v>
      </c>
      <c r="B338" s="2" t="s">
        <v>1185</v>
      </c>
      <c r="C338" s="1" t="s">
        <v>1186</v>
      </c>
      <c r="D338" s="1" t="s">
        <v>1187</v>
      </c>
      <c r="E338" s="3">
        <v>1.0</v>
      </c>
      <c r="F338" s="3">
        <v>0.0</v>
      </c>
    </row>
    <row r="339" ht="12.75" customHeight="1">
      <c r="A339" s="1">
        <v>1.0</v>
      </c>
      <c r="B339" s="2" t="s">
        <v>4548</v>
      </c>
      <c r="C339" s="1" t="s">
        <v>4549</v>
      </c>
      <c r="D339" s="1" t="s">
        <v>4550</v>
      </c>
      <c r="E339" s="3">
        <v>1.0</v>
      </c>
      <c r="F339" s="3">
        <v>0.0</v>
      </c>
    </row>
    <row r="340" ht="12.75" customHeight="1">
      <c r="A340" s="1">
        <v>1.0</v>
      </c>
      <c r="B340" s="2" t="s">
        <v>920</v>
      </c>
      <c r="C340" s="1" t="s">
        <v>921</v>
      </c>
      <c r="D340" s="1" t="s">
        <v>912</v>
      </c>
      <c r="E340" s="3">
        <v>1.0</v>
      </c>
      <c r="F340" s="3">
        <v>0.0</v>
      </c>
    </row>
    <row r="341" ht="12.75" customHeight="1">
      <c r="A341" s="1">
        <v>1.0</v>
      </c>
      <c r="B341" s="2" t="s">
        <v>1234</v>
      </c>
      <c r="C341" s="1" t="s">
        <v>1235</v>
      </c>
      <c r="D341" s="1" t="s">
        <v>1236</v>
      </c>
      <c r="E341" s="3">
        <v>1.0</v>
      </c>
      <c r="F341" s="3">
        <v>0.0</v>
      </c>
    </row>
    <row r="342" ht="12.75" customHeight="1">
      <c r="A342" s="1">
        <v>1.0</v>
      </c>
      <c r="B342" s="2" t="s">
        <v>1017</v>
      </c>
      <c r="C342" s="1" t="s">
        <v>1018</v>
      </c>
      <c r="D342" s="1" t="s">
        <v>1019</v>
      </c>
      <c r="E342" s="3">
        <v>1.0</v>
      </c>
      <c r="F342" s="3">
        <v>0.0</v>
      </c>
    </row>
    <row r="343" ht="12.75" customHeight="1">
      <c r="A343" s="1">
        <v>1.0</v>
      </c>
      <c r="B343" s="2" t="s">
        <v>1271</v>
      </c>
      <c r="C343" s="1" t="s">
        <v>1272</v>
      </c>
      <c r="D343" s="1" t="s">
        <v>1273</v>
      </c>
      <c r="E343" s="3">
        <v>1.0</v>
      </c>
      <c r="F343" s="3">
        <v>0.0</v>
      </c>
    </row>
    <row r="344" ht="12.75" customHeight="1">
      <c r="A344" s="1">
        <v>1.0</v>
      </c>
      <c r="B344" s="2" t="s">
        <v>1038</v>
      </c>
      <c r="C344" s="1" t="s">
        <v>1039</v>
      </c>
      <c r="D344" s="1" t="s">
        <v>1040</v>
      </c>
      <c r="E344" s="3">
        <v>1.0</v>
      </c>
      <c r="F344" s="3">
        <v>0.0</v>
      </c>
    </row>
    <row r="345" ht="12.75" customHeight="1">
      <c r="A345" s="1">
        <v>1.0</v>
      </c>
      <c r="B345" s="2" t="s">
        <v>4551</v>
      </c>
      <c r="C345" s="1" t="s">
        <v>4552</v>
      </c>
      <c r="D345" s="1" t="s">
        <v>4553</v>
      </c>
      <c r="E345" s="3">
        <v>1.0</v>
      </c>
      <c r="F345" s="3">
        <v>0.0</v>
      </c>
    </row>
    <row r="346" ht="12.75" customHeight="1">
      <c r="A346" s="1">
        <v>1.0</v>
      </c>
      <c r="B346" s="2" t="s">
        <v>922</v>
      </c>
      <c r="C346" s="1" t="s">
        <v>923</v>
      </c>
      <c r="D346" s="1" t="s">
        <v>912</v>
      </c>
      <c r="E346" s="3">
        <v>1.0</v>
      </c>
      <c r="F346" s="3">
        <v>0.0</v>
      </c>
    </row>
    <row r="347" ht="12.75" customHeight="1">
      <c r="A347" s="1">
        <v>1.0</v>
      </c>
      <c r="B347" s="2" t="s">
        <v>1257</v>
      </c>
      <c r="C347" s="1" t="s">
        <v>1258</v>
      </c>
      <c r="D347" s="1" t="s">
        <v>1259</v>
      </c>
      <c r="E347" s="3">
        <v>1.0</v>
      </c>
      <c r="F347" s="3">
        <v>0.0</v>
      </c>
    </row>
    <row r="348" ht="12.75" customHeight="1">
      <c r="A348" s="1">
        <v>1.0</v>
      </c>
      <c r="B348" s="2" t="s">
        <v>4554</v>
      </c>
      <c r="C348" s="1" t="s">
        <v>3130</v>
      </c>
      <c r="D348" s="1">
        <v>3.0</v>
      </c>
      <c r="E348" s="3">
        <v>1.0</v>
      </c>
      <c r="F348" s="3">
        <v>0.0</v>
      </c>
    </row>
    <row r="349" ht="12.75" customHeight="1">
      <c r="A349" s="1">
        <v>1.0</v>
      </c>
      <c r="B349" s="2" t="s">
        <v>1148</v>
      </c>
      <c r="C349" s="1" t="s">
        <v>1149</v>
      </c>
      <c r="D349" s="1" t="s">
        <v>1150</v>
      </c>
      <c r="E349" s="3">
        <v>1.0</v>
      </c>
      <c r="F349" s="3">
        <v>0.0</v>
      </c>
    </row>
    <row r="350" ht="12.75" customHeight="1">
      <c r="A350" s="1">
        <v>1.0</v>
      </c>
      <c r="B350" s="2" t="s">
        <v>4555</v>
      </c>
      <c r="C350" s="1" t="s">
        <v>4556</v>
      </c>
      <c r="D350" s="1" t="s">
        <v>4557</v>
      </c>
      <c r="E350" s="3">
        <v>1.0</v>
      </c>
      <c r="F350" s="3">
        <v>0.0</v>
      </c>
    </row>
    <row r="351" ht="12.75" customHeight="1">
      <c r="A351" s="1">
        <v>1.0</v>
      </c>
      <c r="B351" s="2" t="s">
        <v>1121</v>
      </c>
      <c r="C351" s="1" t="s">
        <v>1122</v>
      </c>
      <c r="D351" s="1" t="s">
        <v>1123</v>
      </c>
      <c r="E351" s="3">
        <v>1.0</v>
      </c>
      <c r="F351" s="3">
        <v>0.0</v>
      </c>
    </row>
    <row r="352" ht="12.75" customHeight="1">
      <c r="A352" s="1">
        <v>1.0</v>
      </c>
      <c r="B352" s="2" t="s">
        <v>654</v>
      </c>
      <c r="C352" s="1" t="s">
        <v>655</v>
      </c>
      <c r="D352" s="1" t="s">
        <v>653</v>
      </c>
      <c r="E352" s="3">
        <v>1.0</v>
      </c>
      <c r="F352" s="3">
        <v>0.0</v>
      </c>
    </row>
    <row r="353" ht="12.75" customHeight="1">
      <c r="A353" s="1">
        <v>1.0</v>
      </c>
      <c r="B353" s="2" t="s">
        <v>641</v>
      </c>
      <c r="C353" s="1" t="s">
        <v>94</v>
      </c>
      <c r="D353" s="1" t="s">
        <v>642</v>
      </c>
      <c r="E353" s="3">
        <v>1.0</v>
      </c>
      <c r="F353" s="3">
        <v>0.0</v>
      </c>
    </row>
    <row r="354" ht="12.75" customHeight="1">
      <c r="A354" s="1">
        <v>1.0</v>
      </c>
      <c r="B354" s="2">
        <v>560648.0</v>
      </c>
      <c r="C354" s="1" t="s">
        <v>649</v>
      </c>
      <c r="D354" s="1" t="s">
        <v>650</v>
      </c>
      <c r="E354" s="3">
        <v>1.0</v>
      </c>
      <c r="F354" s="3">
        <v>0.0</v>
      </c>
    </row>
    <row r="355" ht="12.75" customHeight="1">
      <c r="A355" s="1">
        <v>1.0</v>
      </c>
      <c r="B355" s="2" t="s">
        <v>1032</v>
      </c>
      <c r="C355" s="1" t="s">
        <v>1033</v>
      </c>
      <c r="D355" s="1" t="s">
        <v>1034</v>
      </c>
      <c r="E355" s="3">
        <v>1.0</v>
      </c>
      <c r="F355" s="3">
        <v>0.0</v>
      </c>
    </row>
    <row r="356" ht="12.75" customHeight="1">
      <c r="A356" s="1">
        <v>1.0</v>
      </c>
      <c r="B356" s="2" t="s">
        <v>828</v>
      </c>
      <c r="C356" s="1" t="s">
        <v>823</v>
      </c>
      <c r="D356" s="1" t="s">
        <v>829</v>
      </c>
      <c r="E356" s="3">
        <v>1.0</v>
      </c>
      <c r="F356" s="3">
        <v>0.0</v>
      </c>
    </row>
    <row r="357" ht="12.75" customHeight="1">
      <c r="A357" s="1">
        <v>1.0</v>
      </c>
      <c r="B357" s="2" t="s">
        <v>776</v>
      </c>
      <c r="C357" s="1" t="s">
        <v>777</v>
      </c>
      <c r="D357" s="1" t="s">
        <v>778</v>
      </c>
      <c r="E357" s="3">
        <v>1.0</v>
      </c>
      <c r="F357" s="3">
        <v>0.0</v>
      </c>
    </row>
    <row r="358" ht="12.75" customHeight="1">
      <c r="A358" s="1">
        <v>1.0</v>
      </c>
      <c r="B358" s="2" t="s">
        <v>1218</v>
      </c>
      <c r="C358" s="1" t="s">
        <v>1219</v>
      </c>
      <c r="D358" s="1" t="s">
        <v>1220</v>
      </c>
      <c r="E358" s="3">
        <v>1.0</v>
      </c>
      <c r="F358" s="3">
        <v>0.0</v>
      </c>
    </row>
    <row r="359" ht="12.75" customHeight="1">
      <c r="A359" s="1">
        <v>1.0</v>
      </c>
      <c r="B359" s="2" t="s">
        <v>4558</v>
      </c>
      <c r="C359" s="1" t="s">
        <v>4559</v>
      </c>
      <c r="D359" s="1" t="s">
        <v>615</v>
      </c>
      <c r="E359" s="3">
        <v>1.0</v>
      </c>
      <c r="F359" s="3">
        <v>0.0</v>
      </c>
    </row>
    <row r="360" ht="12.75" customHeight="1">
      <c r="A360" s="1">
        <v>1.0</v>
      </c>
      <c r="B360" s="2" t="s">
        <v>871</v>
      </c>
      <c r="C360" s="1" t="s">
        <v>872</v>
      </c>
      <c r="D360" s="1" t="s">
        <v>870</v>
      </c>
      <c r="E360" s="3">
        <v>1.0</v>
      </c>
      <c r="F360" s="3">
        <v>0.0</v>
      </c>
    </row>
    <row r="361" ht="12.75" customHeight="1">
      <c r="A361" s="1">
        <v>1.0</v>
      </c>
      <c r="B361" s="2" t="s">
        <v>873</v>
      </c>
      <c r="C361" s="1" t="s">
        <v>874</v>
      </c>
      <c r="D361" s="1" t="s">
        <v>870</v>
      </c>
      <c r="E361" s="3">
        <v>1.0</v>
      </c>
      <c r="F361" s="3">
        <v>0.0</v>
      </c>
    </row>
    <row r="362" ht="12.75" customHeight="1">
      <c r="A362" s="1">
        <v>1.0</v>
      </c>
      <c r="B362" s="2" t="s">
        <v>1046</v>
      </c>
      <c r="C362" s="1" t="s">
        <v>1047</v>
      </c>
      <c r="D362" s="1" t="s">
        <v>177</v>
      </c>
      <c r="E362" s="3">
        <v>1.0</v>
      </c>
      <c r="F362" s="3">
        <v>0.0</v>
      </c>
    </row>
    <row r="363" ht="12.75" customHeight="1">
      <c r="A363" s="1">
        <v>1.0</v>
      </c>
      <c r="B363" s="2" t="s">
        <v>1274</v>
      </c>
      <c r="C363" s="1" t="s">
        <v>1275</v>
      </c>
      <c r="D363" s="1" t="s">
        <v>1276</v>
      </c>
      <c r="E363" s="3">
        <v>1.0</v>
      </c>
      <c r="F363" s="3">
        <v>0.0</v>
      </c>
    </row>
    <row r="364" ht="12.75" customHeight="1">
      <c r="A364" s="1">
        <v>1.0</v>
      </c>
      <c r="B364" s="2" t="s">
        <v>1287</v>
      </c>
      <c r="C364" s="1" t="s">
        <v>631</v>
      </c>
      <c r="D364" s="1" t="s">
        <v>1288</v>
      </c>
      <c r="E364" s="3">
        <v>1.0</v>
      </c>
      <c r="F364" s="3">
        <v>0.0</v>
      </c>
    </row>
    <row r="365" ht="12.75" customHeight="1">
      <c r="A365" s="1">
        <v>1.0</v>
      </c>
      <c r="B365" s="2" t="s">
        <v>1145</v>
      </c>
      <c r="C365" s="1" t="s">
        <v>1146</v>
      </c>
      <c r="D365" s="1" t="s">
        <v>1147</v>
      </c>
      <c r="E365" s="3">
        <v>1.0</v>
      </c>
      <c r="F365" s="3">
        <v>0.0</v>
      </c>
    </row>
    <row r="366" ht="12.75" customHeight="1">
      <c r="A366" s="1">
        <v>1.0</v>
      </c>
      <c r="B366" s="2" t="s">
        <v>4560</v>
      </c>
      <c r="C366" s="1" t="s">
        <v>4561</v>
      </c>
      <c r="D366" s="1" t="s">
        <v>4562</v>
      </c>
      <c r="E366" s="3">
        <v>1.0</v>
      </c>
      <c r="F366" s="3">
        <v>0.0</v>
      </c>
    </row>
    <row r="367" ht="12.75" customHeight="1">
      <c r="A367" s="1">
        <v>1.0</v>
      </c>
      <c r="B367" s="2" t="s">
        <v>1029</v>
      </c>
      <c r="C367" s="1" t="s">
        <v>1030</v>
      </c>
      <c r="D367" s="1" t="s">
        <v>1031</v>
      </c>
      <c r="E367" s="3">
        <v>1.0</v>
      </c>
      <c r="F367" s="3">
        <v>0.0</v>
      </c>
    </row>
    <row r="368" ht="12.75" customHeight="1">
      <c r="A368" s="1">
        <v>1.0</v>
      </c>
      <c r="B368" s="2" t="s">
        <v>636</v>
      </c>
      <c r="C368" s="1" t="s">
        <v>155</v>
      </c>
      <c r="D368" s="1" t="s">
        <v>637</v>
      </c>
      <c r="E368" s="3">
        <v>1.0</v>
      </c>
      <c r="F368" s="3">
        <v>0.0</v>
      </c>
    </row>
    <row r="369" ht="12.75" customHeight="1">
      <c r="A369" s="1">
        <v>1.0</v>
      </c>
      <c r="B369" s="2" t="s">
        <v>1188</v>
      </c>
      <c r="C369" s="1" t="s">
        <v>1189</v>
      </c>
      <c r="D369" s="1" t="s">
        <v>1190</v>
      </c>
      <c r="E369" s="3">
        <v>1.0</v>
      </c>
      <c r="F369" s="3">
        <v>0.0</v>
      </c>
    </row>
    <row r="370" ht="12.75" customHeight="1">
      <c r="A370" s="1">
        <v>1.0</v>
      </c>
      <c r="B370" s="2" t="s">
        <v>822</v>
      </c>
      <c r="C370" s="1" t="s">
        <v>823</v>
      </c>
      <c r="D370" s="1" t="s">
        <v>824</v>
      </c>
      <c r="E370" s="3">
        <v>1.0</v>
      </c>
      <c r="F370" s="3">
        <v>0.0</v>
      </c>
    </row>
    <row r="371" ht="12.75" customHeight="1">
      <c r="A371" s="1">
        <v>1.0</v>
      </c>
      <c r="B371" s="2" t="s">
        <v>1284</v>
      </c>
      <c r="C371" s="1" t="s">
        <v>631</v>
      </c>
      <c r="D371" s="1" t="s">
        <v>1285</v>
      </c>
      <c r="E371" s="3">
        <v>1.0</v>
      </c>
      <c r="F371" s="3">
        <v>0.0</v>
      </c>
    </row>
    <row r="372" ht="12.75" customHeight="1">
      <c r="A372" s="1">
        <v>1.0</v>
      </c>
      <c r="B372" s="2" t="s">
        <v>643</v>
      </c>
      <c r="C372" s="1" t="s">
        <v>644</v>
      </c>
      <c r="D372" s="1" t="s">
        <v>645</v>
      </c>
      <c r="E372" s="3">
        <v>1.0</v>
      </c>
      <c r="F372" s="3">
        <v>0.0</v>
      </c>
    </row>
    <row r="373" ht="12.75" customHeight="1">
      <c r="A373" s="1">
        <v>1.0</v>
      </c>
      <c r="B373" s="2" t="s">
        <v>692</v>
      </c>
      <c r="C373" s="1" t="s">
        <v>312</v>
      </c>
      <c r="D373" s="1" t="s">
        <v>693</v>
      </c>
      <c r="E373" s="3">
        <v>1.0</v>
      </c>
      <c r="F373" s="3">
        <v>0.0</v>
      </c>
    </row>
    <row r="374" ht="12.75" customHeight="1">
      <c r="A374" s="1">
        <v>1.0</v>
      </c>
      <c r="B374" s="2" t="s">
        <v>656</v>
      </c>
      <c r="C374" s="1" t="s">
        <v>657</v>
      </c>
      <c r="D374" s="1" t="s">
        <v>653</v>
      </c>
      <c r="E374" s="3">
        <v>1.0</v>
      </c>
      <c r="F374" s="3">
        <v>0.0</v>
      </c>
    </row>
    <row r="375" ht="12.75" customHeight="1">
      <c r="A375" s="1">
        <v>1.0</v>
      </c>
      <c r="B375" s="2" t="s">
        <v>924</v>
      </c>
      <c r="C375" s="1" t="s">
        <v>925</v>
      </c>
      <c r="D375" s="1" t="s">
        <v>912</v>
      </c>
      <c r="E375" s="3">
        <v>1.0</v>
      </c>
      <c r="F375" s="3">
        <v>0.0</v>
      </c>
    </row>
    <row r="376" ht="12.75" customHeight="1">
      <c r="A376" s="1">
        <v>1.0</v>
      </c>
      <c r="B376" s="2" t="s">
        <v>671</v>
      </c>
      <c r="C376" s="1" t="s">
        <v>672</v>
      </c>
      <c r="D376" s="1" t="s">
        <v>673</v>
      </c>
      <c r="E376" s="3">
        <v>1.0</v>
      </c>
      <c r="F376" s="3">
        <v>0.0</v>
      </c>
    </row>
    <row r="377" ht="12.75" customHeight="1">
      <c r="A377" s="1">
        <v>1.0</v>
      </c>
      <c r="B377" s="2" t="s">
        <v>850</v>
      </c>
      <c r="C377" s="1" t="s">
        <v>348</v>
      </c>
      <c r="D377" s="1" t="s">
        <v>851</v>
      </c>
      <c r="E377" s="3">
        <v>1.0</v>
      </c>
      <c r="F377" s="3">
        <v>0.0</v>
      </c>
    </row>
    <row r="378" ht="12.75" customHeight="1">
      <c r="A378" s="1">
        <v>1.0</v>
      </c>
      <c r="B378" s="2" t="s">
        <v>679</v>
      </c>
      <c r="C378" s="1" t="s">
        <v>21</v>
      </c>
      <c r="D378" s="1" t="s">
        <v>680</v>
      </c>
      <c r="E378" s="3">
        <v>1.0</v>
      </c>
      <c r="F378" s="3">
        <v>0.0</v>
      </c>
    </row>
    <row r="379" ht="12.75" customHeight="1">
      <c r="A379" s="1">
        <v>1.0</v>
      </c>
      <c r="B379" s="2" t="s">
        <v>793</v>
      </c>
      <c r="C379" s="1" t="s">
        <v>794</v>
      </c>
      <c r="D379" s="1" t="s">
        <v>54</v>
      </c>
      <c r="E379" s="3">
        <v>1.0</v>
      </c>
      <c r="F379" s="3">
        <v>0.0</v>
      </c>
    </row>
    <row r="380" ht="12.75" customHeight="1">
      <c r="A380" s="1">
        <v>1.0</v>
      </c>
      <c r="B380" s="2" t="s">
        <v>4563</v>
      </c>
      <c r="C380" s="1" t="s">
        <v>4564</v>
      </c>
      <c r="D380" s="1" t="s">
        <v>4565</v>
      </c>
      <c r="E380" s="3">
        <v>1.0</v>
      </c>
      <c r="F380" s="3">
        <v>0.0</v>
      </c>
    </row>
    <row r="381" ht="12.75" customHeight="1">
      <c r="A381" s="1">
        <v>1.0</v>
      </c>
      <c r="B381" s="2" t="s">
        <v>4566</v>
      </c>
      <c r="C381" s="1" t="s">
        <v>4567</v>
      </c>
      <c r="D381" s="1" t="s">
        <v>1021</v>
      </c>
      <c r="E381" s="3">
        <v>1.0</v>
      </c>
      <c r="F381" s="3">
        <v>0.0</v>
      </c>
    </row>
    <row r="382" ht="12.75" customHeight="1">
      <c r="A382" s="1">
        <v>1.0</v>
      </c>
      <c r="B382" s="2" t="s">
        <v>1041</v>
      </c>
      <c r="C382" s="1" t="s">
        <v>1042</v>
      </c>
      <c r="D382" s="1" t="s">
        <v>354</v>
      </c>
      <c r="E382" s="3">
        <v>1.0</v>
      </c>
      <c r="F382" s="3">
        <v>0.0</v>
      </c>
    </row>
    <row r="383" ht="12.75" customHeight="1">
      <c r="A383" s="1">
        <v>1.0</v>
      </c>
      <c r="B383" s="2" t="s">
        <v>978</v>
      </c>
      <c r="C383" s="1" t="s">
        <v>979</v>
      </c>
      <c r="D383" s="1" t="s">
        <v>980</v>
      </c>
      <c r="E383" s="3">
        <v>1.0</v>
      </c>
      <c r="F383" s="3">
        <v>0.0</v>
      </c>
    </row>
    <row r="384" ht="12.75" customHeight="1">
      <c r="A384" s="1">
        <v>1.0</v>
      </c>
      <c r="B384" s="2" t="s">
        <v>665</v>
      </c>
      <c r="C384" s="1" t="s">
        <v>666</v>
      </c>
      <c r="D384" s="1" t="s">
        <v>667</v>
      </c>
      <c r="E384" s="3">
        <v>1.0</v>
      </c>
      <c r="F384" s="3">
        <v>0.0</v>
      </c>
    </row>
    <row r="385" ht="12.75" customHeight="1">
      <c r="A385" s="1">
        <v>1.0</v>
      </c>
      <c r="B385" s="2" t="s">
        <v>830</v>
      </c>
      <c r="C385" s="1" t="s">
        <v>823</v>
      </c>
      <c r="D385" s="1" t="s">
        <v>831</v>
      </c>
      <c r="E385" s="3">
        <v>1.0</v>
      </c>
      <c r="F385" s="3">
        <v>0.0</v>
      </c>
    </row>
    <row r="386" ht="12.75" customHeight="1">
      <c r="A386" s="1">
        <v>1.0</v>
      </c>
      <c r="B386" s="2" t="s">
        <v>1087</v>
      </c>
      <c r="C386" s="1" t="s">
        <v>1088</v>
      </c>
      <c r="D386" s="1" t="s">
        <v>1089</v>
      </c>
      <c r="E386" s="3">
        <v>1.0</v>
      </c>
      <c r="F386" s="3">
        <v>0.0</v>
      </c>
    </row>
    <row r="387" ht="12.75" customHeight="1">
      <c r="A387" s="1">
        <v>1.0</v>
      </c>
      <c r="B387" s="2">
        <v>561745.0</v>
      </c>
      <c r="C387" s="1" t="s">
        <v>1094</v>
      </c>
      <c r="D387" s="1" t="s">
        <v>1166</v>
      </c>
      <c r="E387" s="3">
        <v>1.0</v>
      </c>
      <c r="F387" s="3">
        <v>0.0</v>
      </c>
    </row>
    <row r="388" ht="12.75" customHeight="1">
      <c r="A388" s="1">
        <v>1.0</v>
      </c>
      <c r="B388" s="2" t="s">
        <v>1000</v>
      </c>
      <c r="C388" s="1" t="s">
        <v>1001</v>
      </c>
      <c r="D388" s="1" t="s">
        <v>1002</v>
      </c>
      <c r="E388" s="3">
        <v>1.0</v>
      </c>
      <c r="F388" s="3">
        <v>0.0</v>
      </c>
    </row>
    <row r="389" ht="12.75" customHeight="1">
      <c r="A389" s="1">
        <v>1.0</v>
      </c>
      <c r="B389" s="2" t="s">
        <v>889</v>
      </c>
      <c r="C389" s="1" t="s">
        <v>890</v>
      </c>
      <c r="D389" s="1" t="s">
        <v>891</v>
      </c>
      <c r="E389" s="3">
        <v>1.0</v>
      </c>
      <c r="F389" s="3">
        <v>0.0</v>
      </c>
    </row>
    <row r="390" ht="12.75" customHeight="1">
      <c r="A390" s="1">
        <v>1.0</v>
      </c>
      <c r="B390" s="2">
        <v>561969.0</v>
      </c>
      <c r="C390" s="1" t="s">
        <v>951</v>
      </c>
      <c r="D390" s="1" t="s">
        <v>952</v>
      </c>
      <c r="E390" s="3">
        <v>1.0</v>
      </c>
      <c r="F390" s="3">
        <v>0.0</v>
      </c>
    </row>
    <row r="391" ht="12.75" customHeight="1">
      <c r="A391" s="1">
        <v>1.0</v>
      </c>
      <c r="B391" s="2" t="s">
        <v>4568</v>
      </c>
      <c r="C391" s="1" t="s">
        <v>4569</v>
      </c>
      <c r="D391" s="1" t="s">
        <v>775</v>
      </c>
      <c r="E391" s="3">
        <v>1.0</v>
      </c>
      <c r="F391" s="3">
        <v>0.0</v>
      </c>
    </row>
    <row r="392" ht="12.75" customHeight="1">
      <c r="A392" s="1">
        <v>1.0</v>
      </c>
      <c r="B392" s="2" t="s">
        <v>825</v>
      </c>
      <c r="C392" s="1" t="s">
        <v>826</v>
      </c>
      <c r="D392" s="1" t="s">
        <v>827</v>
      </c>
      <c r="E392" s="3">
        <v>1.0</v>
      </c>
      <c r="F392" s="3">
        <v>0.0</v>
      </c>
    </row>
    <row r="393" ht="12.75" customHeight="1">
      <c r="A393" s="1">
        <v>1.0</v>
      </c>
      <c r="B393" s="2">
        <v>562077.0</v>
      </c>
      <c r="C393" s="1" t="s">
        <v>894</v>
      </c>
      <c r="D393" s="1" t="s">
        <v>895</v>
      </c>
      <c r="E393" s="3">
        <v>1.0</v>
      </c>
      <c r="F393" s="3">
        <v>0.0</v>
      </c>
    </row>
    <row r="394" ht="12.75" customHeight="1">
      <c r="A394" s="1">
        <v>1.0</v>
      </c>
      <c r="B394" s="2" t="s">
        <v>1175</v>
      </c>
      <c r="C394" s="1" t="s">
        <v>1176</v>
      </c>
      <c r="D394" s="1" t="s">
        <v>1177</v>
      </c>
      <c r="E394" s="3">
        <v>1.0</v>
      </c>
      <c r="F394" s="3">
        <v>0.0</v>
      </c>
    </row>
    <row r="395" ht="12.75" customHeight="1">
      <c r="A395" s="1">
        <v>1.0</v>
      </c>
      <c r="B395" s="2" t="s">
        <v>668</v>
      </c>
      <c r="C395" s="1" t="s">
        <v>669</v>
      </c>
      <c r="D395" s="1" t="s">
        <v>670</v>
      </c>
      <c r="E395" s="3">
        <v>1.0</v>
      </c>
      <c r="F395" s="3">
        <v>0.0</v>
      </c>
    </row>
    <row r="396" ht="12.75" customHeight="1">
      <c r="A396" s="1">
        <v>1.0</v>
      </c>
      <c r="B396" s="2">
        <v>562102.0</v>
      </c>
      <c r="C396" s="1" t="s">
        <v>1135</v>
      </c>
      <c r="D396" s="1" t="s">
        <v>1136</v>
      </c>
      <c r="E396" s="3">
        <v>1.0</v>
      </c>
      <c r="F396" s="3">
        <v>0.0</v>
      </c>
    </row>
    <row r="397" ht="12.75" customHeight="1">
      <c r="A397" s="1">
        <v>1.0</v>
      </c>
      <c r="B397" s="2" t="s">
        <v>1331</v>
      </c>
      <c r="C397" s="1" t="s">
        <v>1332</v>
      </c>
      <c r="D397" s="1" t="s">
        <v>1333</v>
      </c>
      <c r="E397" s="3">
        <v>1.0</v>
      </c>
      <c r="F397" s="3">
        <v>0.0</v>
      </c>
    </row>
    <row r="398" ht="12.75" customHeight="1">
      <c r="A398" s="1">
        <v>1.0</v>
      </c>
      <c r="B398" s="2" t="s">
        <v>1077</v>
      </c>
      <c r="C398" s="1" t="s">
        <v>242</v>
      </c>
      <c r="D398" s="1" t="s">
        <v>1078</v>
      </c>
      <c r="E398" s="3">
        <v>1.0</v>
      </c>
      <c r="F398" s="3">
        <v>0.0</v>
      </c>
    </row>
    <row r="399" ht="12.75" customHeight="1">
      <c r="A399" s="1">
        <v>1.0</v>
      </c>
      <c r="B399" s="2" t="s">
        <v>1297</v>
      </c>
      <c r="C399" s="1" t="s">
        <v>1298</v>
      </c>
      <c r="D399" s="1" t="s">
        <v>1296</v>
      </c>
      <c r="E399" s="3">
        <v>1.0</v>
      </c>
      <c r="F399" s="3">
        <v>0.0</v>
      </c>
    </row>
    <row r="400" ht="12.75" customHeight="1">
      <c r="A400" s="1">
        <v>1.0</v>
      </c>
      <c r="B400" s="2" t="s">
        <v>1112</v>
      </c>
      <c r="C400" s="1" t="s">
        <v>1113</v>
      </c>
      <c r="D400" s="1" t="s">
        <v>1114</v>
      </c>
      <c r="E400" s="3">
        <v>1.0</v>
      </c>
      <c r="F400" s="3">
        <v>0.0</v>
      </c>
    </row>
    <row r="401" ht="12.75" customHeight="1">
      <c r="A401" s="1">
        <v>1.0</v>
      </c>
      <c r="B401" s="2" t="s">
        <v>633</v>
      </c>
      <c r="C401" s="1" t="s">
        <v>634</v>
      </c>
      <c r="D401" s="1" t="s">
        <v>635</v>
      </c>
      <c r="E401" s="3">
        <v>1.0</v>
      </c>
      <c r="F401" s="3">
        <v>0.0</v>
      </c>
    </row>
    <row r="402" ht="12.75" customHeight="1">
      <c r="A402" s="1">
        <v>1.0</v>
      </c>
      <c r="B402" s="2" t="s">
        <v>4570</v>
      </c>
      <c r="C402" s="1" t="s">
        <v>4571</v>
      </c>
      <c r="D402" s="1" t="s">
        <v>4572</v>
      </c>
      <c r="E402" s="3">
        <v>1.0</v>
      </c>
      <c r="F402" s="3">
        <v>0.0</v>
      </c>
    </row>
    <row r="403" ht="12.75" customHeight="1">
      <c r="A403" s="1">
        <v>1.0</v>
      </c>
      <c r="B403" s="2" t="s">
        <v>674</v>
      </c>
      <c r="C403" s="1" t="s">
        <v>675</v>
      </c>
      <c r="D403" s="1" t="s">
        <v>460</v>
      </c>
      <c r="E403" s="3">
        <v>1.0</v>
      </c>
      <c r="F403" s="3">
        <v>0.0</v>
      </c>
    </row>
    <row r="404" ht="12.75" customHeight="1">
      <c r="A404" s="1">
        <v>1.0</v>
      </c>
      <c r="B404" s="2" t="s">
        <v>1072</v>
      </c>
      <c r="C404" s="1" t="s">
        <v>62</v>
      </c>
      <c r="D404" s="1" t="s">
        <v>1073</v>
      </c>
      <c r="E404" s="3">
        <v>1.0</v>
      </c>
      <c r="F404" s="3">
        <v>0.0</v>
      </c>
    </row>
    <row r="405" ht="12.75" customHeight="1">
      <c r="A405" s="1">
        <v>1.0</v>
      </c>
      <c r="B405" s="2" t="s">
        <v>1328</v>
      </c>
      <c r="C405" s="1" t="s">
        <v>178</v>
      </c>
      <c r="D405" s="1" t="s">
        <v>1329</v>
      </c>
      <c r="E405" s="3">
        <v>1.0</v>
      </c>
      <c r="F405" s="3">
        <v>0.0</v>
      </c>
    </row>
    <row r="406" ht="12.75" customHeight="1">
      <c r="A406" s="1">
        <v>1.0</v>
      </c>
      <c r="B406" s="2" t="s">
        <v>1178</v>
      </c>
      <c r="C406" s="1" t="s">
        <v>1179</v>
      </c>
      <c r="D406" s="1" t="s">
        <v>1177</v>
      </c>
      <c r="E406" s="3">
        <v>1.0</v>
      </c>
      <c r="F406" s="3">
        <v>0.0</v>
      </c>
    </row>
    <row r="407" ht="12.75" customHeight="1">
      <c r="A407" s="1">
        <v>1.0</v>
      </c>
      <c r="B407" s="2" t="s">
        <v>1277</v>
      </c>
      <c r="C407" s="1" t="s">
        <v>1278</v>
      </c>
      <c r="D407" s="1" t="s">
        <v>590</v>
      </c>
      <c r="E407" s="3">
        <v>1.0</v>
      </c>
      <c r="F407" s="3">
        <v>0.0</v>
      </c>
    </row>
    <row r="408" ht="12.75" customHeight="1">
      <c r="A408" s="1">
        <v>1.0</v>
      </c>
      <c r="B408" s="2">
        <v>562323.0</v>
      </c>
      <c r="C408" s="1" t="s">
        <v>1231</v>
      </c>
      <c r="D408" s="1" t="s">
        <v>1232</v>
      </c>
      <c r="E408" s="3">
        <v>1.0</v>
      </c>
      <c r="F408" s="3">
        <v>0.0</v>
      </c>
    </row>
    <row r="409" ht="12.75" customHeight="1">
      <c r="A409" s="1">
        <v>1.0</v>
      </c>
      <c r="B409" s="2" t="s">
        <v>4573</v>
      </c>
      <c r="C409" s="1" t="s">
        <v>4574</v>
      </c>
      <c r="D409" s="1" t="s">
        <v>4575</v>
      </c>
      <c r="E409" s="3">
        <v>1.0</v>
      </c>
      <c r="F409" s="3">
        <v>0.0</v>
      </c>
    </row>
    <row r="410" ht="12.75" customHeight="1">
      <c r="A410" s="1">
        <v>1.0</v>
      </c>
      <c r="B410" s="2" t="s">
        <v>1052</v>
      </c>
      <c r="C410" s="1" t="s">
        <v>1053</v>
      </c>
      <c r="D410" s="1" t="s">
        <v>1054</v>
      </c>
      <c r="E410" s="3">
        <v>1.0</v>
      </c>
      <c r="F410" s="3">
        <v>0.0</v>
      </c>
    </row>
    <row r="411" ht="12.75" customHeight="1">
      <c r="A411" s="1">
        <v>1.0</v>
      </c>
      <c r="B411" s="2">
        <v>562428.0</v>
      </c>
      <c r="C411" s="1" t="s">
        <v>820</v>
      </c>
      <c r="D411" s="1" t="s">
        <v>821</v>
      </c>
      <c r="E411" s="3">
        <v>1.0</v>
      </c>
      <c r="F411" s="3">
        <v>0.0</v>
      </c>
    </row>
    <row r="412" ht="12.75" customHeight="1">
      <c r="A412" s="1">
        <v>1.0</v>
      </c>
      <c r="B412" s="2" t="s">
        <v>4576</v>
      </c>
      <c r="C412" s="1" t="s">
        <v>4577</v>
      </c>
      <c r="D412" s="1" t="s">
        <v>4578</v>
      </c>
      <c r="E412" s="3">
        <v>1.0</v>
      </c>
      <c r="F412" s="3">
        <v>0.0</v>
      </c>
    </row>
    <row r="413" ht="12.75" customHeight="1">
      <c r="A413" s="1">
        <v>1.0</v>
      </c>
      <c r="B413" s="2" t="s">
        <v>689</v>
      </c>
      <c r="C413" s="1" t="s">
        <v>690</v>
      </c>
      <c r="D413" s="1" t="s">
        <v>691</v>
      </c>
      <c r="E413" s="3">
        <v>1.0</v>
      </c>
      <c r="F413" s="3">
        <v>0.0</v>
      </c>
    </row>
    <row r="414" ht="12.75" customHeight="1">
      <c r="A414" s="1">
        <v>1.0</v>
      </c>
      <c r="B414" s="2" t="s">
        <v>1215</v>
      </c>
      <c r="C414" s="1" t="s">
        <v>1216</v>
      </c>
      <c r="D414" s="1" t="s">
        <v>1217</v>
      </c>
      <c r="E414" s="3">
        <v>1.0</v>
      </c>
      <c r="F414" s="3">
        <v>0.0</v>
      </c>
    </row>
    <row r="415" ht="12.75" customHeight="1">
      <c r="A415" s="1">
        <v>1.0</v>
      </c>
      <c r="B415" s="2" t="s">
        <v>1312</v>
      </c>
      <c r="C415" s="1" t="s">
        <v>1313</v>
      </c>
      <c r="D415" s="1" t="s">
        <v>1314</v>
      </c>
      <c r="E415" s="3">
        <v>1.0</v>
      </c>
      <c r="F415" s="3">
        <v>0.0</v>
      </c>
    </row>
    <row r="416" ht="12.75" customHeight="1">
      <c r="A416" s="1">
        <v>1.0</v>
      </c>
      <c r="B416" s="2" t="s">
        <v>1065</v>
      </c>
      <c r="C416" s="1" t="s">
        <v>1066</v>
      </c>
      <c r="D416" s="1" t="s">
        <v>318</v>
      </c>
      <c r="E416" s="3">
        <v>1.0</v>
      </c>
      <c r="F416" s="3">
        <v>0.0</v>
      </c>
    </row>
    <row r="417" ht="12.75" customHeight="1">
      <c r="A417" s="1">
        <v>1.0</v>
      </c>
      <c r="B417" s="2" t="s">
        <v>658</v>
      </c>
      <c r="C417" s="1" t="s">
        <v>659</v>
      </c>
      <c r="D417" s="1" t="s">
        <v>653</v>
      </c>
      <c r="E417" s="3">
        <v>1.0</v>
      </c>
      <c r="F417" s="3">
        <v>0.0</v>
      </c>
    </row>
    <row r="418" ht="12.75" customHeight="1">
      <c r="A418" s="1">
        <v>1.0</v>
      </c>
      <c r="B418" s="2" t="s">
        <v>4579</v>
      </c>
      <c r="C418" s="1" t="s">
        <v>4580</v>
      </c>
      <c r="D418" s="1" t="s">
        <v>650</v>
      </c>
      <c r="E418" s="3">
        <v>1.0</v>
      </c>
      <c r="F418" s="3">
        <v>0.0</v>
      </c>
    </row>
    <row r="419" ht="12.75" customHeight="1">
      <c r="A419" s="1">
        <v>1.0</v>
      </c>
      <c r="B419" s="2" t="s">
        <v>660</v>
      </c>
      <c r="C419" s="1" t="s">
        <v>661</v>
      </c>
      <c r="D419" s="1" t="s">
        <v>653</v>
      </c>
      <c r="E419" s="3">
        <v>1.0</v>
      </c>
      <c r="F419" s="3">
        <v>0.0</v>
      </c>
    </row>
    <row r="420" ht="12.75" customHeight="1">
      <c r="A420" s="1">
        <v>1.0</v>
      </c>
      <c r="B420" s="2" t="s">
        <v>1069</v>
      </c>
      <c r="C420" s="1" t="s">
        <v>1070</v>
      </c>
      <c r="D420" s="1" t="s">
        <v>1071</v>
      </c>
      <c r="E420" s="3">
        <v>1.0</v>
      </c>
      <c r="F420" s="3">
        <v>0.0</v>
      </c>
    </row>
    <row r="421" ht="12.75" customHeight="1">
      <c r="A421" s="1">
        <v>1.0</v>
      </c>
      <c r="B421" s="2" t="s">
        <v>941</v>
      </c>
      <c r="C421" s="1" t="s">
        <v>942</v>
      </c>
      <c r="D421" s="1" t="s">
        <v>936</v>
      </c>
      <c r="E421" s="3">
        <v>1.0</v>
      </c>
      <c r="F421" s="3">
        <v>0.0</v>
      </c>
    </row>
    <row r="422" ht="12.75" customHeight="1">
      <c r="A422" s="1">
        <v>1.0</v>
      </c>
      <c r="B422" s="2">
        <v>562675.0</v>
      </c>
      <c r="C422" s="1" t="s">
        <v>853</v>
      </c>
      <c r="D422" s="1" t="s">
        <v>854</v>
      </c>
      <c r="E422" s="3">
        <v>1.0</v>
      </c>
      <c r="F422" s="3">
        <v>0.0</v>
      </c>
    </row>
    <row r="423" ht="12.75" customHeight="1">
      <c r="A423" s="1">
        <v>1.0</v>
      </c>
      <c r="B423" s="2" t="s">
        <v>1224</v>
      </c>
      <c r="C423" s="1" t="s">
        <v>1225</v>
      </c>
      <c r="D423" s="1" t="s">
        <v>1226</v>
      </c>
      <c r="E423" s="3">
        <v>1.0</v>
      </c>
      <c r="F423" s="3">
        <v>0.0</v>
      </c>
    </row>
    <row r="424" ht="12.75" customHeight="1">
      <c r="A424" s="1">
        <v>1.0</v>
      </c>
      <c r="B424" s="2" t="s">
        <v>728</v>
      </c>
      <c r="C424" s="1" t="s">
        <v>729</v>
      </c>
      <c r="D424" s="1" t="s">
        <v>730</v>
      </c>
      <c r="E424" s="3">
        <v>1.0</v>
      </c>
      <c r="F424" s="3">
        <v>0.0</v>
      </c>
    </row>
    <row r="425" ht="12.75" customHeight="1">
      <c r="A425" s="1">
        <v>1.0</v>
      </c>
      <c r="B425" s="2" t="s">
        <v>1080</v>
      </c>
      <c r="C425" s="1" t="s">
        <v>62</v>
      </c>
      <c r="D425" s="1" t="s">
        <v>1081</v>
      </c>
      <c r="E425" s="3">
        <v>1.0</v>
      </c>
      <c r="F425" s="3">
        <v>0.0</v>
      </c>
    </row>
    <row r="426" ht="12.75" customHeight="1">
      <c r="A426" s="1">
        <v>1.0</v>
      </c>
      <c r="B426" s="2" t="s">
        <v>662</v>
      </c>
      <c r="C426" s="1" t="s">
        <v>663</v>
      </c>
      <c r="D426" s="1" t="s">
        <v>664</v>
      </c>
      <c r="E426" s="3">
        <v>1.0</v>
      </c>
      <c r="F426" s="3">
        <v>0.0</v>
      </c>
    </row>
    <row r="427" ht="12.75" customHeight="1">
      <c r="A427" s="1">
        <v>1.0</v>
      </c>
      <c r="B427" s="2" t="s">
        <v>1292</v>
      </c>
      <c r="C427" s="1" t="s">
        <v>1293</v>
      </c>
      <c r="D427" s="1" t="s">
        <v>326</v>
      </c>
      <c r="E427" s="3">
        <v>1.0</v>
      </c>
      <c r="F427" s="3">
        <v>0.0</v>
      </c>
    </row>
    <row r="428" ht="12.75" customHeight="1">
      <c r="A428" s="1">
        <v>1.0</v>
      </c>
      <c r="B428" s="2">
        <v>562801.0</v>
      </c>
      <c r="C428" s="1" t="s">
        <v>4581</v>
      </c>
      <c r="D428" s="1" t="s">
        <v>4582</v>
      </c>
      <c r="E428" s="3">
        <v>1.0</v>
      </c>
      <c r="F428" s="3">
        <v>0.0</v>
      </c>
    </row>
    <row r="429" ht="12.75" customHeight="1">
      <c r="A429" s="1">
        <v>1.0</v>
      </c>
      <c r="B429" s="2" t="s">
        <v>866</v>
      </c>
      <c r="C429" s="1" t="s">
        <v>867</v>
      </c>
      <c r="D429" s="1" t="s">
        <v>868</v>
      </c>
      <c r="E429" s="3">
        <v>1.0</v>
      </c>
      <c r="F429" s="3">
        <v>0.0</v>
      </c>
    </row>
    <row r="430" ht="12.75" customHeight="1">
      <c r="A430" s="1">
        <v>1.0</v>
      </c>
      <c r="B430" s="2" t="s">
        <v>1061</v>
      </c>
      <c r="C430" s="1" t="s">
        <v>1062</v>
      </c>
      <c r="D430" s="1" t="s">
        <v>1063</v>
      </c>
      <c r="E430" s="3">
        <v>1.0</v>
      </c>
      <c r="F430" s="3">
        <v>0.0</v>
      </c>
    </row>
    <row r="431" ht="12.75" customHeight="1">
      <c r="A431" s="1">
        <v>1.0</v>
      </c>
      <c r="B431" s="2" t="s">
        <v>612</v>
      </c>
      <c r="C431" s="1" t="s">
        <v>613</v>
      </c>
      <c r="D431" s="1">
        <v>1.0</v>
      </c>
      <c r="E431" s="3">
        <v>1.0</v>
      </c>
      <c r="F431" s="3">
        <v>0.0</v>
      </c>
    </row>
    <row r="432" ht="12.75" customHeight="1">
      <c r="A432" s="1">
        <v>1.0</v>
      </c>
      <c r="B432" s="2" t="s">
        <v>1242</v>
      </c>
      <c r="C432" s="1" t="s">
        <v>1243</v>
      </c>
      <c r="D432" s="1" t="s">
        <v>1244</v>
      </c>
      <c r="E432" s="3">
        <v>1.0</v>
      </c>
      <c r="F432" s="3">
        <v>0.0</v>
      </c>
    </row>
    <row r="433" ht="12.75" customHeight="1">
      <c r="A433" s="1">
        <v>1.0</v>
      </c>
      <c r="B433" s="2" t="s">
        <v>1348</v>
      </c>
      <c r="C433" s="1" t="s">
        <v>1349</v>
      </c>
      <c r="D433" s="1" t="s">
        <v>1350</v>
      </c>
      <c r="E433" s="3">
        <v>1.0</v>
      </c>
      <c r="F433" s="3">
        <v>0.0</v>
      </c>
    </row>
    <row r="434" ht="12.75" customHeight="1">
      <c r="A434" s="1">
        <v>1.0</v>
      </c>
      <c r="B434" s="2">
        <v>562955.0</v>
      </c>
      <c r="C434" s="1" t="s">
        <v>4583</v>
      </c>
      <c r="D434" s="1" t="s">
        <v>4584</v>
      </c>
      <c r="E434" s="3">
        <v>1.0</v>
      </c>
      <c r="F434" s="3">
        <v>0.0</v>
      </c>
    </row>
    <row r="435" ht="12.75" customHeight="1">
      <c r="A435" s="1">
        <v>1.0</v>
      </c>
      <c r="B435" s="2" t="s">
        <v>719</v>
      </c>
      <c r="C435" s="1" t="s">
        <v>720</v>
      </c>
      <c r="D435" s="1" t="s">
        <v>718</v>
      </c>
      <c r="E435" s="3">
        <v>1.0</v>
      </c>
      <c r="F435" s="3">
        <v>0.0</v>
      </c>
    </row>
    <row r="436" ht="12.75" customHeight="1">
      <c r="A436" s="1">
        <v>1.0</v>
      </c>
      <c r="B436" s="2" t="s">
        <v>967</v>
      </c>
      <c r="C436" s="1" t="s">
        <v>968</v>
      </c>
      <c r="D436" s="1" t="s">
        <v>969</v>
      </c>
      <c r="E436" s="3">
        <v>1.0</v>
      </c>
      <c r="F436" s="3">
        <v>0.0</v>
      </c>
    </row>
    <row r="437" ht="12.75" customHeight="1">
      <c r="A437" s="1">
        <v>1.0</v>
      </c>
      <c r="B437" s="2" t="s">
        <v>1170</v>
      </c>
      <c r="C437" s="1" t="s">
        <v>1171</v>
      </c>
      <c r="D437" s="1" t="s">
        <v>1172</v>
      </c>
      <c r="E437" s="3">
        <v>1.0</v>
      </c>
      <c r="F437" s="3">
        <v>0.0</v>
      </c>
    </row>
    <row r="438" ht="12.75" customHeight="1">
      <c r="A438" s="1">
        <v>1.0</v>
      </c>
      <c r="B438" s="2" t="s">
        <v>1151</v>
      </c>
      <c r="C438" s="1" t="s">
        <v>1152</v>
      </c>
      <c r="D438" s="1" t="s">
        <v>1153</v>
      </c>
      <c r="E438" s="3">
        <v>1.0</v>
      </c>
      <c r="F438" s="3">
        <v>0.0</v>
      </c>
    </row>
    <row r="439" ht="12.75" customHeight="1">
      <c r="A439" s="1">
        <v>1.0</v>
      </c>
      <c r="B439" s="2" t="s">
        <v>4585</v>
      </c>
      <c r="C439" s="1" t="s">
        <v>4586</v>
      </c>
      <c r="D439" s="1" t="s">
        <v>4587</v>
      </c>
      <c r="E439" s="3">
        <v>1.0</v>
      </c>
      <c r="F439" s="3">
        <v>0.0</v>
      </c>
    </row>
    <row r="440" ht="12.75" customHeight="1">
      <c r="A440" s="1">
        <v>1.0</v>
      </c>
      <c r="B440" s="2" t="s">
        <v>1299</v>
      </c>
      <c r="C440" s="1" t="s">
        <v>1300</v>
      </c>
      <c r="D440" s="1" t="s">
        <v>1296</v>
      </c>
      <c r="E440" s="3">
        <v>1.0</v>
      </c>
      <c r="F440" s="3">
        <v>0.0</v>
      </c>
    </row>
    <row r="441" ht="12.75" customHeight="1">
      <c r="A441" s="1">
        <v>1.0</v>
      </c>
      <c r="B441" s="2" t="s">
        <v>795</v>
      </c>
      <c r="C441" s="1" t="s">
        <v>796</v>
      </c>
      <c r="D441" s="1" t="s">
        <v>797</v>
      </c>
      <c r="E441" s="3">
        <v>1.0</v>
      </c>
      <c r="F441" s="3">
        <v>0.0</v>
      </c>
    </row>
    <row r="442" ht="12.75" customHeight="1">
      <c r="A442" s="1">
        <v>1.0</v>
      </c>
      <c r="B442" s="2" t="s">
        <v>1301</v>
      </c>
      <c r="C442" s="1" t="s">
        <v>1302</v>
      </c>
      <c r="D442" s="1" t="s">
        <v>1296</v>
      </c>
      <c r="E442" s="3">
        <v>1.0</v>
      </c>
      <c r="F442" s="3">
        <v>0.0</v>
      </c>
    </row>
    <row r="443" ht="12.75" customHeight="1">
      <c r="A443" s="1">
        <v>1.0</v>
      </c>
      <c r="B443" s="2" t="s">
        <v>772</v>
      </c>
      <c r="C443" s="1" t="s">
        <v>773</v>
      </c>
      <c r="D443" s="1" t="s">
        <v>774</v>
      </c>
      <c r="E443" s="3">
        <v>1.0</v>
      </c>
      <c r="F443" s="3">
        <v>0.0</v>
      </c>
    </row>
    <row r="444" ht="12.75" customHeight="1">
      <c r="A444" s="1">
        <v>1.0</v>
      </c>
      <c r="B444" s="2" t="s">
        <v>1221</v>
      </c>
      <c r="C444" s="1" t="s">
        <v>1222</v>
      </c>
      <c r="D444" s="1" t="s">
        <v>1223</v>
      </c>
      <c r="E444" s="3">
        <v>1.0</v>
      </c>
      <c r="F444" s="3">
        <v>0.0</v>
      </c>
    </row>
    <row r="445" ht="12.75" customHeight="1">
      <c r="A445" s="1">
        <v>1.0</v>
      </c>
      <c r="B445" s="2" t="s">
        <v>1358</v>
      </c>
      <c r="C445" s="1" t="s">
        <v>1359</v>
      </c>
      <c r="D445" s="1" t="s">
        <v>1360</v>
      </c>
      <c r="E445" s="3">
        <v>1.0</v>
      </c>
      <c r="F445" s="3">
        <v>0.0</v>
      </c>
    </row>
    <row r="446" ht="12.75" customHeight="1">
      <c r="A446" s="1">
        <v>1.0</v>
      </c>
      <c r="B446" s="2" t="s">
        <v>1323</v>
      </c>
      <c r="C446" s="1" t="s">
        <v>1324</v>
      </c>
      <c r="D446" s="1" t="s">
        <v>1325</v>
      </c>
      <c r="E446" s="3">
        <v>1.0</v>
      </c>
      <c r="F446" s="3">
        <v>0.0</v>
      </c>
    </row>
    <row r="447" ht="12.75" customHeight="1">
      <c r="A447" s="1">
        <v>1.0</v>
      </c>
      <c r="B447" s="2" t="s">
        <v>701</v>
      </c>
      <c r="C447" s="1" t="s">
        <v>702</v>
      </c>
      <c r="D447" s="1" t="s">
        <v>703</v>
      </c>
      <c r="E447" s="3">
        <v>1.0</v>
      </c>
      <c r="F447" s="3">
        <v>0.0</v>
      </c>
    </row>
    <row r="448" ht="12.75" customHeight="1">
      <c r="A448" s="1">
        <v>1.0</v>
      </c>
      <c r="B448" s="2" t="s">
        <v>1294</v>
      </c>
      <c r="C448" s="1" t="s">
        <v>796</v>
      </c>
      <c r="D448" s="1" t="s">
        <v>1295</v>
      </c>
      <c r="E448" s="3">
        <v>1.0</v>
      </c>
      <c r="F448" s="3">
        <v>0.0</v>
      </c>
    </row>
    <row r="449" ht="12.75" customHeight="1">
      <c r="A449" s="1">
        <v>1.0</v>
      </c>
      <c r="B449" s="2" t="s">
        <v>852</v>
      </c>
      <c r="C449" s="1" t="s">
        <v>381</v>
      </c>
      <c r="D449" s="1" t="s">
        <v>851</v>
      </c>
      <c r="E449" s="3">
        <v>1.0</v>
      </c>
      <c r="F449" s="3">
        <v>0.0</v>
      </c>
    </row>
    <row r="450" ht="12.75" customHeight="1">
      <c r="A450" s="1">
        <v>1.0</v>
      </c>
      <c r="B450" s="2" t="s">
        <v>1191</v>
      </c>
      <c r="C450" s="1" t="s">
        <v>1192</v>
      </c>
      <c r="D450" s="1" t="s">
        <v>1193</v>
      </c>
      <c r="E450" s="3">
        <v>1.0</v>
      </c>
      <c r="F450" s="3">
        <v>0.0</v>
      </c>
    </row>
    <row r="451" ht="12.75" customHeight="1">
      <c r="A451" s="1">
        <v>1.0</v>
      </c>
      <c r="B451" s="2" t="s">
        <v>953</v>
      </c>
      <c r="C451" s="1" t="s">
        <v>954</v>
      </c>
      <c r="D451" s="1" t="s">
        <v>955</v>
      </c>
      <c r="E451" s="3">
        <v>1.0</v>
      </c>
      <c r="F451" s="3">
        <v>0.0</v>
      </c>
    </row>
    <row r="452" ht="12.75" customHeight="1">
      <c r="A452" s="1">
        <v>1.0</v>
      </c>
      <c r="B452" s="2" t="s">
        <v>1180</v>
      </c>
      <c r="C452" s="1" t="s">
        <v>1181</v>
      </c>
      <c r="D452" s="1" t="s">
        <v>1182</v>
      </c>
      <c r="E452" s="3">
        <v>1.0</v>
      </c>
      <c r="F452" s="3">
        <v>0.0</v>
      </c>
    </row>
    <row r="453" ht="12.75" customHeight="1">
      <c r="A453" s="1">
        <v>1.0</v>
      </c>
      <c r="B453" s="2" t="s">
        <v>1305</v>
      </c>
      <c r="C453" s="1" t="s">
        <v>1306</v>
      </c>
      <c r="D453" s="1" t="s">
        <v>1307</v>
      </c>
      <c r="E453" s="3">
        <v>1.0</v>
      </c>
      <c r="F453" s="3">
        <v>0.0</v>
      </c>
    </row>
    <row r="454" ht="12.75" customHeight="1">
      <c r="A454" s="1">
        <v>1.0</v>
      </c>
      <c r="B454" s="2" t="s">
        <v>1157</v>
      </c>
      <c r="C454" s="1" t="s">
        <v>1158</v>
      </c>
      <c r="D454" s="1" t="s">
        <v>1159</v>
      </c>
      <c r="E454" s="3">
        <v>1.0</v>
      </c>
      <c r="F454" s="3">
        <v>0.0</v>
      </c>
    </row>
    <row r="455" ht="12.75" customHeight="1">
      <c r="A455" s="1">
        <v>1.0</v>
      </c>
      <c r="B455" s="2" t="s">
        <v>975</v>
      </c>
      <c r="C455" s="1" t="s">
        <v>976</v>
      </c>
      <c r="D455" s="1" t="s">
        <v>977</v>
      </c>
      <c r="E455" s="3">
        <v>1.0</v>
      </c>
      <c r="F455" s="3">
        <v>0.0</v>
      </c>
    </row>
    <row r="456" ht="12.75" customHeight="1">
      <c r="A456" s="1">
        <v>1.0</v>
      </c>
      <c r="B456" s="2" t="s">
        <v>856</v>
      </c>
      <c r="C456" s="1" t="s">
        <v>857</v>
      </c>
      <c r="D456" s="1" t="s">
        <v>858</v>
      </c>
      <c r="E456" s="3">
        <v>1.0</v>
      </c>
      <c r="F456" s="3">
        <v>0.0</v>
      </c>
    </row>
    <row r="457" ht="12.75" customHeight="1">
      <c r="A457" s="1">
        <v>1.0</v>
      </c>
      <c r="B457" s="2" t="s">
        <v>4588</v>
      </c>
      <c r="C457" s="1" t="s">
        <v>4589</v>
      </c>
      <c r="D457" s="1" t="s">
        <v>4590</v>
      </c>
      <c r="E457" s="3">
        <v>1.0</v>
      </c>
      <c r="F457" s="3">
        <v>0.0</v>
      </c>
    </row>
    <row r="458" ht="12.75" customHeight="1">
      <c r="A458" s="1">
        <v>1.0</v>
      </c>
      <c r="B458" s="2" t="s">
        <v>618</v>
      </c>
      <c r="C458" s="1" t="s">
        <v>619</v>
      </c>
      <c r="D458" s="1" t="s">
        <v>620</v>
      </c>
      <c r="E458" s="3">
        <v>1.0</v>
      </c>
      <c r="F458" s="3">
        <v>0.0</v>
      </c>
    </row>
    <row r="459" ht="12.75" customHeight="1">
      <c r="A459" s="1">
        <v>1.0</v>
      </c>
      <c r="B459" s="2" t="s">
        <v>964</v>
      </c>
      <c r="C459" s="1" t="s">
        <v>965</v>
      </c>
      <c r="D459" s="1" t="s">
        <v>966</v>
      </c>
      <c r="E459" s="3">
        <v>1.0</v>
      </c>
      <c r="F459" s="3">
        <v>0.0</v>
      </c>
    </row>
    <row r="460" ht="12.75" customHeight="1">
      <c r="A460" s="1">
        <v>1.0</v>
      </c>
      <c r="B460" s="2" t="s">
        <v>4591</v>
      </c>
      <c r="C460" s="1" t="s">
        <v>4592</v>
      </c>
      <c r="D460" s="1" t="s">
        <v>4593</v>
      </c>
      <c r="E460" s="3">
        <v>1.0</v>
      </c>
      <c r="F460" s="3">
        <v>0.0</v>
      </c>
    </row>
    <row r="461" ht="12.75" customHeight="1">
      <c r="A461" s="1">
        <v>1.0</v>
      </c>
      <c r="B461" s="2" t="s">
        <v>1098</v>
      </c>
      <c r="C461" s="1" t="s">
        <v>1099</v>
      </c>
      <c r="D461" s="1" t="s">
        <v>1097</v>
      </c>
      <c r="E461" s="3">
        <v>1.0</v>
      </c>
      <c r="F461" s="3">
        <v>0.0</v>
      </c>
    </row>
    <row r="462" ht="12.75" customHeight="1">
      <c r="A462" s="1">
        <v>1.0</v>
      </c>
      <c r="B462" s="2" t="s">
        <v>1345</v>
      </c>
      <c r="C462" s="1" t="s">
        <v>1346</v>
      </c>
      <c r="D462" s="1" t="s">
        <v>1347</v>
      </c>
      <c r="E462" s="3">
        <v>1.0</v>
      </c>
      <c r="F462" s="3">
        <v>0.0</v>
      </c>
    </row>
    <row r="463" ht="12.75" customHeight="1">
      <c r="A463" s="1">
        <v>1.0</v>
      </c>
      <c r="B463" s="2" t="s">
        <v>1013</v>
      </c>
      <c r="C463" s="1" t="s">
        <v>143</v>
      </c>
      <c r="D463" s="1" t="s">
        <v>1014</v>
      </c>
      <c r="E463" s="3">
        <v>1.0</v>
      </c>
      <c r="F463" s="3">
        <v>0.0</v>
      </c>
    </row>
    <row r="464" ht="12.75" customHeight="1">
      <c r="A464" s="1">
        <v>1.0</v>
      </c>
      <c r="B464" s="2" t="s">
        <v>1048</v>
      </c>
      <c r="C464" s="1" t="s">
        <v>255</v>
      </c>
      <c r="D464" s="1" t="s">
        <v>1049</v>
      </c>
      <c r="E464" s="3">
        <v>1.0</v>
      </c>
      <c r="F464" s="3">
        <v>0.0</v>
      </c>
    </row>
    <row r="465" ht="12.75" customHeight="1">
      <c r="A465" s="1">
        <v>1.0</v>
      </c>
      <c r="B465" s="2" t="s">
        <v>1142</v>
      </c>
      <c r="C465" s="1" t="s">
        <v>1143</v>
      </c>
      <c r="D465" s="1" t="s">
        <v>1144</v>
      </c>
      <c r="E465" s="3">
        <v>1.0</v>
      </c>
      <c r="F465" s="3">
        <v>0.0</v>
      </c>
    </row>
    <row r="466" ht="12.75" customHeight="1">
      <c r="A466" s="1">
        <v>1.0</v>
      </c>
      <c r="B466" s="2" t="s">
        <v>1205</v>
      </c>
      <c r="C466" s="1" t="s">
        <v>1206</v>
      </c>
      <c r="D466" s="1" t="s">
        <v>1204</v>
      </c>
      <c r="E466" s="3">
        <v>1.0</v>
      </c>
      <c r="F466" s="3">
        <v>0.0</v>
      </c>
    </row>
    <row r="467" ht="12.75" customHeight="1">
      <c r="A467" s="1">
        <v>1.0</v>
      </c>
      <c r="B467" s="2" t="s">
        <v>1354</v>
      </c>
      <c r="C467" s="1" t="s">
        <v>1355</v>
      </c>
      <c r="D467" s="1" t="s">
        <v>1353</v>
      </c>
      <c r="E467" s="3">
        <v>1.0</v>
      </c>
      <c r="F467" s="3">
        <v>0.0</v>
      </c>
    </row>
    <row r="468" ht="12.75" customHeight="1">
      <c r="A468" s="1">
        <v>1.0</v>
      </c>
      <c r="B468" s="2" t="s">
        <v>4594</v>
      </c>
      <c r="C468" s="1" t="s">
        <v>4595</v>
      </c>
      <c r="D468" s="1" t="s">
        <v>1307</v>
      </c>
      <c r="E468" s="3">
        <v>1.0</v>
      </c>
      <c r="F468" s="3">
        <v>0.0</v>
      </c>
    </row>
    <row r="469" ht="12.75" customHeight="1">
      <c r="A469" s="1">
        <v>1.0</v>
      </c>
      <c r="B469" s="2" t="s">
        <v>1303</v>
      </c>
      <c r="C469" s="1" t="s">
        <v>1304</v>
      </c>
      <c r="D469" s="1" t="s">
        <v>1296</v>
      </c>
      <c r="E469" s="3">
        <v>1.0</v>
      </c>
      <c r="F469" s="3">
        <v>0.0</v>
      </c>
    </row>
    <row r="470" ht="12.75" customHeight="1">
      <c r="A470" s="1">
        <v>1.0</v>
      </c>
      <c r="B470" s="2" t="s">
        <v>1318</v>
      </c>
      <c r="C470" s="1" t="s">
        <v>1319</v>
      </c>
      <c r="D470" s="1" t="s">
        <v>1320</v>
      </c>
      <c r="E470" s="3">
        <v>1.0</v>
      </c>
      <c r="F470" s="3">
        <v>0.0</v>
      </c>
    </row>
    <row r="471" ht="12.75" customHeight="1">
      <c r="A471" s="1">
        <v>1.0</v>
      </c>
      <c r="B471" s="2" t="s">
        <v>1050</v>
      </c>
      <c r="C471" s="1" t="s">
        <v>255</v>
      </c>
      <c r="D471" s="1" t="s">
        <v>1051</v>
      </c>
      <c r="E471" s="3">
        <v>1.0</v>
      </c>
      <c r="F471" s="3">
        <v>0.0</v>
      </c>
    </row>
    <row r="472" ht="12.75" customHeight="1">
      <c r="A472" s="1">
        <v>1.0</v>
      </c>
      <c r="B472" s="2" t="s">
        <v>737</v>
      </c>
      <c r="C472" s="1" t="s">
        <v>738</v>
      </c>
      <c r="D472" s="1" t="s">
        <v>739</v>
      </c>
      <c r="E472" s="3">
        <v>1.0</v>
      </c>
      <c r="F472" s="3">
        <v>0.0</v>
      </c>
    </row>
    <row r="473" ht="12.75" customHeight="1">
      <c r="A473" s="1">
        <v>1.0</v>
      </c>
      <c r="B473" s="2" t="s">
        <v>832</v>
      </c>
      <c r="C473" s="1" t="s">
        <v>833</v>
      </c>
      <c r="D473" s="1" t="s">
        <v>834</v>
      </c>
      <c r="E473" s="3">
        <v>1.0</v>
      </c>
      <c r="F473" s="3">
        <v>0.0</v>
      </c>
    </row>
    <row r="474" ht="12.75" customHeight="1">
      <c r="A474" s="1">
        <v>1.0</v>
      </c>
      <c r="B474" s="2" t="s">
        <v>638</v>
      </c>
      <c r="C474" s="1" t="s">
        <v>639</v>
      </c>
      <c r="D474" s="1" t="s">
        <v>640</v>
      </c>
      <c r="E474" s="3">
        <v>1.0</v>
      </c>
      <c r="F474" s="3">
        <v>0.0</v>
      </c>
    </row>
    <row r="475" ht="12.75" customHeight="1">
      <c r="A475" s="1">
        <v>1.0</v>
      </c>
      <c r="B475" s="2" t="s">
        <v>1167</v>
      </c>
      <c r="C475" s="1" t="s">
        <v>1168</v>
      </c>
      <c r="D475" s="1" t="s">
        <v>1169</v>
      </c>
      <c r="E475" s="3">
        <v>1.0</v>
      </c>
      <c r="F475" s="3">
        <v>0.0</v>
      </c>
    </row>
    <row r="476" ht="12.75" customHeight="1">
      <c r="A476" s="1">
        <v>1.0</v>
      </c>
      <c r="B476" s="2" t="s">
        <v>847</v>
      </c>
      <c r="C476" s="1" t="s">
        <v>848</v>
      </c>
      <c r="D476" s="1" t="s">
        <v>849</v>
      </c>
      <c r="E476" s="3">
        <v>1.0</v>
      </c>
      <c r="F476" s="3">
        <v>0.0</v>
      </c>
    </row>
    <row r="477" ht="12.75" customHeight="1">
      <c r="A477" s="1">
        <v>1.0</v>
      </c>
      <c r="B477" s="2">
        <v>564704.0</v>
      </c>
      <c r="C477" s="1" t="s">
        <v>913</v>
      </c>
      <c r="D477" s="1" t="s">
        <v>912</v>
      </c>
      <c r="E477" s="3">
        <v>1.0</v>
      </c>
      <c r="F477" s="3">
        <v>0.0</v>
      </c>
    </row>
    <row r="478" ht="12.75" customHeight="1">
      <c r="A478" s="1">
        <v>1.0</v>
      </c>
      <c r="B478" s="2">
        <v>564705.0</v>
      </c>
      <c r="C478" s="1" t="s">
        <v>1183</v>
      </c>
      <c r="D478" s="1" t="s">
        <v>1184</v>
      </c>
      <c r="E478" s="3">
        <v>1.0</v>
      </c>
      <c r="F478" s="3">
        <v>0.0</v>
      </c>
    </row>
    <row r="479" ht="12.75" customHeight="1">
      <c r="A479" s="1">
        <v>1.0</v>
      </c>
      <c r="B479" s="2">
        <v>564707.0</v>
      </c>
      <c r="C479" s="1" t="s">
        <v>1203</v>
      </c>
      <c r="D479" s="1" t="s">
        <v>1204</v>
      </c>
      <c r="E479" s="3">
        <v>1.0</v>
      </c>
      <c r="F479" s="3">
        <v>0.0</v>
      </c>
    </row>
    <row r="480" ht="12.75" customHeight="1">
      <c r="A480" s="1">
        <v>1.0</v>
      </c>
      <c r="B480" s="2">
        <v>564709.0</v>
      </c>
      <c r="C480" s="1" t="s">
        <v>748</v>
      </c>
      <c r="D480" s="1" t="s">
        <v>749</v>
      </c>
      <c r="E480" s="3">
        <v>1.0</v>
      </c>
      <c r="F480" s="3">
        <v>0.0</v>
      </c>
    </row>
    <row r="481" ht="12.75" customHeight="1">
      <c r="A481" s="1">
        <v>1.0</v>
      </c>
      <c r="B481" s="2">
        <v>564718.0</v>
      </c>
      <c r="C481" s="1" t="s">
        <v>4596</v>
      </c>
      <c r="D481" s="1" t="s">
        <v>4597</v>
      </c>
      <c r="E481" s="3">
        <v>1.0</v>
      </c>
      <c r="F481" s="3">
        <v>0.0</v>
      </c>
    </row>
    <row r="482" ht="12.75" customHeight="1">
      <c r="A482" s="1">
        <v>1.0</v>
      </c>
      <c r="B482" s="2">
        <v>564719.0</v>
      </c>
      <c r="C482" s="1" t="s">
        <v>933</v>
      </c>
      <c r="D482" s="1" t="s">
        <v>934</v>
      </c>
      <c r="E482" s="3">
        <v>1.0</v>
      </c>
      <c r="F482" s="3">
        <v>0.0</v>
      </c>
    </row>
    <row r="483" ht="12.75" customHeight="1">
      <c r="A483" s="1">
        <v>1.0</v>
      </c>
      <c r="B483" s="2">
        <v>564722.0</v>
      </c>
      <c r="C483" s="1" t="s">
        <v>926</v>
      </c>
      <c r="D483" s="1" t="s">
        <v>1204</v>
      </c>
      <c r="E483" s="3">
        <v>1.0</v>
      </c>
      <c r="F483" s="3">
        <v>0.0</v>
      </c>
    </row>
    <row r="484" ht="12.75" customHeight="1">
      <c r="A484" s="1">
        <v>1.0</v>
      </c>
      <c r="B484" s="2">
        <v>564730.0</v>
      </c>
      <c r="C484" s="1" t="s">
        <v>914</v>
      </c>
      <c r="D484" s="1" t="s">
        <v>912</v>
      </c>
      <c r="E484" s="3">
        <v>1.0</v>
      </c>
      <c r="F484" s="3">
        <v>0.0</v>
      </c>
    </row>
    <row r="485" ht="12.75" customHeight="1">
      <c r="A485" s="1">
        <v>1.0</v>
      </c>
      <c r="B485" s="2">
        <v>564732.0</v>
      </c>
      <c r="C485" s="1" t="s">
        <v>1245</v>
      </c>
      <c r="D485" s="1" t="s">
        <v>1246</v>
      </c>
      <c r="E485" s="3">
        <v>1.0</v>
      </c>
      <c r="F485" s="3">
        <v>0.0</v>
      </c>
    </row>
    <row r="486" ht="12.75" customHeight="1">
      <c r="A486" s="1">
        <v>1.0</v>
      </c>
      <c r="B486" s="2">
        <v>564733.0</v>
      </c>
      <c r="C486" s="1" t="s">
        <v>845</v>
      </c>
      <c r="D486" s="1" t="s">
        <v>846</v>
      </c>
      <c r="E486" s="3">
        <v>1.0</v>
      </c>
      <c r="F486" s="3">
        <v>0.0</v>
      </c>
    </row>
    <row r="487" ht="12.75" customHeight="1">
      <c r="A487" s="1">
        <v>1.0</v>
      </c>
      <c r="B487" s="2">
        <v>564739.0</v>
      </c>
      <c r="C487" s="1" t="s">
        <v>810</v>
      </c>
      <c r="D487" s="1" t="s">
        <v>811</v>
      </c>
      <c r="E487" s="3">
        <v>1.0</v>
      </c>
      <c r="F487" s="3">
        <v>0.0</v>
      </c>
    </row>
    <row r="488" ht="12.75" customHeight="1">
      <c r="A488" s="1">
        <v>1.0</v>
      </c>
      <c r="B488" s="2">
        <v>564745.0</v>
      </c>
      <c r="C488" s="1" t="s">
        <v>804</v>
      </c>
      <c r="D488" s="1" t="s">
        <v>805</v>
      </c>
      <c r="E488" s="3">
        <v>1.0</v>
      </c>
      <c r="F488" s="3">
        <v>0.0</v>
      </c>
    </row>
    <row r="489" ht="12.75" customHeight="1">
      <c r="A489" s="1">
        <v>1.0</v>
      </c>
      <c r="B489" s="2">
        <v>564748.0</v>
      </c>
      <c r="C489" s="1" t="s">
        <v>928</v>
      </c>
      <c r="D489" s="1" t="s">
        <v>929</v>
      </c>
      <c r="E489" s="3">
        <v>1.0</v>
      </c>
      <c r="F489" s="3">
        <v>0.0</v>
      </c>
    </row>
    <row r="490" ht="12.75" customHeight="1">
      <c r="A490" s="1">
        <v>1.0</v>
      </c>
      <c r="B490" s="2">
        <v>564751.0</v>
      </c>
      <c r="C490" s="1" t="s">
        <v>896</v>
      </c>
      <c r="D490" s="1" t="s">
        <v>895</v>
      </c>
      <c r="E490" s="3">
        <v>1.0</v>
      </c>
      <c r="F490" s="3">
        <v>0.0</v>
      </c>
    </row>
    <row r="491" ht="12.75" customHeight="1">
      <c r="A491" s="1">
        <v>1.0</v>
      </c>
      <c r="B491" s="2">
        <v>564755.0</v>
      </c>
      <c r="C491" s="1" t="s">
        <v>935</v>
      </c>
      <c r="D491" s="1" t="s">
        <v>936</v>
      </c>
      <c r="E491" s="3">
        <v>1.0</v>
      </c>
      <c r="F491" s="3">
        <v>0.0</v>
      </c>
    </row>
    <row r="492" ht="12.75" customHeight="1">
      <c r="A492" s="1">
        <v>1.0</v>
      </c>
      <c r="B492" s="2">
        <v>564758.0</v>
      </c>
      <c r="C492" s="1" t="s">
        <v>746</v>
      </c>
      <c r="D492" s="1" t="s">
        <v>747</v>
      </c>
      <c r="E492" s="3">
        <v>1.0</v>
      </c>
      <c r="F492" s="3">
        <v>0.0</v>
      </c>
    </row>
    <row r="493" ht="12.75" customHeight="1">
      <c r="A493" s="1">
        <v>1.0</v>
      </c>
      <c r="B493" s="2">
        <v>564765.0</v>
      </c>
      <c r="C493" s="1" t="s">
        <v>937</v>
      </c>
      <c r="D493" s="1" t="s">
        <v>936</v>
      </c>
      <c r="E493" s="3">
        <v>1.0</v>
      </c>
      <c r="F493" s="3">
        <v>0.0</v>
      </c>
    </row>
    <row r="494" ht="12.75" customHeight="1">
      <c r="A494" s="1">
        <v>1.0</v>
      </c>
      <c r="B494" s="2">
        <v>564768.0</v>
      </c>
      <c r="C494" s="1" t="s">
        <v>938</v>
      </c>
      <c r="D494" s="1" t="s">
        <v>936</v>
      </c>
      <c r="E494" s="3">
        <v>1.0</v>
      </c>
      <c r="F494" s="3">
        <v>0.0</v>
      </c>
    </row>
    <row r="495" ht="12.75" customHeight="1">
      <c r="A495" s="1">
        <v>1.0</v>
      </c>
      <c r="B495" s="2">
        <v>564774.0</v>
      </c>
      <c r="C495" s="1" t="s">
        <v>939</v>
      </c>
      <c r="D495" s="1" t="s">
        <v>936</v>
      </c>
      <c r="E495" s="3">
        <v>1.0</v>
      </c>
      <c r="F495" s="3">
        <v>0.0</v>
      </c>
    </row>
    <row r="496" ht="12.75" customHeight="1">
      <c r="A496" s="1">
        <v>1.0</v>
      </c>
      <c r="B496" s="2">
        <v>564779.0</v>
      </c>
      <c r="C496" s="1" t="s">
        <v>1315</v>
      </c>
      <c r="D496" s="1" t="s">
        <v>1316</v>
      </c>
      <c r="E496" s="3">
        <v>1.0</v>
      </c>
      <c r="F496" s="3">
        <v>0.0</v>
      </c>
    </row>
    <row r="497" ht="12.75" customHeight="1">
      <c r="A497" s="1">
        <v>1.0</v>
      </c>
      <c r="B497" s="2">
        <v>564784.0</v>
      </c>
      <c r="C497" s="1" t="s">
        <v>981</v>
      </c>
      <c r="D497" s="1" t="s">
        <v>982</v>
      </c>
      <c r="E497" s="3">
        <v>1.0</v>
      </c>
      <c r="F497" s="3">
        <v>0.0</v>
      </c>
    </row>
    <row r="498" ht="12.75" customHeight="1">
      <c r="A498" s="1">
        <v>1.0</v>
      </c>
      <c r="B498" s="2">
        <v>564796.0</v>
      </c>
      <c r="C498" s="1" t="s">
        <v>940</v>
      </c>
      <c r="D498" s="1" t="s">
        <v>936</v>
      </c>
      <c r="E498" s="3">
        <v>1.0</v>
      </c>
      <c r="F498" s="3">
        <v>0.0</v>
      </c>
    </row>
    <row r="499" ht="12.75" customHeight="1">
      <c r="A499" s="1">
        <v>1.0</v>
      </c>
      <c r="B499" s="2">
        <v>564797.0</v>
      </c>
      <c r="C499" s="1" t="s">
        <v>717</v>
      </c>
      <c r="D499" s="1" t="s">
        <v>718</v>
      </c>
      <c r="E499" s="3">
        <v>1.0</v>
      </c>
      <c r="F499" s="3">
        <v>0.0</v>
      </c>
    </row>
    <row r="500" ht="12.75" customHeight="1">
      <c r="A500" s="1">
        <v>1.0</v>
      </c>
      <c r="B500" s="2" t="s">
        <v>1207</v>
      </c>
      <c r="C500" s="1" t="s">
        <v>1208</v>
      </c>
      <c r="D500" s="1" t="s">
        <v>1204</v>
      </c>
      <c r="E500" s="3">
        <v>1.0</v>
      </c>
      <c r="F500" s="3">
        <v>0.0</v>
      </c>
    </row>
    <row r="501" ht="12.75" customHeight="1">
      <c r="A501" s="1">
        <v>1.0</v>
      </c>
      <c r="B501" s="2" t="s">
        <v>813</v>
      </c>
      <c r="C501" s="1" t="s">
        <v>814</v>
      </c>
      <c r="D501" s="1" t="s">
        <v>811</v>
      </c>
      <c r="E501" s="3">
        <v>1.0</v>
      </c>
      <c r="F501" s="3">
        <v>0.0</v>
      </c>
    </row>
    <row r="502" ht="12.75" customHeight="1">
      <c r="A502" s="1">
        <v>1.0</v>
      </c>
      <c r="B502" s="2" t="s">
        <v>1251</v>
      </c>
      <c r="C502" s="1" t="s">
        <v>1252</v>
      </c>
      <c r="D502" s="1" t="s">
        <v>1253</v>
      </c>
      <c r="E502" s="3">
        <v>1.0</v>
      </c>
      <c r="F502" s="3">
        <v>0.0</v>
      </c>
    </row>
    <row r="503" ht="12.75" customHeight="1">
      <c r="A503" s="1">
        <v>1.0</v>
      </c>
      <c r="B503" s="2" t="s">
        <v>972</v>
      </c>
      <c r="C503" s="1" t="s">
        <v>973</v>
      </c>
      <c r="D503" s="1" t="s">
        <v>974</v>
      </c>
      <c r="E503" s="3">
        <v>1.0</v>
      </c>
      <c r="F503" s="3">
        <v>0.0</v>
      </c>
    </row>
    <row r="504" ht="12.75" customHeight="1">
      <c r="A504" s="1">
        <v>1.0</v>
      </c>
      <c r="B504" s="2" t="s">
        <v>943</v>
      </c>
      <c r="C504" s="1" t="s">
        <v>944</v>
      </c>
      <c r="D504" s="1" t="s">
        <v>936</v>
      </c>
      <c r="E504" s="3">
        <v>1.0</v>
      </c>
      <c r="F504" s="3">
        <v>0.0</v>
      </c>
    </row>
    <row r="505" ht="12.75" customHeight="1">
      <c r="A505" s="1">
        <v>1.0</v>
      </c>
      <c r="B505" s="2" t="s">
        <v>1067</v>
      </c>
      <c r="C505" s="1" t="s">
        <v>1068</v>
      </c>
      <c r="D505" s="1" t="s">
        <v>318</v>
      </c>
      <c r="E505" s="3">
        <v>1.0</v>
      </c>
      <c r="F505" s="3">
        <v>0.0</v>
      </c>
    </row>
    <row r="506" ht="12.75" customHeight="1">
      <c r="A506" s="1">
        <v>1.0</v>
      </c>
      <c r="B506" s="2" t="s">
        <v>1055</v>
      </c>
      <c r="C506" s="1" t="s">
        <v>1056</v>
      </c>
      <c r="D506" s="1" t="s">
        <v>1057</v>
      </c>
      <c r="E506" s="3">
        <v>1.0</v>
      </c>
      <c r="F506" s="3">
        <v>0.0</v>
      </c>
    </row>
    <row r="507" ht="12.75" customHeight="1">
      <c r="A507" s="1">
        <v>1.0</v>
      </c>
      <c r="B507" s="2" t="s">
        <v>1209</v>
      </c>
      <c r="C507" s="1" t="s">
        <v>1210</v>
      </c>
      <c r="D507" s="1" t="s">
        <v>1204</v>
      </c>
      <c r="E507" s="3">
        <v>1.0</v>
      </c>
      <c r="F507" s="3">
        <v>0.0</v>
      </c>
    </row>
    <row r="508" ht="12.75" customHeight="1">
      <c r="A508" s="1">
        <v>1.0</v>
      </c>
      <c r="B508" s="2" t="s">
        <v>721</v>
      </c>
      <c r="C508" s="1" t="s">
        <v>722</v>
      </c>
      <c r="D508" s="1" t="s">
        <v>718</v>
      </c>
      <c r="E508" s="3">
        <v>1.0</v>
      </c>
      <c r="F508" s="3">
        <v>0.0</v>
      </c>
    </row>
    <row r="509" ht="12.75" customHeight="1">
      <c r="A509" s="1">
        <v>1.0</v>
      </c>
      <c r="B509" s="2" t="s">
        <v>714</v>
      </c>
      <c r="C509" s="1" t="s">
        <v>715</v>
      </c>
      <c r="D509" s="1" t="s">
        <v>716</v>
      </c>
      <c r="E509" s="3">
        <v>1.0</v>
      </c>
      <c r="F509" s="3">
        <v>0.0</v>
      </c>
    </row>
    <row r="510" ht="12.75" customHeight="1">
      <c r="A510" s="1">
        <v>1.0</v>
      </c>
      <c r="B510" s="2" t="s">
        <v>621</v>
      </c>
      <c r="C510" s="1" t="s">
        <v>622</v>
      </c>
      <c r="D510" s="1" t="s">
        <v>623</v>
      </c>
      <c r="E510" s="3">
        <v>1.0</v>
      </c>
      <c r="F510" s="3">
        <v>0.0</v>
      </c>
    </row>
    <row r="511" ht="12.75" customHeight="1">
      <c r="A511" s="1">
        <v>1.0</v>
      </c>
      <c r="B511" s="2" t="s">
        <v>1100</v>
      </c>
      <c r="C511" s="1" t="s">
        <v>1101</v>
      </c>
      <c r="D511" s="1" t="s">
        <v>1097</v>
      </c>
      <c r="E511" s="3">
        <v>1.0</v>
      </c>
      <c r="F511" s="3">
        <v>0.0</v>
      </c>
    </row>
    <row r="512" ht="12.75" customHeight="1">
      <c r="A512" s="1">
        <v>1.0</v>
      </c>
      <c r="B512" s="2" t="s">
        <v>1115</v>
      </c>
      <c r="C512" s="1" t="s">
        <v>1116</v>
      </c>
      <c r="D512" s="1" t="s">
        <v>1117</v>
      </c>
      <c r="E512" s="3">
        <v>1.0</v>
      </c>
      <c r="F512" s="3">
        <v>0.0</v>
      </c>
    </row>
    <row r="513" ht="12.75" customHeight="1">
      <c r="A513" s="1">
        <v>1.0</v>
      </c>
      <c r="B513" s="2" t="s">
        <v>945</v>
      </c>
      <c r="C513" s="1" t="s">
        <v>946</v>
      </c>
      <c r="D513" s="1" t="s">
        <v>936</v>
      </c>
      <c r="E513" s="3">
        <v>1.0</v>
      </c>
      <c r="F513" s="3">
        <v>0.0</v>
      </c>
    </row>
    <row r="514" ht="12.75" customHeight="1">
      <c r="A514" s="1">
        <v>1.0</v>
      </c>
      <c r="B514" s="2">
        <v>5.647E11</v>
      </c>
      <c r="C514" s="1" t="s">
        <v>812</v>
      </c>
      <c r="D514" s="1" t="s">
        <v>811</v>
      </c>
      <c r="E514" s="3">
        <v>1.0</v>
      </c>
      <c r="F514" s="3">
        <v>0.0</v>
      </c>
    </row>
    <row r="515" ht="12.75" customHeight="1">
      <c r="A515" s="1">
        <v>1.0</v>
      </c>
      <c r="B515" s="2" t="s">
        <v>1247</v>
      </c>
      <c r="C515" s="1" t="s">
        <v>1248</v>
      </c>
      <c r="D515" s="1" t="s">
        <v>1246</v>
      </c>
      <c r="E515" s="3">
        <v>1.0</v>
      </c>
      <c r="F515" s="3">
        <v>0.0</v>
      </c>
    </row>
    <row r="516" ht="12.75" customHeight="1">
      <c r="A516" s="1">
        <v>1.0</v>
      </c>
      <c r="B516" s="2" t="s">
        <v>806</v>
      </c>
      <c r="C516" s="1" t="s">
        <v>807</v>
      </c>
      <c r="D516" s="1" t="s">
        <v>805</v>
      </c>
      <c r="E516" s="3">
        <v>1.0</v>
      </c>
      <c r="F516" s="3">
        <v>0.0</v>
      </c>
    </row>
    <row r="517" ht="12.75" customHeight="1">
      <c r="A517" s="1">
        <v>1.0</v>
      </c>
      <c r="B517" s="2" t="s">
        <v>1211</v>
      </c>
      <c r="C517" s="1" t="s">
        <v>1212</v>
      </c>
      <c r="D517" s="1" t="s">
        <v>1204</v>
      </c>
      <c r="E517" s="3">
        <v>1.0</v>
      </c>
      <c r="F517" s="3">
        <v>0.0</v>
      </c>
    </row>
    <row r="518" ht="12.75" customHeight="1">
      <c r="A518" s="1">
        <v>1.0</v>
      </c>
      <c r="B518" s="2" t="s">
        <v>1118</v>
      </c>
      <c r="C518" s="1" t="s">
        <v>1119</v>
      </c>
      <c r="D518" s="1" t="s">
        <v>1120</v>
      </c>
      <c r="E518" s="3">
        <v>1.0</v>
      </c>
      <c r="F518" s="3">
        <v>0.0</v>
      </c>
    </row>
    <row r="519" ht="12.75" customHeight="1">
      <c r="A519" s="1">
        <v>1.0</v>
      </c>
      <c r="B519" s="2" t="s">
        <v>750</v>
      </c>
      <c r="C519" s="1" t="s">
        <v>751</v>
      </c>
      <c r="D519" s="1" t="s">
        <v>752</v>
      </c>
      <c r="E519" s="3">
        <v>1.0</v>
      </c>
      <c r="F519" s="3">
        <v>0.0</v>
      </c>
    </row>
    <row r="520" ht="12.75" customHeight="1">
      <c r="A520" s="1">
        <v>1.0</v>
      </c>
      <c r="B520" s="2" t="s">
        <v>723</v>
      </c>
      <c r="C520" s="1" t="s">
        <v>724</v>
      </c>
      <c r="D520" s="1" t="s">
        <v>718</v>
      </c>
      <c r="E520" s="3">
        <v>1.0</v>
      </c>
      <c r="F520" s="3">
        <v>0.0</v>
      </c>
    </row>
    <row r="521" ht="12.75" customHeight="1">
      <c r="A521" s="1">
        <v>1.0</v>
      </c>
      <c r="B521" s="2" t="s">
        <v>1102</v>
      </c>
      <c r="C521" s="1" t="s">
        <v>1103</v>
      </c>
      <c r="D521" s="1" t="s">
        <v>1097</v>
      </c>
      <c r="E521" s="3">
        <v>1.0</v>
      </c>
      <c r="F521" s="3">
        <v>0.0</v>
      </c>
    </row>
    <row r="522" ht="12.75" customHeight="1">
      <c r="A522" s="1">
        <v>1.0</v>
      </c>
      <c r="B522" s="2" t="s">
        <v>1249</v>
      </c>
      <c r="C522" s="1" t="s">
        <v>1250</v>
      </c>
      <c r="D522" s="1" t="s">
        <v>1246</v>
      </c>
      <c r="E522" s="3">
        <v>1.0</v>
      </c>
      <c r="F522" s="3">
        <v>0.0</v>
      </c>
    </row>
    <row r="523" ht="12.75" customHeight="1">
      <c r="A523" s="1">
        <v>1.0</v>
      </c>
      <c r="B523" s="2" t="s">
        <v>731</v>
      </c>
      <c r="C523" s="1" t="s">
        <v>732</v>
      </c>
      <c r="D523" s="1" t="s">
        <v>733</v>
      </c>
      <c r="E523" s="3">
        <v>1.0</v>
      </c>
      <c r="F523" s="3">
        <v>0.0</v>
      </c>
    </row>
    <row r="524" ht="12.75" customHeight="1">
      <c r="A524" s="1">
        <v>1.0</v>
      </c>
      <c r="B524" s="2" t="s">
        <v>947</v>
      </c>
      <c r="C524" s="1" t="s">
        <v>948</v>
      </c>
      <c r="D524" s="1" t="s">
        <v>936</v>
      </c>
      <c r="E524" s="3">
        <v>1.0</v>
      </c>
      <c r="F524" s="3">
        <v>0.0</v>
      </c>
    </row>
    <row r="525" ht="12.75" customHeight="1">
      <c r="A525" s="1">
        <v>1.0</v>
      </c>
      <c r="B525" s="2" t="s">
        <v>1104</v>
      </c>
      <c r="C525" s="1" t="s">
        <v>1105</v>
      </c>
      <c r="D525" s="1" t="s">
        <v>1097</v>
      </c>
      <c r="E525" s="3">
        <v>1.0</v>
      </c>
      <c r="F525" s="3">
        <v>0.0</v>
      </c>
    </row>
    <row r="526" ht="12.75" customHeight="1">
      <c r="A526" s="1">
        <v>1.0</v>
      </c>
      <c r="B526" s="2" t="s">
        <v>1106</v>
      </c>
      <c r="C526" s="1" t="s">
        <v>1107</v>
      </c>
      <c r="D526" s="1" t="s">
        <v>1097</v>
      </c>
      <c r="E526" s="3">
        <v>1.0</v>
      </c>
      <c r="F526" s="3">
        <v>0.0</v>
      </c>
    </row>
    <row r="527" ht="12.75" customHeight="1">
      <c r="A527" s="1">
        <v>1.0</v>
      </c>
      <c r="B527" s="2" t="s">
        <v>767</v>
      </c>
      <c r="C527" s="1" t="s">
        <v>768</v>
      </c>
      <c r="D527" s="1" t="s">
        <v>769</v>
      </c>
      <c r="E527" s="3">
        <v>1.0</v>
      </c>
      <c r="F527" s="3">
        <v>0.0</v>
      </c>
    </row>
    <row r="528" ht="12.75" customHeight="1">
      <c r="A528" s="1">
        <v>1.0</v>
      </c>
      <c r="B528" s="2" t="s">
        <v>1108</v>
      </c>
      <c r="C528" s="1" t="s">
        <v>1109</v>
      </c>
      <c r="D528" s="1" t="s">
        <v>1097</v>
      </c>
      <c r="E528" s="3">
        <v>1.0</v>
      </c>
      <c r="F528" s="3">
        <v>0.0</v>
      </c>
    </row>
    <row r="529" ht="12.75" customHeight="1">
      <c r="A529" s="1">
        <v>1.0</v>
      </c>
      <c r="B529" s="2" t="s">
        <v>961</v>
      </c>
      <c r="C529" s="1" t="s">
        <v>962</v>
      </c>
      <c r="D529" s="1" t="s">
        <v>963</v>
      </c>
      <c r="E529" s="3">
        <v>1.0</v>
      </c>
      <c r="F529" s="3">
        <v>0.0</v>
      </c>
    </row>
    <row r="530" ht="12.75" customHeight="1">
      <c r="A530" s="1">
        <v>1.0</v>
      </c>
      <c r="B530" s="2" t="s">
        <v>1110</v>
      </c>
      <c r="C530" s="1" t="s">
        <v>1111</v>
      </c>
      <c r="D530" s="1" t="s">
        <v>1097</v>
      </c>
      <c r="E530" s="3">
        <v>1.0</v>
      </c>
      <c r="F530" s="3">
        <v>0.0</v>
      </c>
    </row>
    <row r="531" ht="12.75" customHeight="1">
      <c r="A531" s="1">
        <v>1.0</v>
      </c>
      <c r="B531" s="2" t="s">
        <v>808</v>
      </c>
      <c r="C531" s="1" t="s">
        <v>809</v>
      </c>
      <c r="D531" s="1" t="s">
        <v>805</v>
      </c>
      <c r="E531" s="3">
        <v>1.0</v>
      </c>
      <c r="F531" s="3">
        <v>0.0</v>
      </c>
    </row>
    <row r="532" ht="12.75" customHeight="1">
      <c r="A532" s="1">
        <v>1.0</v>
      </c>
      <c r="B532" s="2" t="s">
        <v>758</v>
      </c>
      <c r="C532" s="1" t="s">
        <v>759</v>
      </c>
      <c r="D532" s="1" t="s">
        <v>757</v>
      </c>
      <c r="E532" s="3">
        <v>1.0</v>
      </c>
      <c r="F532" s="3">
        <v>0.0</v>
      </c>
    </row>
    <row r="533" ht="12.75" customHeight="1">
      <c r="A533" s="1">
        <v>1.0</v>
      </c>
      <c r="B533" s="2" t="s">
        <v>770</v>
      </c>
      <c r="C533" s="1" t="s">
        <v>771</v>
      </c>
      <c r="D533" s="1" t="s">
        <v>235</v>
      </c>
      <c r="E533" s="3">
        <v>1.0</v>
      </c>
      <c r="F533" s="3">
        <v>0.0</v>
      </c>
    </row>
    <row r="534" ht="12.75" customHeight="1">
      <c r="A534" s="1">
        <v>1.0</v>
      </c>
      <c r="B534" s="2" t="s">
        <v>725</v>
      </c>
      <c r="C534" s="1" t="s">
        <v>720</v>
      </c>
      <c r="D534" s="1" t="s">
        <v>718</v>
      </c>
      <c r="E534" s="3">
        <v>1.0</v>
      </c>
      <c r="F534" s="3">
        <v>0.0</v>
      </c>
    </row>
    <row r="535" ht="12.75" customHeight="1">
      <c r="A535" s="1">
        <v>1.0</v>
      </c>
      <c r="B535" s="2" t="s">
        <v>1240</v>
      </c>
      <c r="C535" s="1" t="s">
        <v>1241</v>
      </c>
      <c r="D535" s="1" t="s">
        <v>1239</v>
      </c>
      <c r="E535" s="3">
        <v>1.0</v>
      </c>
      <c r="F535" s="3">
        <v>0.0</v>
      </c>
    </row>
    <row r="536" ht="12.75" customHeight="1">
      <c r="A536" s="1">
        <v>1.0</v>
      </c>
      <c r="B536" s="2" t="s">
        <v>958</v>
      </c>
      <c r="C536" s="1" t="s">
        <v>959</v>
      </c>
      <c r="D536" s="1" t="s">
        <v>960</v>
      </c>
      <c r="E536" s="3">
        <v>1.0</v>
      </c>
      <c r="F536" s="3">
        <v>0.0</v>
      </c>
    </row>
    <row r="537" ht="12.75" customHeight="1">
      <c r="A537" s="1">
        <v>1.0</v>
      </c>
      <c r="B537" s="2" t="s">
        <v>949</v>
      </c>
      <c r="C537" s="1" t="s">
        <v>950</v>
      </c>
      <c r="D537" s="1" t="s">
        <v>936</v>
      </c>
      <c r="E537" s="3">
        <v>1.0</v>
      </c>
      <c r="F537" s="3">
        <v>0.0</v>
      </c>
    </row>
    <row r="538" ht="12.75" customHeight="1">
      <c r="A538" s="1">
        <v>1.0</v>
      </c>
      <c r="B538" s="2" t="s">
        <v>799</v>
      </c>
      <c r="C538" s="1" t="s">
        <v>800</v>
      </c>
      <c r="D538" s="1" t="s">
        <v>801</v>
      </c>
      <c r="E538" s="3">
        <v>1.0</v>
      </c>
      <c r="F538" s="3">
        <v>0.0</v>
      </c>
    </row>
    <row r="539" ht="12.75" customHeight="1">
      <c r="A539" s="1">
        <v>1.0</v>
      </c>
      <c r="B539" s="2" t="s">
        <v>1213</v>
      </c>
      <c r="C539" s="1" t="s">
        <v>1214</v>
      </c>
      <c r="D539" s="1" t="s">
        <v>1204</v>
      </c>
      <c r="E539" s="3">
        <v>1.0</v>
      </c>
      <c r="F539" s="3">
        <v>0.0</v>
      </c>
    </row>
    <row r="540" ht="12.75" customHeight="1">
      <c r="A540" s="1">
        <v>1.0</v>
      </c>
      <c r="B540" s="2" t="s">
        <v>1124</v>
      </c>
      <c r="C540" s="1" t="s">
        <v>1125</v>
      </c>
      <c r="D540" s="1" t="s">
        <v>1126</v>
      </c>
      <c r="E540" s="3">
        <v>1.0</v>
      </c>
      <c r="F540" s="3">
        <v>0.0</v>
      </c>
    </row>
    <row r="541" ht="12.75" customHeight="1">
      <c r="A541" s="1">
        <v>1.0</v>
      </c>
      <c r="B541" s="2" t="s">
        <v>882</v>
      </c>
      <c r="C541" s="1" t="s">
        <v>883</v>
      </c>
      <c r="D541" s="1" t="s">
        <v>884</v>
      </c>
      <c r="E541" s="3">
        <v>1.0</v>
      </c>
      <c r="F541" s="3">
        <v>0.0</v>
      </c>
    </row>
    <row r="542" ht="12.75" customHeight="1">
      <c r="A542" s="1">
        <v>1.0</v>
      </c>
      <c r="B542" s="2" t="s">
        <v>1200</v>
      </c>
      <c r="C542" s="1" t="s">
        <v>1201</v>
      </c>
      <c r="D542" s="1" t="s">
        <v>1202</v>
      </c>
      <c r="E542" s="3">
        <v>1.0</v>
      </c>
      <c r="F542" s="3">
        <v>0.0</v>
      </c>
    </row>
    <row r="543" ht="12.75" customHeight="1">
      <c r="A543" s="1">
        <v>1.0</v>
      </c>
      <c r="B543" s="2" t="s">
        <v>1356</v>
      </c>
      <c r="C543" s="1" t="s">
        <v>1357</v>
      </c>
      <c r="D543" s="1" t="s">
        <v>1353</v>
      </c>
      <c r="E543" s="3">
        <v>1.0</v>
      </c>
      <c r="F543" s="3">
        <v>0.0</v>
      </c>
    </row>
    <row r="544" ht="12.75" customHeight="1">
      <c r="A544" s="1">
        <v>1.0</v>
      </c>
      <c r="B544" s="2" t="s">
        <v>956</v>
      </c>
      <c r="C544" s="1" t="s">
        <v>957</v>
      </c>
      <c r="D544" s="1" t="s">
        <v>955</v>
      </c>
      <c r="E544" s="3">
        <v>1.0</v>
      </c>
      <c r="F544" s="3">
        <v>0.0</v>
      </c>
    </row>
    <row r="545" ht="12.75" customHeight="1">
      <c r="A545" s="1">
        <v>1.0</v>
      </c>
      <c r="B545" s="2" t="s">
        <v>1173</v>
      </c>
      <c r="C545" s="1" t="s">
        <v>1174</v>
      </c>
      <c r="D545" s="1" t="s">
        <v>1172</v>
      </c>
      <c r="E545" s="3">
        <v>1.0</v>
      </c>
      <c r="F545" s="3">
        <v>0.0</v>
      </c>
    </row>
    <row r="546" ht="12.75" customHeight="1">
      <c r="A546" s="1">
        <v>1.0</v>
      </c>
      <c r="B546" s="2" t="s">
        <v>1160</v>
      </c>
      <c r="C546" s="1" t="s">
        <v>1161</v>
      </c>
      <c r="D546" s="1" t="s">
        <v>1162</v>
      </c>
      <c r="E546" s="3">
        <v>1.0</v>
      </c>
      <c r="F546" s="3">
        <v>0.0</v>
      </c>
    </row>
    <row r="547" ht="12.75" customHeight="1">
      <c r="A547" s="1">
        <v>1.0</v>
      </c>
      <c r="B547" s="2" t="s">
        <v>734</v>
      </c>
      <c r="C547" s="1" t="s">
        <v>735</v>
      </c>
      <c r="D547" s="1" t="s">
        <v>736</v>
      </c>
      <c r="E547" s="3">
        <v>1.0</v>
      </c>
      <c r="F547" s="3">
        <v>0.0</v>
      </c>
    </row>
    <row r="548" ht="12.75" customHeight="1">
      <c r="A548" s="1">
        <v>1.0</v>
      </c>
      <c r="B548" s="2" t="s">
        <v>726</v>
      </c>
      <c r="C548" s="1" t="s">
        <v>727</v>
      </c>
      <c r="D548" s="1" t="s">
        <v>718</v>
      </c>
      <c r="E548" s="3">
        <v>1.0</v>
      </c>
      <c r="F548" s="3">
        <v>0.0</v>
      </c>
    </row>
    <row r="549" ht="12.75" customHeight="1">
      <c r="A549" s="1">
        <v>1.0</v>
      </c>
      <c r="B549" s="2" t="s">
        <v>1093</v>
      </c>
      <c r="C549" s="1" t="s">
        <v>1094</v>
      </c>
      <c r="D549" s="1" t="s">
        <v>1095</v>
      </c>
      <c r="E549" s="3">
        <v>1.0</v>
      </c>
      <c r="F549" s="3">
        <v>0.0</v>
      </c>
    </row>
    <row r="550" ht="12.75" customHeight="1">
      <c r="A550" s="1">
        <v>1.0</v>
      </c>
      <c r="B550" s="2">
        <v>567647.0</v>
      </c>
      <c r="C550" s="1" t="s">
        <v>1096</v>
      </c>
      <c r="D550" s="1" t="s">
        <v>1097</v>
      </c>
      <c r="E550" s="3">
        <v>1.0</v>
      </c>
      <c r="F550" s="3">
        <v>0.0</v>
      </c>
    </row>
    <row r="551" ht="12.75" customHeight="1">
      <c r="A551" s="1">
        <v>1.0</v>
      </c>
      <c r="B551" s="2">
        <v>567684.0</v>
      </c>
      <c r="C551" s="1" t="s">
        <v>1043</v>
      </c>
      <c r="D551" s="1" t="s">
        <v>1044</v>
      </c>
      <c r="E551" s="3">
        <v>1.0</v>
      </c>
      <c r="F551" s="3">
        <v>0.0</v>
      </c>
    </row>
    <row r="552" ht="12.75" customHeight="1">
      <c r="A552" s="1">
        <v>1.0</v>
      </c>
      <c r="B552" s="2" t="s">
        <v>1289</v>
      </c>
      <c r="C552" s="1" t="s">
        <v>1290</v>
      </c>
      <c r="D552" s="1" t="s">
        <v>1291</v>
      </c>
      <c r="E552" s="3">
        <v>1.0</v>
      </c>
      <c r="F552" s="3">
        <v>0.0</v>
      </c>
    </row>
    <row r="553" ht="12.75" customHeight="1">
      <c r="A553" s="1">
        <v>1.0</v>
      </c>
      <c r="B553" s="2" t="s">
        <v>878</v>
      </c>
      <c r="C553" s="1" t="s">
        <v>879</v>
      </c>
      <c r="D553" s="1" t="s">
        <v>880</v>
      </c>
      <c r="E553" s="3">
        <v>1.0</v>
      </c>
      <c r="F553" s="3">
        <v>0.0</v>
      </c>
    </row>
    <row r="554" ht="12.75" customHeight="1">
      <c r="A554" s="1">
        <v>1.0</v>
      </c>
      <c r="B554" s="2" t="s">
        <v>646</v>
      </c>
      <c r="C554" s="1" t="s">
        <v>647</v>
      </c>
      <c r="D554" s="1" t="s">
        <v>648</v>
      </c>
      <c r="E554" s="3">
        <v>1.0</v>
      </c>
      <c r="F554" s="3">
        <v>0.0</v>
      </c>
    </row>
    <row r="555" ht="12.75" customHeight="1">
      <c r="A555" s="1">
        <v>1.0</v>
      </c>
      <c r="B555" s="2" t="s">
        <v>1058</v>
      </c>
      <c r="C555" s="1" t="s">
        <v>1059</v>
      </c>
      <c r="D555" s="1" t="s">
        <v>1060</v>
      </c>
      <c r="E555" s="3">
        <v>1.0</v>
      </c>
      <c r="F555" s="3">
        <v>0.0</v>
      </c>
    </row>
    <row r="556" ht="12.75" customHeight="1">
      <c r="A556" s="1">
        <v>1.0</v>
      </c>
      <c r="B556" s="2">
        <v>600068.0</v>
      </c>
      <c r="C556" s="1" t="s">
        <v>796</v>
      </c>
      <c r="D556" s="1" t="s">
        <v>1296</v>
      </c>
      <c r="E556" s="3">
        <v>1.0</v>
      </c>
      <c r="F556" s="3">
        <v>0.0</v>
      </c>
    </row>
    <row r="557" ht="12.75" customHeight="1">
      <c r="A557" s="1">
        <v>1.0</v>
      </c>
      <c r="B557" s="2" t="s">
        <v>1279</v>
      </c>
      <c r="C557" s="1" t="s">
        <v>150</v>
      </c>
      <c r="D557" s="1" t="s">
        <v>1280</v>
      </c>
      <c r="E557" s="3">
        <v>1.0</v>
      </c>
      <c r="F557" s="3">
        <v>0.0</v>
      </c>
    </row>
    <row r="558" ht="12.75" customHeight="1">
      <c r="A558" s="1">
        <v>1.0</v>
      </c>
      <c r="B558" s="2" t="s">
        <v>4598</v>
      </c>
      <c r="C558" s="1" t="s">
        <v>4589</v>
      </c>
      <c r="D558" s="1" t="s">
        <v>4599</v>
      </c>
      <c r="E558" s="3">
        <v>1.0</v>
      </c>
      <c r="F558" s="3">
        <v>0.0</v>
      </c>
    </row>
    <row r="559" ht="12.75" customHeight="1">
      <c r="A559" s="1">
        <v>1.0</v>
      </c>
      <c r="B559" s="2" t="s">
        <v>1025</v>
      </c>
      <c r="C559" s="1" t="s">
        <v>1026</v>
      </c>
      <c r="D559" s="1" t="s">
        <v>1027</v>
      </c>
      <c r="E559" s="3">
        <v>1.0</v>
      </c>
      <c r="F559" s="3">
        <v>0.0</v>
      </c>
    </row>
    <row r="560" ht="12.75" customHeight="1">
      <c r="A560" s="1">
        <v>1.0</v>
      </c>
      <c r="B560" s="2" t="s">
        <v>1090</v>
      </c>
      <c r="C560" s="1" t="s">
        <v>1091</v>
      </c>
      <c r="D560" s="1" t="s">
        <v>1092</v>
      </c>
      <c r="E560" s="3">
        <v>1.0</v>
      </c>
      <c r="F560" s="3">
        <v>0.0</v>
      </c>
    </row>
    <row r="561" ht="12.75" customHeight="1">
      <c r="A561" s="1">
        <v>1.0</v>
      </c>
      <c r="B561" s="2" t="s">
        <v>815</v>
      </c>
      <c r="C561" s="1" t="s">
        <v>816</v>
      </c>
      <c r="D561" s="1" t="s">
        <v>817</v>
      </c>
      <c r="E561" s="3">
        <v>1.0</v>
      </c>
      <c r="F561" s="3">
        <v>0.0</v>
      </c>
    </row>
    <row r="562" ht="12.75" customHeight="1">
      <c r="A562" s="1">
        <v>1.0</v>
      </c>
      <c r="B562" s="2" t="s">
        <v>1085</v>
      </c>
      <c r="C562" s="1" t="s">
        <v>816</v>
      </c>
      <c r="D562" s="1" t="s">
        <v>1086</v>
      </c>
      <c r="E562" s="3">
        <v>1.0</v>
      </c>
      <c r="F562" s="3">
        <v>0.0</v>
      </c>
    </row>
    <row r="563" ht="12.75" customHeight="1">
      <c r="A563" s="1">
        <v>1.0</v>
      </c>
      <c r="B563" s="2" t="s">
        <v>1083</v>
      </c>
      <c r="C563" s="1" t="s">
        <v>816</v>
      </c>
      <c r="D563" s="1" t="s">
        <v>1084</v>
      </c>
      <c r="E563" s="3">
        <v>1.0</v>
      </c>
      <c r="F563" s="3">
        <v>0.0</v>
      </c>
    </row>
    <row r="564" ht="12.75" customHeight="1">
      <c r="A564" s="1">
        <v>1.0</v>
      </c>
      <c r="B564" s="2" t="s">
        <v>1338</v>
      </c>
      <c r="C564" s="1" t="s">
        <v>1339</v>
      </c>
      <c r="D564" s="1" t="s">
        <v>1340</v>
      </c>
      <c r="E564" s="3">
        <v>1.0</v>
      </c>
      <c r="F564" s="3">
        <v>0.0</v>
      </c>
    </row>
    <row r="565" ht="12.75" customHeight="1">
      <c r="A565" s="1">
        <v>1.0</v>
      </c>
      <c r="B565" s="2">
        <v>780149.0</v>
      </c>
      <c r="C565" s="1" t="s">
        <v>886</v>
      </c>
      <c r="D565" s="1" t="s">
        <v>887</v>
      </c>
      <c r="E565" s="3">
        <v>1.0</v>
      </c>
      <c r="F565" s="3">
        <v>0.0</v>
      </c>
    </row>
    <row r="566" ht="12.75" customHeight="1">
      <c r="A566" s="1">
        <v>1.0</v>
      </c>
      <c r="B566" s="2">
        <v>780170.0</v>
      </c>
      <c r="C566" s="1" t="s">
        <v>1281</v>
      </c>
      <c r="D566" s="1" t="s">
        <v>1282</v>
      </c>
      <c r="E566" s="3">
        <v>1.0</v>
      </c>
      <c r="F566" s="3">
        <v>0.0</v>
      </c>
    </row>
    <row r="567" ht="12.75" customHeight="1">
      <c r="A567" s="1">
        <v>1.0</v>
      </c>
      <c r="B567" s="2">
        <v>910102.0</v>
      </c>
      <c r="C567" s="1" t="s">
        <v>1082</v>
      </c>
      <c r="D567" s="1" t="s">
        <v>412</v>
      </c>
      <c r="E567" s="3">
        <v>1.0</v>
      </c>
      <c r="F567" s="3">
        <v>0.0</v>
      </c>
    </row>
    <row r="568" ht="12.75" customHeight="1">
      <c r="A568" s="1">
        <v>1.0</v>
      </c>
      <c r="B568" s="2">
        <v>1000115.0</v>
      </c>
      <c r="C568" s="1" t="s">
        <v>753</v>
      </c>
      <c r="D568" s="1" t="s">
        <v>754</v>
      </c>
      <c r="E568" s="3">
        <v>1.0</v>
      </c>
      <c r="F568" s="3">
        <v>0.0</v>
      </c>
    </row>
    <row r="569" ht="12.75" customHeight="1">
      <c r="A569" s="1">
        <v>1.0</v>
      </c>
      <c r="B569" s="2">
        <v>1130815.0</v>
      </c>
      <c r="C569" s="1" t="s">
        <v>802</v>
      </c>
      <c r="D569" s="1" t="s">
        <v>803</v>
      </c>
      <c r="E569" s="3">
        <v>1.0</v>
      </c>
      <c r="F569" s="3">
        <v>0.0</v>
      </c>
    </row>
    <row r="570" ht="12.75" customHeight="1">
      <c r="A570" s="1">
        <v>1.0</v>
      </c>
      <c r="B570" s="2">
        <v>1130820.0</v>
      </c>
      <c r="C570" s="1" t="s">
        <v>694</v>
      </c>
      <c r="D570" s="1" t="s">
        <v>695</v>
      </c>
      <c r="E570" s="3">
        <v>1.0</v>
      </c>
      <c r="F570" s="3">
        <v>0.0</v>
      </c>
    </row>
    <row r="571" ht="12.75" customHeight="1">
      <c r="A571" s="1">
        <v>1.0</v>
      </c>
      <c r="B571" s="2">
        <v>1130830.0</v>
      </c>
      <c r="C571" s="1" t="s">
        <v>1131</v>
      </c>
      <c r="D571" s="1" t="s">
        <v>1132</v>
      </c>
      <c r="E571" s="3">
        <v>1.0</v>
      </c>
      <c r="F571" s="3">
        <v>0.0</v>
      </c>
    </row>
    <row r="572" ht="12.75" customHeight="1">
      <c r="A572" s="1">
        <v>1.0</v>
      </c>
      <c r="B572" s="2">
        <v>1130838.0</v>
      </c>
      <c r="C572" s="1" t="s">
        <v>4600</v>
      </c>
      <c r="D572" s="1" t="s">
        <v>4601</v>
      </c>
      <c r="E572" s="3">
        <v>1.0</v>
      </c>
      <c r="F572" s="3">
        <v>0.0</v>
      </c>
    </row>
    <row r="573" ht="12.75" customHeight="1">
      <c r="A573" s="1">
        <v>1.0</v>
      </c>
      <c r="B573" s="2">
        <v>1130870.0</v>
      </c>
      <c r="C573" s="1" t="s">
        <v>1045</v>
      </c>
      <c r="D573" s="1" t="s">
        <v>177</v>
      </c>
      <c r="E573" s="3">
        <v>1.0</v>
      </c>
      <c r="F573" s="3">
        <v>0.0</v>
      </c>
    </row>
    <row r="574" ht="12.75" customHeight="1">
      <c r="A574" s="1">
        <v>1.0</v>
      </c>
      <c r="B574" s="2">
        <v>1300120.0</v>
      </c>
      <c r="C574" s="1" t="s">
        <v>4602</v>
      </c>
      <c r="D574" s="1" t="s">
        <v>4603</v>
      </c>
      <c r="E574" s="3">
        <v>1.0</v>
      </c>
      <c r="F574" s="3">
        <v>0.0</v>
      </c>
    </row>
    <row r="575" ht="12.75" customHeight="1">
      <c r="A575" s="1">
        <v>1.0</v>
      </c>
      <c r="B575" s="2">
        <v>1360319.0</v>
      </c>
      <c r="C575" s="1" t="s">
        <v>1035</v>
      </c>
      <c r="D575" s="1" t="s">
        <v>45</v>
      </c>
      <c r="E575" s="3">
        <v>1.0</v>
      </c>
      <c r="F575" s="3">
        <v>0.0</v>
      </c>
    </row>
    <row r="576" ht="12.75" customHeight="1">
      <c r="A576" s="1">
        <v>1.0</v>
      </c>
      <c r="B576" s="2">
        <v>1360329.0</v>
      </c>
      <c r="C576" s="1" t="s">
        <v>1036</v>
      </c>
      <c r="D576" s="1" t="s">
        <v>1037</v>
      </c>
      <c r="E576" s="3">
        <v>1.0</v>
      </c>
      <c r="F576" s="3">
        <v>0.0</v>
      </c>
    </row>
    <row r="577" ht="12.75" customHeight="1">
      <c r="A577" s="1">
        <v>1.0</v>
      </c>
      <c r="B577" s="2">
        <v>1660103.0</v>
      </c>
      <c r="C577" s="1" t="s">
        <v>49</v>
      </c>
      <c r="D577" s="1" t="s">
        <v>841</v>
      </c>
      <c r="E577" s="3">
        <v>1.0</v>
      </c>
      <c r="F577" s="3">
        <v>0.0</v>
      </c>
    </row>
    <row r="578" ht="12.75" customHeight="1">
      <c r="A578" s="1">
        <v>1.0</v>
      </c>
      <c r="B578" s="2">
        <v>1660105.0</v>
      </c>
      <c r="C578" s="1" t="s">
        <v>49</v>
      </c>
      <c r="D578" s="1" t="s">
        <v>840</v>
      </c>
      <c r="E578" s="3">
        <v>1.0</v>
      </c>
      <c r="F578" s="3">
        <v>0.0</v>
      </c>
    </row>
    <row r="579" ht="12.75" customHeight="1">
      <c r="A579" s="1">
        <v>1.0</v>
      </c>
      <c r="B579" s="2">
        <v>1660210.0</v>
      </c>
      <c r="C579" s="1" t="s">
        <v>49</v>
      </c>
      <c r="D579" s="1" t="s">
        <v>26</v>
      </c>
      <c r="E579" s="3">
        <v>1.0</v>
      </c>
      <c r="F579" s="3">
        <v>0.0</v>
      </c>
    </row>
    <row r="580" ht="12.75" customHeight="1">
      <c r="A580" s="1">
        <v>1.0</v>
      </c>
      <c r="B580" s="2">
        <v>1660213.0</v>
      </c>
      <c r="C580" s="1" t="s">
        <v>685</v>
      </c>
      <c r="D580" s="1" t="s">
        <v>686</v>
      </c>
      <c r="E580" s="3">
        <v>1.0</v>
      </c>
      <c r="F580" s="3">
        <v>0.0</v>
      </c>
    </row>
    <row r="581" ht="12.75" customHeight="1">
      <c r="A581" s="1">
        <v>1.0</v>
      </c>
      <c r="B581" s="2">
        <v>1660215.0</v>
      </c>
      <c r="C581" s="1" t="s">
        <v>844</v>
      </c>
      <c r="D581" s="1" t="s">
        <v>237</v>
      </c>
      <c r="E581" s="3">
        <v>1.0</v>
      </c>
      <c r="F581" s="3">
        <v>0.0</v>
      </c>
    </row>
    <row r="582" ht="12.75" customHeight="1">
      <c r="A582" s="1">
        <v>1.0</v>
      </c>
      <c r="B582" s="2">
        <v>1660216.0</v>
      </c>
      <c r="C582" s="1" t="s">
        <v>49</v>
      </c>
      <c r="D582" s="1" t="s">
        <v>1310</v>
      </c>
      <c r="E582" s="3">
        <v>1.0</v>
      </c>
      <c r="F582" s="3">
        <v>0.0</v>
      </c>
    </row>
    <row r="583" ht="12.75" customHeight="1">
      <c r="A583" s="1">
        <v>1.0</v>
      </c>
      <c r="B583" s="2">
        <v>1660217.0</v>
      </c>
      <c r="C583" s="1" t="s">
        <v>683</v>
      </c>
      <c r="D583" s="1" t="s">
        <v>259</v>
      </c>
      <c r="E583" s="3">
        <v>1.0</v>
      </c>
      <c r="F583" s="3">
        <v>0.0</v>
      </c>
    </row>
    <row r="584" ht="12.75" customHeight="1">
      <c r="A584" s="1">
        <v>1.0</v>
      </c>
      <c r="B584" s="2">
        <v>1660225.0</v>
      </c>
      <c r="C584" s="1" t="s">
        <v>861</v>
      </c>
      <c r="D584" s="1" t="s">
        <v>862</v>
      </c>
      <c r="E584" s="3">
        <v>1.0</v>
      </c>
      <c r="F584" s="3">
        <v>0.0</v>
      </c>
    </row>
    <row r="585" ht="12.75" customHeight="1">
      <c r="A585" s="1">
        <v>1.0</v>
      </c>
      <c r="B585" s="2">
        <v>1660307.0</v>
      </c>
      <c r="C585" s="1" t="s">
        <v>684</v>
      </c>
      <c r="D585" s="1" t="s">
        <v>687</v>
      </c>
      <c r="E585" s="3">
        <v>1.0</v>
      </c>
      <c r="F585" s="3">
        <v>0.0</v>
      </c>
    </row>
    <row r="586" ht="12.75" customHeight="1">
      <c r="A586" s="1">
        <v>1.0</v>
      </c>
      <c r="B586" s="2">
        <v>1660308.0</v>
      </c>
      <c r="C586" s="1" t="s">
        <v>684</v>
      </c>
      <c r="D586" s="1" t="s">
        <v>259</v>
      </c>
      <c r="E586" s="3">
        <v>1.0</v>
      </c>
      <c r="F586" s="3">
        <v>0.0</v>
      </c>
    </row>
    <row r="587" ht="12.75" customHeight="1">
      <c r="A587" s="1">
        <v>1.0</v>
      </c>
      <c r="B587" s="2">
        <v>1660402.0</v>
      </c>
      <c r="C587" s="1" t="s">
        <v>49</v>
      </c>
      <c r="D587" s="1" t="s">
        <v>1308</v>
      </c>
      <c r="E587" s="3">
        <v>1.0</v>
      </c>
      <c r="F587" s="3">
        <v>0.0</v>
      </c>
    </row>
    <row r="588" ht="12.75" customHeight="1">
      <c r="A588" s="1">
        <v>1.0</v>
      </c>
      <c r="B588" s="2">
        <v>1660501.0</v>
      </c>
      <c r="C588" s="1" t="s">
        <v>842</v>
      </c>
      <c r="D588" s="1" t="s">
        <v>843</v>
      </c>
      <c r="E588" s="3">
        <v>1.0</v>
      </c>
      <c r="F588" s="3">
        <v>0.0</v>
      </c>
    </row>
    <row r="589" ht="12.75" customHeight="1">
      <c r="A589" s="1">
        <v>1.0</v>
      </c>
      <c r="B589" s="2">
        <v>1660502.0</v>
      </c>
      <c r="C589" s="1" t="s">
        <v>49</v>
      </c>
      <c r="D589" s="1" t="s">
        <v>819</v>
      </c>
      <c r="E589" s="3">
        <v>1.0</v>
      </c>
      <c r="F589" s="3">
        <v>0.0</v>
      </c>
    </row>
    <row r="590" ht="12.75" customHeight="1">
      <c r="A590" s="1">
        <v>1.0</v>
      </c>
      <c r="B590" s="2">
        <v>1870121.0</v>
      </c>
      <c r="C590" s="1" t="s">
        <v>473</v>
      </c>
      <c r="D590" s="1" t="s">
        <v>755</v>
      </c>
      <c r="E590" s="3">
        <v>1.0</v>
      </c>
      <c r="F590" s="3">
        <v>0.0</v>
      </c>
    </row>
    <row r="591" ht="12.75" customHeight="1">
      <c r="A591" s="1">
        <v>1.0</v>
      </c>
      <c r="B591" s="2">
        <v>1990103.0</v>
      </c>
      <c r="C591" s="1" t="s">
        <v>117</v>
      </c>
      <c r="D591" s="1" t="s">
        <v>616</v>
      </c>
      <c r="E591" s="3">
        <v>1.0</v>
      </c>
      <c r="F591" s="3">
        <v>0.0</v>
      </c>
    </row>
    <row r="592" ht="12.75" customHeight="1">
      <c r="A592" s="1">
        <v>1.0</v>
      </c>
      <c r="B592" s="2">
        <v>1990108.0</v>
      </c>
      <c r="C592" s="1" t="s">
        <v>117</v>
      </c>
      <c r="D592" s="1" t="s">
        <v>617</v>
      </c>
      <c r="E592" s="3">
        <v>1.0</v>
      </c>
      <c r="F592" s="3">
        <v>0.0</v>
      </c>
    </row>
    <row r="593" ht="12.75" customHeight="1">
      <c r="A593" s="1">
        <v>1.0</v>
      </c>
      <c r="B593" s="2">
        <v>2480122.0</v>
      </c>
      <c r="C593" s="1" t="s">
        <v>561</v>
      </c>
      <c r="D593" s="1" t="s">
        <v>855</v>
      </c>
      <c r="E593" s="3">
        <v>1.0</v>
      </c>
      <c r="F593" s="3">
        <v>0.0</v>
      </c>
    </row>
    <row r="594" ht="12.75" customHeight="1">
      <c r="A594" s="1">
        <v>1.0</v>
      </c>
      <c r="B594" s="2">
        <v>2480124.0</v>
      </c>
      <c r="C594" s="1" t="s">
        <v>561</v>
      </c>
      <c r="D594" s="1" t="s">
        <v>1361</v>
      </c>
      <c r="E594" s="3">
        <v>1.0</v>
      </c>
      <c r="F594" s="3">
        <v>0.0</v>
      </c>
    </row>
    <row r="595" ht="12.75" customHeight="1">
      <c r="A595" s="1">
        <v>1.0</v>
      </c>
      <c r="B595" s="2">
        <v>3321206.0</v>
      </c>
      <c r="C595" s="1" t="s">
        <v>1163</v>
      </c>
      <c r="D595" s="1" t="s">
        <v>537</v>
      </c>
      <c r="E595" s="3">
        <v>1.0</v>
      </c>
      <c r="F595" s="3">
        <v>0.0</v>
      </c>
    </row>
    <row r="596" ht="12.75" customHeight="1">
      <c r="A596" s="1">
        <v>1.0</v>
      </c>
      <c r="B596" s="2">
        <v>3550803.0</v>
      </c>
      <c r="C596" s="1" t="s">
        <v>789</v>
      </c>
      <c r="D596" s="1" t="s">
        <v>790</v>
      </c>
      <c r="E596" s="3">
        <v>1.0</v>
      </c>
      <c r="F596" s="3">
        <v>0.0</v>
      </c>
    </row>
    <row r="597" ht="12.75" customHeight="1">
      <c r="A597" s="1">
        <v>1.0</v>
      </c>
      <c r="B597" s="2">
        <v>3800310.0</v>
      </c>
      <c r="C597" s="1" t="s">
        <v>37</v>
      </c>
      <c r="D597" s="1" t="s">
        <v>888</v>
      </c>
      <c r="E597" s="3">
        <v>1.0</v>
      </c>
      <c r="F597" s="3">
        <v>0.0</v>
      </c>
    </row>
    <row r="598" ht="12.75" customHeight="1">
      <c r="A598" s="1">
        <v>1.0</v>
      </c>
      <c r="B598" s="2">
        <v>3800334.0</v>
      </c>
      <c r="C598" s="1" t="s">
        <v>37</v>
      </c>
      <c r="D598" s="1" t="s">
        <v>881</v>
      </c>
      <c r="E598" s="3">
        <v>1.0</v>
      </c>
      <c r="F598" s="3">
        <v>0.0</v>
      </c>
    </row>
    <row r="599" ht="12.75" customHeight="1">
      <c r="A599" s="1">
        <v>1.0</v>
      </c>
      <c r="B599" s="2">
        <v>3800342.0</v>
      </c>
      <c r="C599" s="1" t="s">
        <v>37</v>
      </c>
      <c r="D599" s="1" t="s">
        <v>1311</v>
      </c>
      <c r="E599" s="3">
        <v>1.0</v>
      </c>
      <c r="F599" s="3">
        <v>0.0</v>
      </c>
    </row>
    <row r="600" ht="12.75" customHeight="1">
      <c r="A600" s="1">
        <v>1.0</v>
      </c>
      <c r="B600" s="2">
        <v>3800425.0</v>
      </c>
      <c r="C600" s="1" t="s">
        <v>990</v>
      </c>
      <c r="D600" s="1" t="s">
        <v>991</v>
      </c>
      <c r="E600" s="3">
        <v>1.0</v>
      </c>
      <c r="F600" s="3">
        <v>0.0</v>
      </c>
    </row>
    <row r="601" ht="12.75" customHeight="1">
      <c r="A601" s="1">
        <v>1.0</v>
      </c>
      <c r="B601" s="2">
        <v>3800478.0</v>
      </c>
      <c r="C601" s="1" t="s">
        <v>869</v>
      </c>
      <c r="D601" s="1" t="s">
        <v>870</v>
      </c>
      <c r="E601" s="3">
        <v>1.0</v>
      </c>
      <c r="F601" s="3">
        <v>0.0</v>
      </c>
    </row>
    <row r="602" ht="12.75" customHeight="1">
      <c r="A602" s="1">
        <v>1.0</v>
      </c>
      <c r="B602" s="2">
        <v>3801206.0</v>
      </c>
      <c r="C602" s="1" t="s">
        <v>55</v>
      </c>
      <c r="D602" s="1" t="s">
        <v>1076</v>
      </c>
      <c r="E602" s="3">
        <v>1.0</v>
      </c>
      <c r="F602" s="3">
        <v>0.0</v>
      </c>
    </row>
    <row r="603" ht="12.75" customHeight="1">
      <c r="A603" s="1">
        <v>1.0</v>
      </c>
      <c r="B603" s="2">
        <v>3801215.0</v>
      </c>
      <c r="C603" s="1" t="s">
        <v>89</v>
      </c>
      <c r="D603" s="1" t="s">
        <v>1074</v>
      </c>
      <c r="E603" s="3">
        <v>1.0</v>
      </c>
      <c r="F603" s="3">
        <v>0.0</v>
      </c>
    </row>
    <row r="604" ht="12.75" customHeight="1">
      <c r="A604" s="1">
        <v>1.0</v>
      </c>
      <c r="B604" s="2">
        <v>3801252.0</v>
      </c>
      <c r="C604" s="1" t="s">
        <v>55</v>
      </c>
      <c r="D604" s="1" t="s">
        <v>1075</v>
      </c>
      <c r="E604" s="3">
        <v>1.0</v>
      </c>
      <c r="F604" s="3">
        <v>0.0</v>
      </c>
    </row>
    <row r="605" ht="12.75" customHeight="1">
      <c r="A605" s="1">
        <v>1.0</v>
      </c>
      <c r="B605" s="2">
        <v>3801266.0</v>
      </c>
      <c r="C605" s="1" t="s">
        <v>55</v>
      </c>
      <c r="D605" s="1" t="s">
        <v>1079</v>
      </c>
      <c r="E605" s="3">
        <v>1.0</v>
      </c>
      <c r="F605" s="3">
        <v>0.0</v>
      </c>
    </row>
    <row r="606" ht="12.75" customHeight="1">
      <c r="A606" s="1">
        <v>1.0</v>
      </c>
      <c r="B606" s="2">
        <v>3801347.0</v>
      </c>
      <c r="C606" s="1" t="s">
        <v>312</v>
      </c>
      <c r="D606" s="1" t="s">
        <v>1260</v>
      </c>
      <c r="E606" s="3">
        <v>1.0</v>
      </c>
      <c r="F606" s="3">
        <v>0.0</v>
      </c>
    </row>
    <row r="607" ht="12.75" customHeight="1">
      <c r="A607" s="1">
        <v>1.0</v>
      </c>
      <c r="B607" s="2" t="s">
        <v>1261</v>
      </c>
      <c r="C607" s="1" t="s">
        <v>312</v>
      </c>
      <c r="D607" s="1" t="s">
        <v>1262</v>
      </c>
      <c r="E607" s="3">
        <v>1.0</v>
      </c>
      <c r="F607" s="3">
        <v>0.0</v>
      </c>
    </row>
    <row r="608" ht="12.75" customHeight="1">
      <c r="A608" s="1">
        <v>1.0</v>
      </c>
      <c r="B608" s="2">
        <v>3801379.0</v>
      </c>
      <c r="C608" s="1" t="s">
        <v>312</v>
      </c>
      <c r="D608" s="1" t="s">
        <v>1362</v>
      </c>
      <c r="E608" s="3">
        <v>1.0</v>
      </c>
      <c r="F608" s="3">
        <v>0.0</v>
      </c>
    </row>
    <row r="609" ht="12.75" customHeight="1">
      <c r="A609" s="1">
        <v>1.0</v>
      </c>
      <c r="B609" s="2">
        <v>3801528.0</v>
      </c>
      <c r="C609" s="1" t="s">
        <v>21</v>
      </c>
      <c r="D609" s="1" t="s">
        <v>1023</v>
      </c>
      <c r="E609" s="3">
        <v>1.0</v>
      </c>
      <c r="F609" s="3">
        <v>0.0</v>
      </c>
    </row>
    <row r="610" ht="12.75" customHeight="1">
      <c r="A610" s="1">
        <v>1.0</v>
      </c>
      <c r="B610" s="2">
        <v>3801529.0</v>
      </c>
      <c r="C610" s="1" t="s">
        <v>21</v>
      </c>
      <c r="D610" s="1" t="s">
        <v>1024</v>
      </c>
      <c r="E610" s="3">
        <v>1.0</v>
      </c>
      <c r="F610" s="3">
        <v>0.0</v>
      </c>
    </row>
    <row r="611" ht="12.75" customHeight="1">
      <c r="A611" s="1">
        <v>1.0</v>
      </c>
      <c r="B611" s="2">
        <v>3801540.0</v>
      </c>
      <c r="C611" s="1" t="s">
        <v>21</v>
      </c>
      <c r="D611" s="1" t="s">
        <v>1015</v>
      </c>
      <c r="E611" s="3">
        <v>1.0</v>
      </c>
      <c r="F611" s="3">
        <v>0.0</v>
      </c>
    </row>
    <row r="612" ht="12.75" customHeight="1">
      <c r="A612" s="1">
        <v>1.0</v>
      </c>
      <c r="B612" s="2">
        <v>3801559.0</v>
      </c>
      <c r="C612" s="1" t="s">
        <v>21</v>
      </c>
      <c r="D612" s="1" t="s">
        <v>1016</v>
      </c>
      <c r="E612" s="3">
        <v>1.0</v>
      </c>
      <c r="F612" s="3">
        <v>0.0</v>
      </c>
    </row>
    <row r="613" ht="12.75" customHeight="1">
      <c r="A613" s="1">
        <v>1.0</v>
      </c>
      <c r="B613" s="2">
        <v>3801561.0</v>
      </c>
      <c r="C613" s="1" t="s">
        <v>47</v>
      </c>
      <c r="D613" s="1" t="s">
        <v>688</v>
      </c>
      <c r="E613" s="3">
        <v>1.0</v>
      </c>
      <c r="F613" s="3">
        <v>0.0</v>
      </c>
    </row>
    <row r="614" ht="12.75" customHeight="1">
      <c r="A614" s="1">
        <v>1.0</v>
      </c>
      <c r="B614" s="2">
        <v>3801568.0</v>
      </c>
      <c r="C614" s="1" t="s">
        <v>21</v>
      </c>
      <c r="D614" s="1" t="s">
        <v>1022</v>
      </c>
      <c r="E614" s="3">
        <v>1.0</v>
      </c>
      <c r="F614" s="3">
        <v>0.0</v>
      </c>
    </row>
    <row r="615" ht="12.75" customHeight="1">
      <c r="A615" s="1">
        <v>1.0</v>
      </c>
      <c r="B615" s="2">
        <v>3801582.0</v>
      </c>
      <c r="C615" s="1" t="s">
        <v>21</v>
      </c>
      <c r="D615" s="1" t="s">
        <v>775</v>
      </c>
      <c r="E615" s="3">
        <v>1.0</v>
      </c>
      <c r="F615" s="3">
        <v>0.0</v>
      </c>
    </row>
    <row r="616" ht="12.75" customHeight="1">
      <c r="A616" s="1">
        <v>1.0</v>
      </c>
      <c r="B616" s="2">
        <v>3801583.0</v>
      </c>
      <c r="C616" s="1" t="s">
        <v>21</v>
      </c>
      <c r="D616" s="1" t="s">
        <v>870</v>
      </c>
      <c r="E616" s="3">
        <v>1.0</v>
      </c>
      <c r="F616" s="3">
        <v>0.0</v>
      </c>
    </row>
    <row r="617" ht="12.75" customHeight="1">
      <c r="A617" s="1">
        <v>1.0</v>
      </c>
      <c r="B617" s="2" t="s">
        <v>681</v>
      </c>
      <c r="C617" s="1" t="s">
        <v>21</v>
      </c>
      <c r="D617" s="1" t="s">
        <v>682</v>
      </c>
      <c r="E617" s="3">
        <v>1.0</v>
      </c>
      <c r="F617" s="3">
        <v>0.0</v>
      </c>
    </row>
    <row r="618" ht="12.75" customHeight="1">
      <c r="A618" s="1">
        <v>1.0</v>
      </c>
      <c r="B618" s="2">
        <v>3801801.0</v>
      </c>
      <c r="C618" s="1" t="s">
        <v>859</v>
      </c>
      <c r="D618" s="1" t="s">
        <v>860</v>
      </c>
      <c r="E618" s="3">
        <v>1.0</v>
      </c>
      <c r="F618" s="3">
        <v>0.0</v>
      </c>
    </row>
    <row r="619" ht="12.75" customHeight="1">
      <c r="A619" s="1">
        <v>1.0</v>
      </c>
      <c r="B619" s="2">
        <v>3801903.0</v>
      </c>
      <c r="C619" s="1" t="s">
        <v>25</v>
      </c>
      <c r="D619" s="1" t="s">
        <v>1137</v>
      </c>
      <c r="E619" s="3">
        <v>1.0</v>
      </c>
      <c r="F619" s="3">
        <v>0.0</v>
      </c>
    </row>
    <row r="620" ht="12.75" customHeight="1">
      <c r="A620" s="1">
        <v>1.0</v>
      </c>
      <c r="B620" s="2">
        <v>3801907.0</v>
      </c>
      <c r="C620" s="1" t="s">
        <v>25</v>
      </c>
      <c r="D620" s="1" t="s">
        <v>798</v>
      </c>
      <c r="E620" s="3">
        <v>1.0</v>
      </c>
      <c r="F620" s="3">
        <v>0.0</v>
      </c>
    </row>
    <row r="621" ht="12.75" customHeight="1">
      <c r="A621" s="1">
        <v>1.0</v>
      </c>
      <c r="B621" s="2">
        <v>3801939.0</v>
      </c>
      <c r="C621" s="1" t="s">
        <v>25</v>
      </c>
      <c r="D621" s="1" t="s">
        <v>1309</v>
      </c>
      <c r="E621" s="3">
        <v>1.0</v>
      </c>
      <c r="F621" s="3">
        <v>0.0</v>
      </c>
    </row>
    <row r="622" ht="12.75" customHeight="1">
      <c r="A622" s="1">
        <v>1.0</v>
      </c>
      <c r="B622" s="2">
        <v>3801953.0</v>
      </c>
      <c r="C622" s="1" t="s">
        <v>25</v>
      </c>
      <c r="D622" s="1" t="s">
        <v>1141</v>
      </c>
      <c r="E622" s="3">
        <v>1.0</v>
      </c>
      <c r="F622" s="3">
        <v>0.0</v>
      </c>
    </row>
    <row r="623" ht="12.75" customHeight="1">
      <c r="A623" s="1">
        <v>1.0</v>
      </c>
      <c r="B623" s="2">
        <v>3801954.0</v>
      </c>
      <c r="C623" s="1" t="s">
        <v>220</v>
      </c>
      <c r="D623" s="1" t="s">
        <v>1140</v>
      </c>
      <c r="E623" s="3">
        <v>1.0</v>
      </c>
      <c r="F623" s="3">
        <v>0.0</v>
      </c>
    </row>
    <row r="624" ht="12.75" customHeight="1">
      <c r="A624" s="1">
        <v>1.0</v>
      </c>
      <c r="B624" s="2">
        <v>3801958.0</v>
      </c>
      <c r="C624" s="1" t="s">
        <v>1343</v>
      </c>
      <c r="D624" s="1" t="s">
        <v>1344</v>
      </c>
      <c r="E624" s="3">
        <v>1.0</v>
      </c>
      <c r="F624" s="3">
        <v>0.0</v>
      </c>
    </row>
    <row r="625" ht="12.75" customHeight="1">
      <c r="A625" s="1">
        <v>1.0</v>
      </c>
      <c r="B625" s="2">
        <v>3801961.0</v>
      </c>
      <c r="C625" s="1" t="s">
        <v>220</v>
      </c>
      <c r="D625" s="1" t="s">
        <v>1344</v>
      </c>
      <c r="E625" s="3">
        <v>1.0</v>
      </c>
      <c r="F625" s="3">
        <v>0.0</v>
      </c>
    </row>
    <row r="626" ht="12.75" customHeight="1">
      <c r="A626" s="1">
        <v>1.0</v>
      </c>
      <c r="B626" s="2" t="s">
        <v>1138</v>
      </c>
      <c r="C626" s="1" t="s">
        <v>25</v>
      </c>
      <c r="D626" s="1" t="s">
        <v>1139</v>
      </c>
      <c r="E626" s="3">
        <v>1.0</v>
      </c>
      <c r="F626" s="3">
        <v>0.0</v>
      </c>
    </row>
    <row r="627" ht="12.75" customHeight="1">
      <c r="A627" s="1">
        <v>1.0</v>
      </c>
      <c r="B627" s="2" t="s">
        <v>1020</v>
      </c>
      <c r="C627" s="1" t="s">
        <v>25</v>
      </c>
      <c r="D627" s="1" t="s">
        <v>1021</v>
      </c>
      <c r="E627" s="3">
        <v>1.0</v>
      </c>
      <c r="F627" s="3">
        <v>0.0</v>
      </c>
    </row>
    <row r="628" ht="12.75" customHeight="1">
      <c r="A628" s="1">
        <v>1.0</v>
      </c>
      <c r="B628" s="2" t="s">
        <v>791</v>
      </c>
      <c r="C628" s="1" t="s">
        <v>25</v>
      </c>
      <c r="D628" s="1" t="s">
        <v>792</v>
      </c>
      <c r="E628" s="3">
        <v>1.0</v>
      </c>
      <c r="F628" s="3">
        <v>0.0</v>
      </c>
    </row>
    <row r="629" ht="12.75" customHeight="1">
      <c r="A629" s="1">
        <v>1.0</v>
      </c>
      <c r="B629" s="2">
        <v>3802002.0</v>
      </c>
      <c r="C629" s="1" t="s">
        <v>416</v>
      </c>
      <c r="D629" s="1" t="s">
        <v>1003</v>
      </c>
      <c r="E629" s="3">
        <v>1.0</v>
      </c>
      <c r="F629" s="3">
        <v>0.0</v>
      </c>
    </row>
    <row r="630" ht="12.75" customHeight="1">
      <c r="A630" s="1">
        <v>1.0</v>
      </c>
      <c r="B630" s="2">
        <v>3802004.0</v>
      </c>
      <c r="C630" s="1" t="s">
        <v>416</v>
      </c>
      <c r="D630" s="1" t="s">
        <v>1004</v>
      </c>
      <c r="E630" s="3">
        <v>1.0</v>
      </c>
      <c r="F630" s="3">
        <v>0.0</v>
      </c>
    </row>
    <row r="631" ht="12.75" customHeight="1">
      <c r="A631" s="1">
        <v>1.0</v>
      </c>
      <c r="B631" s="2">
        <v>3802006.0</v>
      </c>
      <c r="C631" s="1" t="s">
        <v>416</v>
      </c>
      <c r="D631" s="1" t="s">
        <v>1005</v>
      </c>
      <c r="E631" s="3">
        <v>1.0</v>
      </c>
      <c r="F631" s="3">
        <v>0.0</v>
      </c>
    </row>
    <row r="632" ht="12.75" customHeight="1">
      <c r="A632" s="1">
        <v>1.0</v>
      </c>
      <c r="B632" s="2">
        <v>3802007.0</v>
      </c>
      <c r="C632" s="1" t="s">
        <v>152</v>
      </c>
      <c r="D632" s="1" t="s">
        <v>1003</v>
      </c>
      <c r="E632" s="3">
        <v>1.0</v>
      </c>
      <c r="F632" s="3">
        <v>0.0</v>
      </c>
    </row>
    <row r="633" ht="12.75" customHeight="1">
      <c r="A633" s="1">
        <v>1.0</v>
      </c>
      <c r="B633" s="2">
        <v>3802009.0</v>
      </c>
      <c r="C633" s="1" t="s">
        <v>25</v>
      </c>
      <c r="D633" s="1" t="s">
        <v>1006</v>
      </c>
      <c r="E633" s="3">
        <v>1.0</v>
      </c>
      <c r="F633" s="3">
        <v>0.0</v>
      </c>
    </row>
    <row r="634" ht="12.75" customHeight="1">
      <c r="A634" s="1">
        <v>1.0</v>
      </c>
      <c r="B634" s="2">
        <v>3802505.0</v>
      </c>
      <c r="C634" s="1" t="s">
        <v>784</v>
      </c>
      <c r="D634" s="1" t="s">
        <v>401</v>
      </c>
      <c r="E634" s="3">
        <v>1.0</v>
      </c>
      <c r="F634" s="3">
        <v>0.0</v>
      </c>
    </row>
    <row r="635" ht="12.75" customHeight="1">
      <c r="A635" s="1">
        <v>1.0</v>
      </c>
      <c r="B635" s="2">
        <v>3802519.0</v>
      </c>
      <c r="C635" s="1" t="s">
        <v>207</v>
      </c>
      <c r="D635" s="1" t="s">
        <v>783</v>
      </c>
      <c r="E635" s="3">
        <v>1.0</v>
      </c>
      <c r="F635" s="3">
        <v>0.0</v>
      </c>
    </row>
    <row r="636" ht="12.75" customHeight="1">
      <c r="A636" s="1">
        <v>1.0</v>
      </c>
      <c r="B636" s="2">
        <v>3802553.0</v>
      </c>
      <c r="C636" s="1" t="s">
        <v>101</v>
      </c>
      <c r="D636" s="1" t="s">
        <v>782</v>
      </c>
      <c r="E636" s="3">
        <v>1.0</v>
      </c>
      <c r="F636" s="3">
        <v>0.0</v>
      </c>
    </row>
    <row r="637" ht="12.75" customHeight="1">
      <c r="A637" s="1">
        <v>1.0</v>
      </c>
      <c r="B637" s="2">
        <v>3802558.0</v>
      </c>
      <c r="C637" s="1" t="s">
        <v>785</v>
      </c>
      <c r="D637" s="1" t="s">
        <v>401</v>
      </c>
      <c r="E637" s="3">
        <v>1.0</v>
      </c>
      <c r="F637" s="3">
        <v>0.0</v>
      </c>
    </row>
    <row r="638" ht="12.75" customHeight="1">
      <c r="A638" s="1">
        <v>1.0</v>
      </c>
      <c r="B638" s="2">
        <v>3802560.0</v>
      </c>
      <c r="C638" s="1" t="s">
        <v>207</v>
      </c>
      <c r="D638" s="1" t="s">
        <v>629</v>
      </c>
      <c r="E638" s="3">
        <v>1.0</v>
      </c>
      <c r="F638" s="3">
        <v>0.0</v>
      </c>
    </row>
    <row r="639" ht="12.75" customHeight="1">
      <c r="A639" s="1">
        <v>1.0</v>
      </c>
      <c r="B639" s="2">
        <v>3802663.0</v>
      </c>
      <c r="C639" s="1" t="s">
        <v>780</v>
      </c>
      <c r="D639" s="1" t="s">
        <v>781</v>
      </c>
      <c r="E639" s="3">
        <v>1.0</v>
      </c>
      <c r="F639" s="3">
        <v>0.0</v>
      </c>
    </row>
    <row r="640" ht="12.75" customHeight="1">
      <c r="A640" s="1">
        <v>1.0</v>
      </c>
      <c r="B640" s="2">
        <v>3805012.0</v>
      </c>
      <c r="C640" s="1" t="s">
        <v>101</v>
      </c>
      <c r="D640" s="1" t="s">
        <v>787</v>
      </c>
      <c r="E640" s="3">
        <v>1.0</v>
      </c>
      <c r="F640" s="3">
        <v>0.0</v>
      </c>
    </row>
    <row r="641" ht="12.75" customHeight="1">
      <c r="A641" s="1">
        <v>1.0</v>
      </c>
      <c r="B641" s="2">
        <v>3805013.0</v>
      </c>
      <c r="C641" s="1" t="s">
        <v>101</v>
      </c>
      <c r="D641" s="1" t="s">
        <v>786</v>
      </c>
      <c r="E641" s="3">
        <v>1.0</v>
      </c>
      <c r="F641" s="3">
        <v>0.0</v>
      </c>
    </row>
    <row r="642" ht="12.75" customHeight="1">
      <c r="A642" s="1">
        <v>1.0</v>
      </c>
      <c r="B642" s="2">
        <v>3805017.0</v>
      </c>
      <c r="C642" s="1" t="s">
        <v>62</v>
      </c>
      <c r="D642" s="1" t="s">
        <v>788</v>
      </c>
      <c r="E642" s="3">
        <v>1.0</v>
      </c>
      <c r="F642" s="3">
        <v>0.0</v>
      </c>
    </row>
    <row r="643" ht="12.75" customHeight="1">
      <c r="A643" s="1">
        <v>1.0</v>
      </c>
      <c r="B643" s="2">
        <v>3805022.0</v>
      </c>
      <c r="C643" s="1" t="s">
        <v>476</v>
      </c>
      <c r="D643" s="1" t="s">
        <v>163</v>
      </c>
      <c r="E643" s="3">
        <v>1.0</v>
      </c>
      <c r="F643" s="3">
        <v>0.0</v>
      </c>
    </row>
    <row r="644" ht="12.75" customHeight="1">
      <c r="A644" s="1">
        <v>1.0</v>
      </c>
      <c r="B644" s="2" t="s">
        <v>760</v>
      </c>
      <c r="C644" s="1" t="s">
        <v>761</v>
      </c>
      <c r="D644" s="1" t="s">
        <v>757</v>
      </c>
      <c r="E644" s="3">
        <v>1.0</v>
      </c>
      <c r="F644" s="3">
        <v>0.0</v>
      </c>
    </row>
    <row r="645" ht="12.75" customHeight="1">
      <c r="A645" s="1">
        <v>1.0</v>
      </c>
      <c r="B645" s="2">
        <v>4060137.0</v>
      </c>
      <c r="C645" s="1" t="s">
        <v>756</v>
      </c>
      <c r="D645" s="1" t="s">
        <v>757</v>
      </c>
      <c r="E645" s="3">
        <v>1.0</v>
      </c>
      <c r="F645" s="3">
        <v>0.0</v>
      </c>
    </row>
    <row r="646" ht="12.75" customHeight="1">
      <c r="A646" s="1">
        <v>1.0</v>
      </c>
      <c r="B646" s="2" t="s">
        <v>764</v>
      </c>
      <c r="C646" s="1" t="s">
        <v>765</v>
      </c>
      <c r="D646" s="1" t="s">
        <v>766</v>
      </c>
      <c r="E646" s="3">
        <v>1.0</v>
      </c>
      <c r="F646" s="3">
        <v>0.0</v>
      </c>
    </row>
    <row r="647" ht="12.75" customHeight="1">
      <c r="A647" s="1">
        <v>1.0</v>
      </c>
      <c r="B647" s="2" t="s">
        <v>762</v>
      </c>
      <c r="C647" s="1" t="s">
        <v>763</v>
      </c>
      <c r="D647" s="1" t="s">
        <v>757</v>
      </c>
      <c r="E647" s="3">
        <v>1.0</v>
      </c>
      <c r="F647" s="3">
        <v>0.0</v>
      </c>
    </row>
    <row r="648" ht="12.75" customHeight="1">
      <c r="A648" s="1">
        <v>1.0</v>
      </c>
      <c r="B648" s="2" t="s">
        <v>983</v>
      </c>
      <c r="C648" s="1" t="s">
        <v>984</v>
      </c>
      <c r="D648" s="1" t="s">
        <v>985</v>
      </c>
      <c r="E648" s="3">
        <v>1.0</v>
      </c>
      <c r="F648" s="3">
        <v>0.0</v>
      </c>
    </row>
    <row r="649" ht="12.75" customHeight="1">
      <c r="A649" s="1">
        <v>1.0</v>
      </c>
      <c r="B649" s="2" t="s">
        <v>986</v>
      </c>
      <c r="C649" s="1" t="s">
        <v>984</v>
      </c>
      <c r="D649" s="1" t="s">
        <v>985</v>
      </c>
      <c r="E649" s="3">
        <v>1.0</v>
      </c>
      <c r="F649" s="3">
        <v>0.0</v>
      </c>
    </row>
    <row r="650" ht="12.75" customHeight="1">
      <c r="A650" s="1">
        <v>1.0</v>
      </c>
      <c r="B650" s="2" t="s">
        <v>987</v>
      </c>
      <c r="C650" s="1" t="s">
        <v>984</v>
      </c>
      <c r="D650" s="1" t="s">
        <v>985</v>
      </c>
      <c r="E650" s="3">
        <v>1.0</v>
      </c>
      <c r="F650" s="3">
        <v>0.0</v>
      </c>
    </row>
    <row r="651" ht="12.75" customHeight="1">
      <c r="A651" s="1">
        <v>1.0</v>
      </c>
      <c r="B651" s="2" t="s">
        <v>988</v>
      </c>
      <c r="C651" s="1" t="s">
        <v>984</v>
      </c>
      <c r="D651" s="1" t="s">
        <v>985</v>
      </c>
      <c r="E651" s="3">
        <v>1.0</v>
      </c>
      <c r="F651" s="3">
        <v>0.0</v>
      </c>
    </row>
    <row r="652" ht="12.75" customHeight="1">
      <c r="A652" s="1">
        <v>1.0</v>
      </c>
      <c r="B652" s="2" t="s">
        <v>989</v>
      </c>
      <c r="C652" s="1" t="s">
        <v>984</v>
      </c>
      <c r="D652" s="1" t="s">
        <v>985</v>
      </c>
      <c r="E652" s="3">
        <v>1.0</v>
      </c>
      <c r="F652" s="3">
        <v>0.0</v>
      </c>
    </row>
    <row r="653" ht="12.75" customHeight="1">
      <c r="A653" s="1">
        <v>1.0</v>
      </c>
      <c r="B653" s="2" t="s">
        <v>1229</v>
      </c>
      <c r="C653" s="1" t="s">
        <v>757</v>
      </c>
      <c r="D653" s="1" t="s">
        <v>916</v>
      </c>
      <c r="E653" s="3">
        <v>1.0</v>
      </c>
      <c r="F653" s="3">
        <v>0.0</v>
      </c>
    </row>
    <row r="654" ht="12.75" customHeight="1">
      <c r="A654" s="1">
        <v>1.0</v>
      </c>
      <c r="B654" s="2" t="s">
        <v>1230</v>
      </c>
      <c r="C654" s="1" t="s">
        <v>757</v>
      </c>
      <c r="D654" s="1" t="s">
        <v>916</v>
      </c>
      <c r="E654" s="3">
        <v>1.0</v>
      </c>
      <c r="F654" s="3">
        <v>0.0</v>
      </c>
    </row>
    <row r="655" ht="12.75" customHeight="1">
      <c r="A655" s="1">
        <v>1.0</v>
      </c>
      <c r="B655" s="2">
        <v>4490112.0</v>
      </c>
      <c r="C655" s="1" t="s">
        <v>310</v>
      </c>
      <c r="D655" s="1" t="s">
        <v>993</v>
      </c>
      <c r="E655" s="3">
        <v>1.0</v>
      </c>
      <c r="F655" s="3">
        <v>0.0</v>
      </c>
    </row>
    <row r="656" ht="12.75" customHeight="1">
      <c r="A656" s="1">
        <v>1.0</v>
      </c>
      <c r="B656" s="2">
        <v>4590501.0</v>
      </c>
      <c r="C656" s="1" t="s">
        <v>992</v>
      </c>
      <c r="D656" s="1" t="s">
        <v>110</v>
      </c>
      <c r="E656" s="3">
        <v>1.0</v>
      </c>
      <c r="F656" s="3">
        <v>0.0</v>
      </c>
    </row>
    <row r="657" ht="12.75" customHeight="1">
      <c r="A657" s="1">
        <v>1.0</v>
      </c>
      <c r="B657" s="2">
        <v>5100101.0</v>
      </c>
      <c r="C657" s="1" t="s">
        <v>317</v>
      </c>
      <c r="D657" s="1" t="s">
        <v>1064</v>
      </c>
      <c r="E657" s="3">
        <v>1.0</v>
      </c>
      <c r="F657" s="3">
        <v>0.0</v>
      </c>
    </row>
    <row r="658" ht="12.75" customHeight="1">
      <c r="A658" s="1">
        <v>1.0</v>
      </c>
      <c r="B658" s="2">
        <v>5100108.0</v>
      </c>
      <c r="C658" s="1" t="s">
        <v>317</v>
      </c>
      <c r="D658" s="1" t="s">
        <v>316</v>
      </c>
      <c r="E658" s="3">
        <v>1.0</v>
      </c>
      <c r="F658" s="3">
        <v>0.0</v>
      </c>
    </row>
    <row r="659" ht="12.75" customHeight="1">
      <c r="A659" s="1">
        <v>1.0</v>
      </c>
      <c r="B659" s="2">
        <v>5690102.0</v>
      </c>
      <c r="C659" s="1" t="s">
        <v>1129</v>
      </c>
      <c r="D659" s="1" t="s">
        <v>1130</v>
      </c>
      <c r="E659" s="3">
        <v>1.0</v>
      </c>
      <c r="F659" s="3">
        <v>0.0</v>
      </c>
    </row>
    <row r="660" ht="12.75" customHeight="1">
      <c r="A660" s="1">
        <v>1.0</v>
      </c>
      <c r="B660" s="2">
        <v>5980102.0</v>
      </c>
      <c r="C660" s="1" t="s">
        <v>1127</v>
      </c>
      <c r="D660" s="1" t="s">
        <v>1128</v>
      </c>
      <c r="E660" s="3">
        <v>1.0</v>
      </c>
      <c r="F660" s="3">
        <v>0.0</v>
      </c>
    </row>
    <row r="661" ht="12.75" customHeight="1">
      <c r="A661" s="1">
        <v>1.0</v>
      </c>
      <c r="B661" s="2">
        <v>6551115.0</v>
      </c>
      <c r="C661" s="1" t="s">
        <v>1227</v>
      </c>
      <c r="D661" s="1" t="s">
        <v>1228</v>
      </c>
      <c r="E661" s="3">
        <v>1.0</v>
      </c>
      <c r="F661" s="3">
        <v>0.0</v>
      </c>
    </row>
    <row r="662" ht="12.75" customHeight="1">
      <c r="A662" s="1">
        <v>1.0</v>
      </c>
      <c r="B662" s="2">
        <v>6820502.0</v>
      </c>
      <c r="C662" s="1" t="s">
        <v>994</v>
      </c>
      <c r="D662" s="1" t="s">
        <v>995</v>
      </c>
      <c r="E662" s="3">
        <v>1.0</v>
      </c>
      <c r="F662" s="3">
        <v>0.0</v>
      </c>
    </row>
    <row r="663" ht="12.75" customHeight="1">
      <c r="A663" s="1">
        <v>1.0</v>
      </c>
      <c r="B663" s="2">
        <v>7310109.0</v>
      </c>
      <c r="C663" s="1" t="s">
        <v>1194</v>
      </c>
      <c r="D663" s="1" t="s">
        <v>1195</v>
      </c>
      <c r="E663" s="3">
        <v>1.0</v>
      </c>
      <c r="F663" s="3">
        <v>0.0</v>
      </c>
    </row>
    <row r="664" ht="12.75" customHeight="1">
      <c r="A664" s="1">
        <v>1.0</v>
      </c>
      <c r="B664" s="2">
        <v>7340105.0</v>
      </c>
      <c r="C664" s="1" t="s">
        <v>627</v>
      </c>
      <c r="D664" s="1" t="s">
        <v>628</v>
      </c>
      <c r="E664" s="3">
        <v>1.0</v>
      </c>
      <c r="F664" s="3">
        <v>0.0</v>
      </c>
    </row>
    <row r="665" ht="12.75" customHeight="1">
      <c r="A665" s="1">
        <v>1.0</v>
      </c>
      <c r="B665" s="2">
        <v>7900103.0</v>
      </c>
      <c r="C665" s="1" t="s">
        <v>926</v>
      </c>
      <c r="D665" s="1" t="s">
        <v>927</v>
      </c>
      <c r="E665" s="3">
        <v>1.0</v>
      </c>
      <c r="F665" s="3">
        <v>0.0</v>
      </c>
    </row>
    <row r="666" ht="12.75" customHeight="1">
      <c r="A666" s="1">
        <v>1.0</v>
      </c>
      <c r="B666" s="2">
        <v>7900105.0</v>
      </c>
      <c r="C666" s="1" t="s">
        <v>892</v>
      </c>
      <c r="D666" s="1" t="s">
        <v>912</v>
      </c>
      <c r="E666" s="3">
        <v>1.0</v>
      </c>
      <c r="F666" s="3">
        <v>0.0</v>
      </c>
    </row>
    <row r="667" ht="12.75" customHeight="1">
      <c r="A667" s="1">
        <v>1.0</v>
      </c>
      <c r="B667" s="2">
        <v>7900111.0</v>
      </c>
      <c r="C667" s="1" t="s">
        <v>892</v>
      </c>
      <c r="D667" s="1" t="s">
        <v>1196</v>
      </c>
      <c r="E667" s="3">
        <v>1.0</v>
      </c>
      <c r="F667" s="3">
        <v>0.0</v>
      </c>
    </row>
    <row r="668" ht="12.75" customHeight="1">
      <c r="A668" s="1">
        <v>1.0</v>
      </c>
      <c r="B668" s="2" t="s">
        <v>740</v>
      </c>
      <c r="C668" s="1" t="s">
        <v>741</v>
      </c>
      <c r="D668" s="1" t="s">
        <v>742</v>
      </c>
      <c r="E668" s="3">
        <v>1.0</v>
      </c>
      <c r="F668" s="3">
        <v>0.0</v>
      </c>
    </row>
    <row r="669" ht="12.75" customHeight="1">
      <c r="A669" s="1">
        <v>1.0</v>
      </c>
      <c r="B669" s="2" t="s">
        <v>709</v>
      </c>
      <c r="C669" s="1" t="s">
        <v>466</v>
      </c>
      <c r="D669" s="1" t="s">
        <v>710</v>
      </c>
      <c r="E669" s="3">
        <v>1.0</v>
      </c>
      <c r="F669" s="3">
        <v>0.0</v>
      </c>
    </row>
    <row r="670" ht="12.75" customHeight="1">
      <c r="A670" s="1">
        <v>1.0</v>
      </c>
      <c r="B670" s="2" t="s">
        <v>698</v>
      </c>
      <c r="C670" s="1" t="s">
        <v>699</v>
      </c>
      <c r="D670" s="1" t="s">
        <v>700</v>
      </c>
      <c r="E670" s="3">
        <v>1.0</v>
      </c>
      <c r="F670" s="3">
        <v>0.0</v>
      </c>
    </row>
    <row r="671" ht="12.75" customHeight="1">
      <c r="A671" s="1">
        <v>1.0</v>
      </c>
      <c r="B671" s="2" t="s">
        <v>743</v>
      </c>
      <c r="C671" s="1" t="s">
        <v>744</v>
      </c>
      <c r="D671" s="1" t="s">
        <v>745</v>
      </c>
      <c r="E671" s="3">
        <v>1.0</v>
      </c>
      <c r="F671" s="3">
        <v>0.0</v>
      </c>
    </row>
    <row r="672" ht="12.75" customHeight="1">
      <c r="A672" s="1">
        <v>1.0</v>
      </c>
      <c r="B672" s="2" t="s">
        <v>704</v>
      </c>
      <c r="C672" s="1" t="s">
        <v>466</v>
      </c>
      <c r="D672" s="1" t="s">
        <v>705</v>
      </c>
      <c r="E672" s="3">
        <v>1.0</v>
      </c>
      <c r="F672" s="3">
        <v>0.0</v>
      </c>
    </row>
    <row r="673" ht="12.75" customHeight="1">
      <c r="A673" s="1">
        <v>1.0</v>
      </c>
      <c r="B673" s="2" t="s">
        <v>711</v>
      </c>
      <c r="C673" s="1" t="s">
        <v>712</v>
      </c>
      <c r="D673" s="1" t="s">
        <v>713</v>
      </c>
      <c r="E673" s="3">
        <v>1.0</v>
      </c>
      <c r="F673" s="3">
        <v>0.0</v>
      </c>
    </row>
    <row r="674" ht="12.75" customHeight="1">
      <c r="A674" s="1">
        <v>1.0</v>
      </c>
      <c r="B674" s="2" t="s">
        <v>696</v>
      </c>
      <c r="C674" s="1" t="s">
        <v>466</v>
      </c>
      <c r="D674" s="1" t="s">
        <v>697</v>
      </c>
      <c r="E674" s="3">
        <v>1.0</v>
      </c>
      <c r="F674" s="3">
        <v>0.0</v>
      </c>
    </row>
    <row r="675" ht="12.75" customHeight="1">
      <c r="A675" s="1">
        <v>1.0</v>
      </c>
      <c r="B675" s="2" t="s">
        <v>706</v>
      </c>
      <c r="C675" s="1" t="s">
        <v>707</v>
      </c>
      <c r="D675" s="1" t="s">
        <v>708</v>
      </c>
      <c r="E675" s="3">
        <v>1.0</v>
      </c>
      <c r="F675" s="3">
        <v>0.0</v>
      </c>
    </row>
    <row r="676" ht="12.75" customHeight="1">
      <c r="A676" s="1">
        <v>1.0</v>
      </c>
      <c r="B676" s="2">
        <v>8050103.0</v>
      </c>
      <c r="C676" s="1" t="s">
        <v>6</v>
      </c>
      <c r="D676" s="1" t="s">
        <v>1264</v>
      </c>
      <c r="E676" s="3">
        <v>1.0</v>
      </c>
      <c r="F676" s="3">
        <v>0.0</v>
      </c>
    </row>
    <row r="677" ht="12.75" customHeight="1">
      <c r="A677" s="1">
        <v>1.0</v>
      </c>
      <c r="B677" s="2">
        <v>8050105.0</v>
      </c>
      <c r="C677" s="1" t="s">
        <v>6</v>
      </c>
      <c r="D677" s="1" t="s">
        <v>1266</v>
      </c>
      <c r="E677" s="3">
        <v>1.0</v>
      </c>
      <c r="F677" s="3">
        <v>0.0</v>
      </c>
    </row>
    <row r="678" ht="12.75" customHeight="1">
      <c r="A678" s="1">
        <v>1.0</v>
      </c>
      <c r="B678" s="2">
        <v>8050106.0</v>
      </c>
      <c r="C678" s="1" t="s">
        <v>6</v>
      </c>
      <c r="D678" s="1" t="s">
        <v>1267</v>
      </c>
      <c r="E678" s="3">
        <v>1.0</v>
      </c>
      <c r="F678" s="3">
        <v>0.0</v>
      </c>
    </row>
    <row r="679" ht="12.75" customHeight="1">
      <c r="A679" s="1">
        <v>1.0</v>
      </c>
      <c r="B679" s="2">
        <v>8050107.0</v>
      </c>
      <c r="C679" s="1" t="s">
        <v>6</v>
      </c>
      <c r="D679" s="1" t="s">
        <v>1265</v>
      </c>
      <c r="E679" s="3">
        <v>1.0</v>
      </c>
      <c r="F679" s="3">
        <v>0.0</v>
      </c>
    </row>
    <row r="680" ht="12.75" customHeight="1">
      <c r="A680" s="1">
        <v>1.0</v>
      </c>
      <c r="B680" s="2">
        <v>8050149.0</v>
      </c>
      <c r="C680" s="1" t="s">
        <v>6</v>
      </c>
      <c r="D680" s="1" t="s">
        <v>1268</v>
      </c>
      <c r="E680" s="3">
        <v>1.0</v>
      </c>
      <c r="F680" s="3">
        <v>0.0</v>
      </c>
    </row>
    <row r="681" ht="12.75" customHeight="1">
      <c r="A681" s="1">
        <v>1.0</v>
      </c>
      <c r="B681" s="2">
        <v>8050210.0</v>
      </c>
      <c r="C681" s="1" t="s">
        <v>6</v>
      </c>
      <c r="D681" s="1" t="s">
        <v>1269</v>
      </c>
      <c r="E681" s="3">
        <v>1.0</v>
      </c>
      <c r="F681" s="3">
        <v>0.0</v>
      </c>
    </row>
    <row r="682" ht="12.75" customHeight="1">
      <c r="A682" s="1">
        <v>1.0</v>
      </c>
      <c r="B682" s="2">
        <v>8050504.0</v>
      </c>
      <c r="C682" s="1" t="s">
        <v>6</v>
      </c>
      <c r="D682" s="1" t="s">
        <v>1270</v>
      </c>
      <c r="E682" s="3">
        <v>1.0</v>
      </c>
      <c r="F682" s="3">
        <v>0.0</v>
      </c>
    </row>
    <row r="683" ht="12.75" customHeight="1">
      <c r="A683" s="1">
        <v>1.0</v>
      </c>
      <c r="B683" s="2">
        <v>8050903.0</v>
      </c>
      <c r="C683" s="1" t="s">
        <v>1341</v>
      </c>
      <c r="D683" s="1" t="s">
        <v>201</v>
      </c>
      <c r="E683" s="3">
        <v>1.0</v>
      </c>
      <c r="F683" s="3">
        <v>0.0</v>
      </c>
    </row>
    <row r="684" ht="12.75" customHeight="1">
      <c r="A684" s="1">
        <v>1.0</v>
      </c>
      <c r="B684" s="2">
        <v>8053604.0</v>
      </c>
      <c r="C684" s="1" t="s">
        <v>6</v>
      </c>
      <c r="D684" s="1" t="s">
        <v>1263</v>
      </c>
      <c r="E684" s="3">
        <v>1.0</v>
      </c>
      <c r="F684" s="3">
        <v>0.0</v>
      </c>
    </row>
    <row r="685" ht="12.75" customHeight="1">
      <c r="A685" s="1">
        <v>1.0</v>
      </c>
      <c r="B685" s="2">
        <v>8270302.0</v>
      </c>
      <c r="C685" s="1" t="s">
        <v>580</v>
      </c>
      <c r="D685" s="1" t="s">
        <v>818</v>
      </c>
      <c r="E685" s="3">
        <v>1.0</v>
      </c>
      <c r="F685" s="3">
        <v>0.0</v>
      </c>
    </row>
    <row r="686" ht="12.75" customHeight="1">
      <c r="A686" s="1">
        <v>1.0</v>
      </c>
      <c r="B686" s="2">
        <v>8320101.0</v>
      </c>
      <c r="C686" s="1" t="s">
        <v>278</v>
      </c>
      <c r="D686" s="1" t="s">
        <v>1335</v>
      </c>
      <c r="E686" s="3">
        <v>1.0</v>
      </c>
      <c r="F686" s="3">
        <v>0.0</v>
      </c>
    </row>
    <row r="687" ht="12.75" customHeight="1">
      <c r="A687" s="1">
        <v>1.0</v>
      </c>
      <c r="B687" s="2">
        <v>8320102.0</v>
      </c>
      <c r="C687" s="1" t="s">
        <v>278</v>
      </c>
      <c r="D687" s="1" t="s">
        <v>1028</v>
      </c>
      <c r="E687" s="3">
        <v>1.0</v>
      </c>
      <c r="F687" s="3">
        <v>0.0</v>
      </c>
    </row>
    <row r="688" ht="12.75" customHeight="1">
      <c r="A688" s="1">
        <v>1.0</v>
      </c>
      <c r="B688" s="2">
        <v>8320103.0</v>
      </c>
      <c r="C688" s="1" t="s">
        <v>278</v>
      </c>
      <c r="D688" s="1" t="s">
        <v>1336</v>
      </c>
      <c r="E688" s="3">
        <v>1.0</v>
      </c>
      <c r="F688" s="3">
        <v>0.0</v>
      </c>
    </row>
    <row r="689" ht="12.75" customHeight="1">
      <c r="A689" s="1">
        <v>1.0</v>
      </c>
      <c r="B689" s="2">
        <v>8320139.0</v>
      </c>
      <c r="C689" s="1" t="s">
        <v>631</v>
      </c>
      <c r="D689" s="1" t="s">
        <v>632</v>
      </c>
      <c r="E689" s="3">
        <v>1.0</v>
      </c>
      <c r="F689" s="3">
        <v>0.0</v>
      </c>
    </row>
    <row r="690" ht="12.75" customHeight="1">
      <c r="A690" s="1">
        <v>1.0</v>
      </c>
      <c r="B690" s="2">
        <v>8320150.0</v>
      </c>
      <c r="C690" s="1" t="s">
        <v>278</v>
      </c>
      <c r="D690" s="1" t="s">
        <v>1334</v>
      </c>
      <c r="E690" s="3">
        <v>1.0</v>
      </c>
      <c r="F690" s="3">
        <v>0.0</v>
      </c>
    </row>
    <row r="691" ht="12.75" customHeight="1">
      <c r="A691" s="1">
        <v>1.0</v>
      </c>
      <c r="B691" s="2">
        <v>8320160.0</v>
      </c>
      <c r="C691" s="1" t="s">
        <v>631</v>
      </c>
      <c r="D691" s="1" t="s">
        <v>1337</v>
      </c>
      <c r="E691" s="3">
        <v>1.0</v>
      </c>
      <c r="F691" s="3">
        <v>0.0</v>
      </c>
    </row>
    <row r="692" ht="12.75" customHeight="1">
      <c r="A692" s="1">
        <v>1.0</v>
      </c>
      <c r="B692" s="2">
        <v>8320206.0</v>
      </c>
      <c r="C692" s="1" t="s">
        <v>278</v>
      </c>
      <c r="D692" s="1" t="s">
        <v>1342</v>
      </c>
      <c r="E692" s="3">
        <v>1.0</v>
      </c>
      <c r="F692" s="3">
        <v>0.0</v>
      </c>
    </row>
    <row r="693" ht="12.75" customHeight="1">
      <c r="A693" s="1">
        <v>1.0</v>
      </c>
      <c r="B693" s="2">
        <v>8320304.0</v>
      </c>
      <c r="C693" s="1" t="s">
        <v>278</v>
      </c>
      <c r="D693" s="1" t="s">
        <v>1317</v>
      </c>
      <c r="E693" s="3">
        <v>1.0</v>
      </c>
      <c r="F693" s="3">
        <v>0.0</v>
      </c>
    </row>
    <row r="694" ht="12.75" customHeight="1">
      <c r="A694" s="1">
        <v>1.0</v>
      </c>
      <c r="B694" s="2">
        <v>8321049.0</v>
      </c>
      <c r="C694" s="1" t="s">
        <v>631</v>
      </c>
      <c r="D694" s="1" t="s">
        <v>1286</v>
      </c>
      <c r="E694" s="3">
        <v>1.0</v>
      </c>
      <c r="F694" s="3">
        <v>0.0</v>
      </c>
    </row>
    <row r="695" ht="12.75" customHeight="1">
      <c r="A695" s="1">
        <v>1.0</v>
      </c>
      <c r="B695" s="2">
        <v>8321050.0</v>
      </c>
      <c r="C695" s="1" t="s">
        <v>631</v>
      </c>
      <c r="D695" s="1" t="s">
        <v>1283</v>
      </c>
      <c r="E695" s="3">
        <v>1.0</v>
      </c>
      <c r="F695" s="3">
        <v>0.0</v>
      </c>
    </row>
    <row r="696" ht="12.75" customHeight="1">
      <c r="A696" s="1">
        <v>1.0</v>
      </c>
      <c r="B696" s="2">
        <v>8321505.0</v>
      </c>
      <c r="C696" s="1" t="s">
        <v>278</v>
      </c>
      <c r="D696" s="1" t="s">
        <v>779</v>
      </c>
      <c r="E696" s="3">
        <v>1.0</v>
      </c>
      <c r="F696" s="3">
        <v>0.0</v>
      </c>
    </row>
    <row r="697" ht="12.75" customHeight="1">
      <c r="A697" s="1">
        <v>1.0</v>
      </c>
      <c r="B697" s="2">
        <v>8323004.0</v>
      </c>
      <c r="C697" s="1" t="s">
        <v>278</v>
      </c>
      <c r="D697" s="1" t="s">
        <v>912</v>
      </c>
      <c r="E697" s="3">
        <v>1.0</v>
      </c>
      <c r="F697" s="3">
        <v>0.0</v>
      </c>
    </row>
    <row r="698" ht="12.75" customHeight="1">
      <c r="A698" s="1">
        <v>1.0</v>
      </c>
      <c r="B698" s="2">
        <v>8323007.0</v>
      </c>
      <c r="C698" s="1" t="s">
        <v>278</v>
      </c>
      <c r="D698" s="1" t="s">
        <v>630</v>
      </c>
      <c r="E698" s="3">
        <v>1.0</v>
      </c>
      <c r="F698" s="3">
        <v>0.0</v>
      </c>
    </row>
    <row r="699" ht="12.75" customHeight="1">
      <c r="A699" s="1">
        <v>1.0</v>
      </c>
      <c r="B699" s="2">
        <v>8501006.0</v>
      </c>
      <c r="C699" s="1" t="s">
        <v>2427</v>
      </c>
      <c r="D699" s="1" t="s">
        <v>4604</v>
      </c>
      <c r="E699" s="3">
        <v>1.0</v>
      </c>
      <c r="F699" s="3">
        <v>0.0</v>
      </c>
    </row>
    <row r="700" ht="12.75" customHeight="1">
      <c r="A700" s="1">
        <v>1.0</v>
      </c>
      <c r="B700" s="2">
        <v>8821004.0</v>
      </c>
      <c r="C700" s="1" t="s">
        <v>173</v>
      </c>
      <c r="D700" s="1" t="s">
        <v>1321</v>
      </c>
      <c r="E700" s="3">
        <v>1.0</v>
      </c>
      <c r="F700" s="3">
        <v>0.0</v>
      </c>
    </row>
    <row r="701" ht="12.75" customHeight="1">
      <c r="A701" s="1">
        <v>1.0</v>
      </c>
      <c r="B701" s="2">
        <v>8821642.0</v>
      </c>
      <c r="C701" s="1" t="s">
        <v>173</v>
      </c>
      <c r="D701" s="1" t="s">
        <v>999</v>
      </c>
      <c r="E701" s="3">
        <v>1.0</v>
      </c>
      <c r="F701" s="3">
        <v>0.0</v>
      </c>
    </row>
    <row r="702" ht="12.75" customHeight="1">
      <c r="A702" s="1">
        <v>1.0</v>
      </c>
      <c r="B702" s="2">
        <v>8821651.0</v>
      </c>
      <c r="C702" s="1" t="s">
        <v>178</v>
      </c>
      <c r="D702" s="1" t="s">
        <v>1322</v>
      </c>
      <c r="E702" s="3">
        <v>1.0</v>
      </c>
      <c r="F702" s="3">
        <v>0.0</v>
      </c>
    </row>
    <row r="703" ht="12.75" customHeight="1">
      <c r="A703" s="1">
        <v>1.0</v>
      </c>
      <c r="B703" s="2">
        <v>8821652.0</v>
      </c>
      <c r="C703" s="1" t="s">
        <v>1326</v>
      </c>
      <c r="D703" s="1" t="s">
        <v>1327</v>
      </c>
      <c r="E703" s="3">
        <v>1.0</v>
      </c>
      <c r="F703" s="3">
        <v>0.0</v>
      </c>
    </row>
    <row r="704" ht="12.75" customHeight="1">
      <c r="A704" s="1">
        <v>1.0</v>
      </c>
      <c r="B704" s="2">
        <v>8821660.0</v>
      </c>
      <c r="C704" s="1" t="s">
        <v>178</v>
      </c>
      <c r="D704" s="1" t="s">
        <v>1330</v>
      </c>
      <c r="E704" s="3">
        <v>1.0</v>
      </c>
      <c r="F704" s="3">
        <v>0.0</v>
      </c>
    </row>
    <row r="705" ht="12.75" customHeight="1">
      <c r="A705" s="1">
        <v>1.0</v>
      </c>
      <c r="B705" s="2">
        <v>9130500.0</v>
      </c>
      <c r="C705" s="1" t="s">
        <v>885</v>
      </c>
      <c r="D705" s="1" t="s">
        <v>492</v>
      </c>
      <c r="E705" s="3">
        <v>1.0</v>
      </c>
      <c r="F705" s="3">
        <v>0.0</v>
      </c>
    </row>
    <row r="706" ht="12.75" customHeight="1">
      <c r="A706" s="1">
        <v>1.0</v>
      </c>
      <c r="B706" s="2">
        <v>9360202.0</v>
      </c>
      <c r="C706" s="1" t="s">
        <v>1164</v>
      </c>
      <c r="D706" s="1" t="s">
        <v>1165</v>
      </c>
      <c r="E706" s="3">
        <v>1.0</v>
      </c>
      <c r="F706" s="3">
        <v>0.0</v>
      </c>
    </row>
    <row r="707" ht="12.75" customHeight="1">
      <c r="A707" s="1">
        <v>1.0</v>
      </c>
      <c r="B707" s="2">
        <v>9600500.0</v>
      </c>
      <c r="C707" s="1" t="s">
        <v>1133</v>
      </c>
      <c r="D707" s="1" t="s">
        <v>1134</v>
      </c>
      <c r="E707" s="3">
        <v>1.0</v>
      </c>
      <c r="F707" s="3">
        <v>0.0</v>
      </c>
    </row>
    <row r="708" ht="12.75" customHeight="1">
      <c r="A708" s="1">
        <v>0.0</v>
      </c>
      <c r="B708" s="2">
        <v>270102.0</v>
      </c>
      <c r="C708" s="1" t="s">
        <v>4605</v>
      </c>
      <c r="D708" s="1" t="s">
        <v>4606</v>
      </c>
      <c r="E708" s="3">
        <v>1.0</v>
      </c>
      <c r="F708" s="3">
        <v>0.0</v>
      </c>
    </row>
    <row r="709" ht="12.75" customHeight="1">
      <c r="A709" s="1">
        <v>0.0</v>
      </c>
      <c r="B709" s="2">
        <v>400503.0</v>
      </c>
      <c r="C709" s="1" t="s">
        <v>4607</v>
      </c>
      <c r="D709" s="1" t="s">
        <v>3256</v>
      </c>
      <c r="E709" s="3">
        <v>1.0</v>
      </c>
      <c r="F709" s="3">
        <v>0.0</v>
      </c>
    </row>
    <row r="710" ht="12.75" customHeight="1">
      <c r="A710" s="1">
        <v>0.0</v>
      </c>
      <c r="B710" s="2">
        <v>550201.0</v>
      </c>
      <c r="C710" s="1" t="s">
        <v>4608</v>
      </c>
      <c r="D710" s="1" t="s">
        <v>4609</v>
      </c>
      <c r="E710" s="3">
        <v>1.0</v>
      </c>
      <c r="F710" s="3">
        <v>0.0</v>
      </c>
    </row>
    <row r="711" ht="12.75" customHeight="1">
      <c r="A711" s="1">
        <v>0.0</v>
      </c>
      <c r="B711" s="2" t="s">
        <v>3716</v>
      </c>
      <c r="C711" s="1" t="s">
        <v>3717</v>
      </c>
      <c r="D711" s="1" t="s">
        <v>3718</v>
      </c>
      <c r="E711" s="3">
        <v>1.0</v>
      </c>
      <c r="F711" s="3">
        <v>0.0</v>
      </c>
    </row>
    <row r="712" ht="12.75" customHeight="1">
      <c r="A712" s="1">
        <v>0.0</v>
      </c>
      <c r="B712" s="2" t="s">
        <v>3379</v>
      </c>
      <c r="C712" s="1" t="s">
        <v>3380</v>
      </c>
      <c r="D712" s="1" t="s">
        <v>33</v>
      </c>
      <c r="E712" s="3">
        <v>1.0</v>
      </c>
      <c r="F712" s="3">
        <v>0.0</v>
      </c>
    </row>
    <row r="713" ht="12.75" customHeight="1">
      <c r="A713" s="1">
        <v>0.0</v>
      </c>
      <c r="B713" s="2" t="s">
        <v>1684</v>
      </c>
      <c r="C713" s="1" t="s">
        <v>1685</v>
      </c>
      <c r="D713" s="1" t="s">
        <v>1686</v>
      </c>
      <c r="E713" s="3">
        <v>1.0</v>
      </c>
      <c r="F713" s="3">
        <v>0.0</v>
      </c>
    </row>
    <row r="714" ht="12.75" customHeight="1">
      <c r="A714" s="1">
        <v>0.0</v>
      </c>
      <c r="B714" s="2" t="s">
        <v>4610</v>
      </c>
      <c r="C714" s="1" t="s">
        <v>4611</v>
      </c>
      <c r="D714" s="1" t="s">
        <v>4612</v>
      </c>
      <c r="E714" s="3">
        <v>1.0</v>
      </c>
      <c r="F714" s="3">
        <v>0.0</v>
      </c>
    </row>
    <row r="715" ht="12.75" customHeight="1">
      <c r="A715" s="1">
        <v>0.0</v>
      </c>
      <c r="B715" s="2" t="s">
        <v>2861</v>
      </c>
      <c r="C715" s="1" t="s">
        <v>2862</v>
      </c>
      <c r="D715" s="1" t="s">
        <v>1097</v>
      </c>
      <c r="E715" s="3">
        <v>1.0</v>
      </c>
      <c r="F715" s="3">
        <v>0.0</v>
      </c>
    </row>
    <row r="716" ht="12.75" customHeight="1">
      <c r="A716" s="1">
        <v>0.0</v>
      </c>
      <c r="B716" s="2" t="s">
        <v>2469</v>
      </c>
      <c r="C716" s="1" t="s">
        <v>2470</v>
      </c>
      <c r="D716" s="1" t="s">
        <v>2471</v>
      </c>
      <c r="E716" s="3">
        <v>1.0</v>
      </c>
      <c r="F716" s="3">
        <v>0.0</v>
      </c>
    </row>
    <row r="717" ht="12.75" customHeight="1">
      <c r="A717" s="1">
        <v>0.0</v>
      </c>
      <c r="B717" s="2" t="s">
        <v>4613</v>
      </c>
      <c r="C717" s="1" t="s">
        <v>4614</v>
      </c>
      <c r="D717" s="1" t="s">
        <v>4615</v>
      </c>
      <c r="E717" s="3">
        <v>1.0</v>
      </c>
      <c r="F717" s="3">
        <v>0.0</v>
      </c>
    </row>
    <row r="718" ht="12.75" customHeight="1">
      <c r="A718" s="1">
        <v>0.0</v>
      </c>
      <c r="B718" s="2" t="s">
        <v>4616</v>
      </c>
      <c r="C718" s="1" t="s">
        <v>4617</v>
      </c>
      <c r="D718" s="1" t="s">
        <v>4618</v>
      </c>
      <c r="E718" s="3">
        <v>1.0</v>
      </c>
      <c r="F718" s="3">
        <v>0.0</v>
      </c>
    </row>
    <row r="719" ht="12.75" customHeight="1">
      <c r="A719" s="1">
        <v>0.0</v>
      </c>
      <c r="B719" s="2" t="s">
        <v>4619</v>
      </c>
      <c r="C719" s="1" t="s">
        <v>4620</v>
      </c>
      <c r="D719" s="1" t="s">
        <v>615</v>
      </c>
      <c r="E719" s="3">
        <v>1.0</v>
      </c>
      <c r="F719" s="3">
        <v>0.0</v>
      </c>
    </row>
    <row r="720" ht="12.75" customHeight="1">
      <c r="A720" s="1">
        <v>0.0</v>
      </c>
      <c r="B720" s="2" t="s">
        <v>3214</v>
      </c>
      <c r="C720" s="1" t="s">
        <v>3215</v>
      </c>
      <c r="D720" s="1" t="s">
        <v>3216</v>
      </c>
      <c r="E720" s="3">
        <v>1.0</v>
      </c>
      <c r="F720" s="3">
        <v>0.0</v>
      </c>
    </row>
    <row r="721" ht="12.75" customHeight="1">
      <c r="A721" s="1">
        <v>0.0</v>
      </c>
      <c r="B721" s="2" t="s">
        <v>2815</v>
      </c>
      <c r="C721" s="1" t="s">
        <v>997</v>
      </c>
      <c r="D721" s="1" t="s">
        <v>2816</v>
      </c>
      <c r="E721" s="3">
        <v>1.0</v>
      </c>
      <c r="F721" s="3">
        <v>0.0</v>
      </c>
    </row>
    <row r="722" ht="12.75" customHeight="1">
      <c r="A722" s="1">
        <v>0.0</v>
      </c>
      <c r="B722" s="2">
        <v>560321.0</v>
      </c>
      <c r="C722" s="1" t="s">
        <v>1752</v>
      </c>
      <c r="D722" s="1" t="s">
        <v>1753</v>
      </c>
      <c r="E722" s="3">
        <v>1.0</v>
      </c>
      <c r="F722" s="3">
        <v>0.0</v>
      </c>
    </row>
    <row r="723" ht="12.75" customHeight="1">
      <c r="A723" s="1">
        <v>0.0</v>
      </c>
      <c r="B723" s="2" t="s">
        <v>3339</v>
      </c>
      <c r="C723" s="1" t="s">
        <v>3340</v>
      </c>
      <c r="D723" s="1" t="s">
        <v>3341</v>
      </c>
      <c r="E723" s="3">
        <v>1.0</v>
      </c>
      <c r="F723" s="3">
        <v>0.0</v>
      </c>
    </row>
    <row r="724" ht="12.75" customHeight="1">
      <c r="A724" s="1">
        <v>0.0</v>
      </c>
      <c r="B724" s="2" t="s">
        <v>1675</v>
      </c>
      <c r="C724" s="1" t="s">
        <v>1676</v>
      </c>
      <c r="D724" s="1" t="s">
        <v>1677</v>
      </c>
      <c r="E724" s="3">
        <v>1.0</v>
      </c>
      <c r="F724" s="3">
        <v>0.0</v>
      </c>
    </row>
    <row r="725" ht="12.75" customHeight="1">
      <c r="A725" s="1">
        <v>0.0</v>
      </c>
      <c r="B725" s="2" t="s">
        <v>3872</v>
      </c>
      <c r="C725" s="1" t="s">
        <v>765</v>
      </c>
      <c r="D725" s="1" t="s">
        <v>3873</v>
      </c>
      <c r="E725" s="3">
        <v>1.0</v>
      </c>
      <c r="F725" s="3">
        <v>0.0</v>
      </c>
    </row>
    <row r="726" ht="12.75" customHeight="1">
      <c r="A726" s="1">
        <v>0.0</v>
      </c>
      <c r="B726" s="2">
        <v>560336.0</v>
      </c>
      <c r="C726" s="1" t="s">
        <v>3867</v>
      </c>
      <c r="D726" s="1" t="s">
        <v>3868</v>
      </c>
      <c r="E726" s="3">
        <v>1.0</v>
      </c>
      <c r="F726" s="3">
        <v>0.0</v>
      </c>
    </row>
    <row r="727" ht="12.75" customHeight="1">
      <c r="A727" s="1">
        <v>0.0</v>
      </c>
      <c r="B727" s="2">
        <v>560337.0</v>
      </c>
      <c r="C727" s="1" t="s">
        <v>3410</v>
      </c>
      <c r="D727" s="1" t="s">
        <v>3411</v>
      </c>
      <c r="E727" s="3">
        <v>1.0</v>
      </c>
      <c r="F727" s="3">
        <v>0.0</v>
      </c>
    </row>
    <row r="728" ht="12.75" customHeight="1">
      <c r="A728" s="1">
        <v>0.0</v>
      </c>
      <c r="B728" s="2">
        <v>560338.0</v>
      </c>
      <c r="C728" s="1" t="s">
        <v>916</v>
      </c>
      <c r="D728" s="1" t="s">
        <v>3848</v>
      </c>
      <c r="E728" s="3">
        <v>1.0</v>
      </c>
      <c r="F728" s="3">
        <v>0.0</v>
      </c>
    </row>
    <row r="729" ht="12.75" customHeight="1">
      <c r="A729" s="1">
        <v>0.0</v>
      </c>
      <c r="B729" s="2" t="s">
        <v>2237</v>
      </c>
      <c r="C729" s="1" t="s">
        <v>2238</v>
      </c>
      <c r="D729" s="1" t="s">
        <v>2239</v>
      </c>
      <c r="E729" s="3">
        <v>1.0</v>
      </c>
      <c r="F729" s="3">
        <v>0.0</v>
      </c>
    </row>
    <row r="730" ht="12.75" customHeight="1">
      <c r="A730" s="1">
        <v>0.0</v>
      </c>
      <c r="B730" s="2" t="s">
        <v>3392</v>
      </c>
      <c r="C730" s="1" t="s">
        <v>3393</v>
      </c>
      <c r="D730" s="1" t="s">
        <v>3394</v>
      </c>
      <c r="E730" s="3">
        <v>1.0</v>
      </c>
      <c r="F730" s="3">
        <v>0.0</v>
      </c>
    </row>
    <row r="731" ht="12.75" customHeight="1">
      <c r="A731" s="1">
        <v>0.0</v>
      </c>
      <c r="B731" s="2" t="s">
        <v>1788</v>
      </c>
      <c r="C731" s="1" t="s">
        <v>1789</v>
      </c>
      <c r="D731" s="1" t="s">
        <v>1790</v>
      </c>
      <c r="E731" s="3">
        <v>1.0</v>
      </c>
      <c r="F731" s="3">
        <v>0.0</v>
      </c>
    </row>
    <row r="732" ht="12.75" customHeight="1">
      <c r="A732" s="1">
        <v>0.0</v>
      </c>
      <c r="B732" s="2" t="s">
        <v>3404</v>
      </c>
      <c r="C732" s="1" t="s">
        <v>3405</v>
      </c>
      <c r="D732" s="1" t="s">
        <v>3406</v>
      </c>
      <c r="E732" s="3">
        <v>1.0</v>
      </c>
      <c r="F732" s="3">
        <v>0.0</v>
      </c>
    </row>
    <row r="733" ht="12.75" customHeight="1">
      <c r="A733" s="1">
        <v>0.0</v>
      </c>
      <c r="B733" s="2">
        <v>560343.0</v>
      </c>
      <c r="C733" s="1" t="s">
        <v>892</v>
      </c>
      <c r="D733" s="1" t="s">
        <v>893</v>
      </c>
      <c r="E733" s="3">
        <v>1.0</v>
      </c>
      <c r="F733" s="3">
        <v>0.0</v>
      </c>
    </row>
    <row r="734" ht="12.75" customHeight="1">
      <c r="A734" s="1">
        <v>0.0</v>
      </c>
      <c r="B734" s="2" t="s">
        <v>2521</v>
      </c>
      <c r="C734" s="1" t="s">
        <v>2522</v>
      </c>
      <c r="D734" s="1" t="s">
        <v>927</v>
      </c>
      <c r="E734" s="3">
        <v>1.0</v>
      </c>
      <c r="F734" s="3">
        <v>0.0</v>
      </c>
    </row>
    <row r="735" ht="12.75" customHeight="1">
      <c r="A735" s="1">
        <v>0.0</v>
      </c>
      <c r="B735" s="2" t="s">
        <v>2508</v>
      </c>
      <c r="C735" s="1" t="s">
        <v>916</v>
      </c>
      <c r="D735" s="1" t="s">
        <v>912</v>
      </c>
      <c r="E735" s="3">
        <v>1.0</v>
      </c>
      <c r="F735" s="3">
        <v>0.0</v>
      </c>
    </row>
    <row r="736" ht="12.75" customHeight="1">
      <c r="A736" s="1">
        <v>0.0</v>
      </c>
      <c r="B736" s="2" t="s">
        <v>3663</v>
      </c>
      <c r="C736" s="1" t="s">
        <v>3664</v>
      </c>
      <c r="D736" s="1" t="s">
        <v>3665</v>
      </c>
      <c r="E736" s="3">
        <v>1.0</v>
      </c>
      <c r="F736" s="3">
        <v>0.0</v>
      </c>
    </row>
    <row r="737" ht="12.75" customHeight="1">
      <c r="A737" s="1">
        <v>0.0</v>
      </c>
      <c r="B737" s="2" t="s">
        <v>2598</v>
      </c>
      <c r="C737" s="1" t="s">
        <v>892</v>
      </c>
      <c r="D737" s="1" t="s">
        <v>2599</v>
      </c>
      <c r="E737" s="3">
        <v>1.0</v>
      </c>
      <c r="F737" s="3">
        <v>0.0</v>
      </c>
    </row>
    <row r="738" ht="12.75" customHeight="1">
      <c r="A738" s="1">
        <v>0.0</v>
      </c>
      <c r="B738" s="2">
        <v>560351.0</v>
      </c>
      <c r="C738" s="1" t="s">
        <v>892</v>
      </c>
      <c r="D738" s="1" t="s">
        <v>912</v>
      </c>
      <c r="E738" s="3">
        <v>1.0</v>
      </c>
      <c r="F738" s="3">
        <v>0.0</v>
      </c>
    </row>
    <row r="739" ht="12.75" customHeight="1">
      <c r="A739" s="1">
        <v>0.0</v>
      </c>
      <c r="B739" s="2">
        <v>560356.0</v>
      </c>
      <c r="C739" s="1" t="s">
        <v>892</v>
      </c>
      <c r="D739" s="1" t="s">
        <v>2533</v>
      </c>
      <c r="E739" s="3">
        <v>1.0</v>
      </c>
      <c r="F739" s="3">
        <v>0.0</v>
      </c>
    </row>
    <row r="740" ht="12.75" customHeight="1">
      <c r="A740" s="1">
        <v>0.0</v>
      </c>
      <c r="B740" s="2">
        <v>560357.0</v>
      </c>
      <c r="C740" s="1" t="s">
        <v>2517</v>
      </c>
      <c r="D740" s="1" t="s">
        <v>2518</v>
      </c>
      <c r="E740" s="3">
        <v>1.0</v>
      </c>
      <c r="F740" s="3">
        <v>0.0</v>
      </c>
    </row>
    <row r="741" ht="12.75" customHeight="1">
      <c r="A741" s="1">
        <v>0.0</v>
      </c>
      <c r="B741" s="2">
        <v>560358.0</v>
      </c>
      <c r="C741" s="1" t="s">
        <v>2003</v>
      </c>
      <c r="D741" s="1" t="s">
        <v>2004</v>
      </c>
      <c r="E741" s="3">
        <v>1.0</v>
      </c>
      <c r="F741" s="3">
        <v>0.0</v>
      </c>
    </row>
    <row r="742" ht="12.75" customHeight="1">
      <c r="A742" s="1">
        <v>0.0</v>
      </c>
      <c r="B742" s="2">
        <v>560359.0</v>
      </c>
      <c r="C742" s="1" t="s">
        <v>3900</v>
      </c>
      <c r="D742" s="1" t="s">
        <v>3901</v>
      </c>
      <c r="E742" s="3">
        <v>1.0</v>
      </c>
      <c r="F742" s="3">
        <v>0.0</v>
      </c>
    </row>
    <row r="743" ht="12.75" customHeight="1">
      <c r="A743" s="1">
        <v>0.0</v>
      </c>
      <c r="B743" s="2" t="s">
        <v>2491</v>
      </c>
      <c r="C743" s="1" t="s">
        <v>892</v>
      </c>
      <c r="D743" s="1" t="s">
        <v>895</v>
      </c>
      <c r="E743" s="3">
        <v>1.0</v>
      </c>
      <c r="F743" s="3">
        <v>0.0</v>
      </c>
    </row>
    <row r="744" ht="12.75" customHeight="1">
      <c r="A744" s="1">
        <v>0.0</v>
      </c>
      <c r="B744" s="2" t="s">
        <v>2492</v>
      </c>
      <c r="C744" s="1" t="s">
        <v>892</v>
      </c>
      <c r="D744" s="1" t="s">
        <v>895</v>
      </c>
      <c r="E744" s="3">
        <v>1.0</v>
      </c>
      <c r="F744" s="3">
        <v>0.0</v>
      </c>
    </row>
    <row r="745" ht="12.75" customHeight="1">
      <c r="A745" s="1">
        <v>0.0</v>
      </c>
      <c r="B745" s="2" t="s">
        <v>2499</v>
      </c>
      <c r="C745" s="1" t="s">
        <v>892</v>
      </c>
      <c r="D745" s="1" t="s">
        <v>2500</v>
      </c>
      <c r="E745" s="3">
        <v>1.0</v>
      </c>
      <c r="F745" s="3">
        <v>0.0</v>
      </c>
    </row>
    <row r="746" ht="12.75" customHeight="1">
      <c r="A746" s="1">
        <v>0.0</v>
      </c>
      <c r="B746" s="2" t="s">
        <v>2497</v>
      </c>
      <c r="C746" s="1" t="s">
        <v>892</v>
      </c>
      <c r="D746" s="1" t="s">
        <v>2498</v>
      </c>
      <c r="E746" s="3">
        <v>1.0</v>
      </c>
      <c r="F746" s="3">
        <v>0.0</v>
      </c>
    </row>
    <row r="747" ht="12.75" customHeight="1">
      <c r="A747" s="1">
        <v>0.0</v>
      </c>
      <c r="B747" s="2" t="s">
        <v>1642</v>
      </c>
      <c r="C747" s="1" t="s">
        <v>1643</v>
      </c>
      <c r="D747" s="1">
        <v>6.0</v>
      </c>
      <c r="E747" s="3">
        <v>1.0</v>
      </c>
      <c r="F747" s="3">
        <v>0.0</v>
      </c>
    </row>
    <row r="748" ht="12.75" customHeight="1">
      <c r="A748" s="1">
        <v>0.0</v>
      </c>
      <c r="B748" s="2" t="s">
        <v>2489</v>
      </c>
      <c r="C748" s="1" t="s">
        <v>892</v>
      </c>
      <c r="D748" s="1" t="s">
        <v>496</v>
      </c>
      <c r="E748" s="3">
        <v>1.0</v>
      </c>
      <c r="F748" s="3">
        <v>0.0</v>
      </c>
    </row>
    <row r="749" ht="12.75" customHeight="1">
      <c r="A749" s="1">
        <v>0.0</v>
      </c>
      <c r="B749" s="2" t="s">
        <v>2509</v>
      </c>
      <c r="C749" s="1" t="s">
        <v>892</v>
      </c>
      <c r="D749" s="1" t="s">
        <v>912</v>
      </c>
      <c r="E749" s="3">
        <v>1.0</v>
      </c>
      <c r="F749" s="3">
        <v>0.0</v>
      </c>
    </row>
    <row r="750" ht="12.75" customHeight="1">
      <c r="A750" s="1">
        <v>0.0</v>
      </c>
      <c r="B750" s="2" t="s">
        <v>4621</v>
      </c>
      <c r="C750" s="1" t="s">
        <v>4622</v>
      </c>
      <c r="D750" s="1" t="s">
        <v>4623</v>
      </c>
      <c r="E750" s="3">
        <v>1.0</v>
      </c>
      <c r="F750" s="3">
        <v>0.0</v>
      </c>
    </row>
    <row r="751" ht="12.75" customHeight="1">
      <c r="A751" s="1">
        <v>0.0</v>
      </c>
      <c r="B751" s="2" t="s">
        <v>2510</v>
      </c>
      <c r="C751" s="1" t="s">
        <v>2511</v>
      </c>
      <c r="D751" s="1" t="s">
        <v>912</v>
      </c>
      <c r="E751" s="3">
        <v>1.0</v>
      </c>
      <c r="F751" s="3">
        <v>0.0</v>
      </c>
    </row>
    <row r="752" ht="12.75" customHeight="1">
      <c r="A752" s="1">
        <v>0.0</v>
      </c>
      <c r="B752" s="2" t="s">
        <v>3238</v>
      </c>
      <c r="C752" s="1" t="s">
        <v>3239</v>
      </c>
      <c r="D752" s="1" t="s">
        <v>3240</v>
      </c>
      <c r="E752" s="3">
        <v>1.0</v>
      </c>
      <c r="F752" s="3">
        <v>0.0</v>
      </c>
    </row>
    <row r="753" ht="12.75" customHeight="1">
      <c r="A753" s="1">
        <v>0.0</v>
      </c>
      <c r="B753" s="2">
        <v>560365.0</v>
      </c>
      <c r="C753" s="1" t="s">
        <v>3475</v>
      </c>
      <c r="D753" s="1" t="s">
        <v>3476</v>
      </c>
      <c r="E753" s="3">
        <v>1.0</v>
      </c>
      <c r="F753" s="3">
        <v>0.0</v>
      </c>
    </row>
    <row r="754" ht="12.75" customHeight="1">
      <c r="A754" s="1">
        <v>0.0</v>
      </c>
      <c r="B754" s="2" t="s">
        <v>3850</v>
      </c>
      <c r="C754" s="1" t="s">
        <v>3851</v>
      </c>
      <c r="D754" s="1" t="s">
        <v>3848</v>
      </c>
      <c r="E754" s="3">
        <v>1.0</v>
      </c>
      <c r="F754" s="3">
        <v>0.0</v>
      </c>
    </row>
    <row r="755" ht="12.75" customHeight="1">
      <c r="A755" s="1">
        <v>0.0</v>
      </c>
      <c r="B755" s="2" t="s">
        <v>2356</v>
      </c>
      <c r="C755" s="1" t="s">
        <v>2357</v>
      </c>
      <c r="D755" s="1" t="s">
        <v>2358</v>
      </c>
      <c r="E755" s="3">
        <v>1.0</v>
      </c>
      <c r="F755" s="3">
        <v>0.0</v>
      </c>
    </row>
    <row r="756" ht="12.75" customHeight="1">
      <c r="A756" s="1">
        <v>0.0</v>
      </c>
      <c r="B756" s="2">
        <v>560371.0</v>
      </c>
      <c r="C756" s="1" t="s">
        <v>4624</v>
      </c>
      <c r="D756" s="1" t="s">
        <v>4625</v>
      </c>
      <c r="E756" s="3">
        <v>1.0</v>
      </c>
      <c r="F756" s="3">
        <v>0.0</v>
      </c>
    </row>
    <row r="757" ht="12.75" customHeight="1">
      <c r="A757" s="1">
        <v>0.0</v>
      </c>
      <c r="B757" s="2" t="s">
        <v>2031</v>
      </c>
      <c r="C757" s="1" t="s">
        <v>2032</v>
      </c>
      <c r="D757" s="1" t="s">
        <v>757</v>
      </c>
      <c r="E757" s="3">
        <v>1.0</v>
      </c>
      <c r="F757" s="3">
        <v>0.0</v>
      </c>
    </row>
    <row r="758" ht="12.75" customHeight="1">
      <c r="A758" s="1">
        <v>0.0</v>
      </c>
      <c r="B758" s="2" t="s">
        <v>3492</v>
      </c>
      <c r="C758" s="1" t="s">
        <v>3493</v>
      </c>
      <c r="D758" s="1" t="s">
        <v>3494</v>
      </c>
      <c r="E758" s="3">
        <v>1.0</v>
      </c>
      <c r="F758" s="3">
        <v>0.0</v>
      </c>
    </row>
    <row r="759" ht="12.75" customHeight="1">
      <c r="A759" s="1">
        <v>0.0</v>
      </c>
      <c r="B759" s="2" t="s">
        <v>4626</v>
      </c>
      <c r="C759" s="1" t="s">
        <v>4627</v>
      </c>
      <c r="D759" s="1" t="s">
        <v>4628</v>
      </c>
      <c r="E759" s="3">
        <v>1.0</v>
      </c>
      <c r="F759" s="3">
        <v>0.0</v>
      </c>
    </row>
    <row r="760" ht="12.75" customHeight="1">
      <c r="A760" s="1">
        <v>0.0</v>
      </c>
      <c r="B760" s="2" t="s">
        <v>2397</v>
      </c>
      <c r="C760" s="1" t="s">
        <v>2398</v>
      </c>
      <c r="D760" s="1" t="s">
        <v>2399</v>
      </c>
      <c r="E760" s="3">
        <v>1.0</v>
      </c>
      <c r="F760" s="3">
        <v>0.0</v>
      </c>
    </row>
    <row r="761" ht="12.75" customHeight="1">
      <c r="A761" s="1">
        <v>0.0</v>
      </c>
      <c r="B761" s="2">
        <v>560381.0</v>
      </c>
      <c r="C761" s="1" t="s">
        <v>2495</v>
      </c>
      <c r="D761" s="1" t="s">
        <v>2496</v>
      </c>
      <c r="E761" s="3">
        <v>1.0</v>
      </c>
      <c r="F761" s="3">
        <v>0.0</v>
      </c>
    </row>
    <row r="762" ht="12.75" customHeight="1">
      <c r="A762" s="1">
        <v>0.0</v>
      </c>
      <c r="B762" s="2">
        <v>560387.0</v>
      </c>
      <c r="C762" s="1" t="s">
        <v>3971</v>
      </c>
      <c r="D762" s="1" t="s">
        <v>3972</v>
      </c>
      <c r="E762" s="3">
        <v>1.0</v>
      </c>
      <c r="F762" s="3">
        <v>0.0</v>
      </c>
    </row>
    <row r="763" ht="12.75" customHeight="1">
      <c r="A763" s="1">
        <v>0.0</v>
      </c>
      <c r="B763" s="2" t="s">
        <v>3257</v>
      </c>
      <c r="C763" s="1" t="s">
        <v>3258</v>
      </c>
      <c r="D763" s="1" t="s">
        <v>3256</v>
      </c>
      <c r="E763" s="3">
        <v>1.0</v>
      </c>
      <c r="F763" s="3">
        <v>0.0</v>
      </c>
    </row>
    <row r="764" ht="12.75" customHeight="1">
      <c r="A764" s="1">
        <v>0.0</v>
      </c>
      <c r="B764" s="2" t="s">
        <v>3556</v>
      </c>
      <c r="C764" s="1" t="s">
        <v>3557</v>
      </c>
      <c r="D764" s="1" t="s">
        <v>3558</v>
      </c>
      <c r="E764" s="3">
        <v>1.0</v>
      </c>
      <c r="F764" s="3">
        <v>0.0</v>
      </c>
    </row>
    <row r="765" ht="12.75" customHeight="1">
      <c r="A765" s="1">
        <v>0.0</v>
      </c>
      <c r="B765" s="2" t="s">
        <v>3514</v>
      </c>
      <c r="C765" s="1" t="s">
        <v>3515</v>
      </c>
      <c r="D765" s="1" t="s">
        <v>916</v>
      </c>
      <c r="E765" s="3">
        <v>1.0</v>
      </c>
      <c r="F765" s="3">
        <v>0.0</v>
      </c>
    </row>
    <row r="766" ht="12.75" customHeight="1">
      <c r="A766" s="1">
        <v>0.0</v>
      </c>
      <c r="B766" s="2" t="s">
        <v>4629</v>
      </c>
      <c r="C766" s="1" t="s">
        <v>4630</v>
      </c>
      <c r="D766" s="1" t="s">
        <v>3189</v>
      </c>
      <c r="E766" s="3">
        <v>1.0</v>
      </c>
      <c r="F766" s="3">
        <v>0.0</v>
      </c>
    </row>
    <row r="767" ht="12.75" customHeight="1">
      <c r="A767" s="1">
        <v>0.0</v>
      </c>
      <c r="B767" s="2" t="s">
        <v>2525</v>
      </c>
      <c r="C767" s="1" t="s">
        <v>2526</v>
      </c>
      <c r="D767" s="1" t="s">
        <v>2527</v>
      </c>
      <c r="E767" s="3">
        <v>1.0</v>
      </c>
      <c r="F767" s="3">
        <v>0.0</v>
      </c>
    </row>
    <row r="768" ht="12.75" customHeight="1">
      <c r="A768" s="1">
        <v>0.0</v>
      </c>
      <c r="B768" s="2" t="s">
        <v>2404</v>
      </c>
      <c r="C768" s="1" t="s">
        <v>2405</v>
      </c>
      <c r="D768" s="1" t="s">
        <v>2406</v>
      </c>
      <c r="E768" s="3">
        <v>1.0</v>
      </c>
      <c r="F768" s="3">
        <v>0.0</v>
      </c>
    </row>
    <row r="769" ht="12.75" customHeight="1">
      <c r="A769" s="1">
        <v>0.0</v>
      </c>
      <c r="B769" s="2" t="s">
        <v>2407</v>
      </c>
      <c r="C769" s="1" t="s">
        <v>2405</v>
      </c>
      <c r="D769" s="1" t="s">
        <v>2408</v>
      </c>
      <c r="E769" s="3">
        <v>1.0</v>
      </c>
      <c r="F769" s="3">
        <v>0.0</v>
      </c>
    </row>
    <row r="770" ht="12.75" customHeight="1">
      <c r="A770" s="1">
        <v>0.0</v>
      </c>
      <c r="B770" s="2" t="s">
        <v>3532</v>
      </c>
      <c r="C770" s="1" t="s">
        <v>3533</v>
      </c>
      <c r="D770" s="1" t="s">
        <v>3534</v>
      </c>
      <c r="E770" s="3">
        <v>1.0</v>
      </c>
      <c r="F770" s="3">
        <v>0.0</v>
      </c>
    </row>
    <row r="771" ht="12.75" customHeight="1">
      <c r="A771" s="1">
        <v>0.0</v>
      </c>
      <c r="B771" s="2" t="s">
        <v>3869</v>
      </c>
      <c r="C771" s="1" t="s">
        <v>1925</v>
      </c>
      <c r="D771" s="1" t="s">
        <v>3868</v>
      </c>
      <c r="E771" s="3">
        <v>1.0</v>
      </c>
      <c r="F771" s="3">
        <v>0.0</v>
      </c>
    </row>
    <row r="772" ht="12.75" customHeight="1">
      <c r="A772" s="1">
        <v>0.0</v>
      </c>
      <c r="B772" s="2" t="s">
        <v>2523</v>
      </c>
      <c r="C772" s="1" t="s">
        <v>2524</v>
      </c>
      <c r="D772" s="1" t="s">
        <v>927</v>
      </c>
      <c r="E772" s="3">
        <v>1.0</v>
      </c>
      <c r="F772" s="3">
        <v>0.0</v>
      </c>
    </row>
    <row r="773" ht="12.75" customHeight="1">
      <c r="A773" s="1">
        <v>0.0</v>
      </c>
      <c r="B773" s="2" t="s">
        <v>2070</v>
      </c>
      <c r="C773" s="1" t="s">
        <v>2071</v>
      </c>
      <c r="D773" s="1" t="s">
        <v>2072</v>
      </c>
      <c r="E773" s="3">
        <v>1.0</v>
      </c>
      <c r="F773" s="3">
        <v>0.0</v>
      </c>
    </row>
    <row r="774" ht="12.75" customHeight="1">
      <c r="A774" s="1">
        <v>0.0</v>
      </c>
      <c r="B774" s="2" t="s">
        <v>2503</v>
      </c>
      <c r="C774" s="1" t="s">
        <v>2504</v>
      </c>
      <c r="D774" s="1" t="s">
        <v>2505</v>
      </c>
      <c r="E774" s="3">
        <v>1.0</v>
      </c>
      <c r="F774" s="3">
        <v>0.0</v>
      </c>
    </row>
    <row r="775" ht="12.75" customHeight="1">
      <c r="A775" s="1">
        <v>0.0</v>
      </c>
      <c r="B775" s="2" t="s">
        <v>1650</v>
      </c>
      <c r="C775" s="1" t="s">
        <v>1651</v>
      </c>
      <c r="D775" s="1">
        <v>160.0</v>
      </c>
      <c r="E775" s="3">
        <v>1.0</v>
      </c>
      <c r="F775" s="3">
        <v>0.0</v>
      </c>
    </row>
    <row r="776" ht="12.75" customHeight="1">
      <c r="A776" s="1">
        <v>0.0</v>
      </c>
      <c r="B776" s="2" t="s">
        <v>2479</v>
      </c>
      <c r="C776" s="1" t="s">
        <v>909</v>
      </c>
      <c r="D776" s="1" t="s">
        <v>2478</v>
      </c>
      <c r="E776" s="3">
        <v>1.0</v>
      </c>
      <c r="F776" s="3">
        <v>0.0</v>
      </c>
    </row>
    <row r="777" ht="12.75" customHeight="1">
      <c r="A777" s="1">
        <v>0.0</v>
      </c>
      <c r="B777" s="2" t="s">
        <v>2486</v>
      </c>
      <c r="C777" s="1" t="s">
        <v>909</v>
      </c>
      <c r="D777" s="1" t="s">
        <v>893</v>
      </c>
      <c r="E777" s="3">
        <v>1.0</v>
      </c>
      <c r="F777" s="3">
        <v>0.0</v>
      </c>
    </row>
    <row r="778" ht="12.75" customHeight="1">
      <c r="A778" s="1">
        <v>0.0</v>
      </c>
      <c r="B778" s="2" t="s">
        <v>2530</v>
      </c>
      <c r="C778" s="1" t="s">
        <v>2531</v>
      </c>
      <c r="D778" s="1" t="s">
        <v>2532</v>
      </c>
      <c r="E778" s="3">
        <v>1.0</v>
      </c>
      <c r="F778" s="3">
        <v>0.0</v>
      </c>
    </row>
    <row r="779" ht="12.75" customHeight="1">
      <c r="A779" s="1">
        <v>0.0</v>
      </c>
      <c r="B779" s="2" t="s">
        <v>4631</v>
      </c>
      <c r="C779" s="1" t="s">
        <v>1753</v>
      </c>
      <c r="D779" s="1" t="s">
        <v>4632</v>
      </c>
      <c r="E779" s="3">
        <v>1.0</v>
      </c>
      <c r="F779" s="3">
        <v>0.0</v>
      </c>
    </row>
    <row r="780" ht="12.75" customHeight="1">
      <c r="A780" s="1">
        <v>0.0</v>
      </c>
      <c r="B780" s="2" t="s">
        <v>4633</v>
      </c>
      <c r="C780" s="1" t="s">
        <v>1753</v>
      </c>
      <c r="D780" s="1" t="s">
        <v>4634</v>
      </c>
      <c r="E780" s="3">
        <v>1.0</v>
      </c>
      <c r="F780" s="3">
        <v>0.0</v>
      </c>
    </row>
    <row r="781" ht="12.75" customHeight="1">
      <c r="A781" s="1">
        <v>0.0</v>
      </c>
      <c r="B781" s="2" t="s">
        <v>4635</v>
      </c>
      <c r="C781" s="1" t="s">
        <v>4636</v>
      </c>
      <c r="D781" s="1" t="s">
        <v>4637</v>
      </c>
      <c r="E781" s="3">
        <v>1.0</v>
      </c>
      <c r="F781" s="3">
        <v>0.0</v>
      </c>
    </row>
    <row r="782" ht="12.75" customHeight="1">
      <c r="A782" s="1">
        <v>0.0</v>
      </c>
      <c r="B782" s="2" t="s">
        <v>4638</v>
      </c>
      <c r="C782" s="1" t="s">
        <v>1753</v>
      </c>
      <c r="D782" s="1" t="s">
        <v>3225</v>
      </c>
      <c r="E782" s="3">
        <v>1.0</v>
      </c>
      <c r="F782" s="3">
        <v>0.0</v>
      </c>
    </row>
    <row r="783" ht="12.75" customHeight="1">
      <c r="A783" s="1">
        <v>0.0</v>
      </c>
      <c r="B783" s="2" t="s">
        <v>3259</v>
      </c>
      <c r="C783" s="1" t="s">
        <v>3260</v>
      </c>
      <c r="D783" s="1" t="s">
        <v>3256</v>
      </c>
      <c r="E783" s="3">
        <v>1.0</v>
      </c>
      <c r="F783" s="3">
        <v>0.0</v>
      </c>
    </row>
    <row r="784" ht="12.75" customHeight="1">
      <c r="A784" s="1">
        <v>0.0</v>
      </c>
      <c r="B784" s="2" t="s">
        <v>3777</v>
      </c>
      <c r="C784" s="1" t="s">
        <v>3778</v>
      </c>
      <c r="D784" s="1" t="s">
        <v>3779</v>
      </c>
      <c r="E784" s="3">
        <v>1.0</v>
      </c>
      <c r="F784" s="3">
        <v>0.0</v>
      </c>
    </row>
    <row r="785" ht="12.75" customHeight="1">
      <c r="A785" s="1">
        <v>0.0</v>
      </c>
      <c r="B785" s="2" t="s">
        <v>2512</v>
      </c>
      <c r="C785" s="1" t="s">
        <v>2052</v>
      </c>
      <c r="D785" s="1" t="s">
        <v>912</v>
      </c>
      <c r="E785" s="3">
        <v>1.0</v>
      </c>
      <c r="F785" s="3">
        <v>0.0</v>
      </c>
    </row>
    <row r="786" ht="12.75" customHeight="1">
      <c r="A786" s="1">
        <v>0.0</v>
      </c>
      <c r="B786" s="2" t="s">
        <v>1941</v>
      </c>
      <c r="C786" s="1" t="s">
        <v>1942</v>
      </c>
      <c r="D786" s="1" t="s">
        <v>1943</v>
      </c>
      <c r="E786" s="3">
        <v>1.0</v>
      </c>
      <c r="F786" s="3">
        <v>0.0</v>
      </c>
    </row>
    <row r="787" ht="12.75" customHeight="1">
      <c r="A787" s="1">
        <v>0.0</v>
      </c>
      <c r="B787" s="2" t="s">
        <v>4639</v>
      </c>
      <c r="C787" s="1" t="s">
        <v>4640</v>
      </c>
      <c r="D787" s="1" t="s">
        <v>4641</v>
      </c>
      <c r="E787" s="3">
        <v>1.0</v>
      </c>
      <c r="F787" s="3">
        <v>0.0</v>
      </c>
    </row>
    <row r="788" ht="12.75" customHeight="1">
      <c r="A788" s="1">
        <v>0.0</v>
      </c>
      <c r="B788" s="2" t="s">
        <v>3139</v>
      </c>
      <c r="C788" s="1" t="s">
        <v>3140</v>
      </c>
      <c r="D788" s="1" t="s">
        <v>3141</v>
      </c>
      <c r="E788" s="3">
        <v>1.0</v>
      </c>
      <c r="F788" s="3">
        <v>0.0</v>
      </c>
    </row>
    <row r="789" ht="12.75" customHeight="1">
      <c r="A789" s="1">
        <v>0.0</v>
      </c>
      <c r="B789" s="2" t="s">
        <v>4642</v>
      </c>
      <c r="C789" s="1" t="s">
        <v>4643</v>
      </c>
      <c r="D789" s="1" t="s">
        <v>4644</v>
      </c>
      <c r="E789" s="3">
        <v>1.0</v>
      </c>
      <c r="F789" s="3">
        <v>0.0</v>
      </c>
    </row>
    <row r="790" ht="12.75" customHeight="1">
      <c r="A790" s="1">
        <v>0.0</v>
      </c>
      <c r="B790" s="2" t="s">
        <v>3114</v>
      </c>
      <c r="C790" s="1" t="s">
        <v>3115</v>
      </c>
      <c r="D790" s="1" t="s">
        <v>3116</v>
      </c>
      <c r="E790" s="3">
        <v>1.0</v>
      </c>
      <c r="F790" s="3">
        <v>0.0</v>
      </c>
    </row>
    <row r="791" ht="12.75" customHeight="1">
      <c r="A791" s="1">
        <v>0.0</v>
      </c>
      <c r="B791" s="2" t="s">
        <v>2250</v>
      </c>
      <c r="C791" s="1" t="s">
        <v>2251</v>
      </c>
      <c r="D791" s="1" t="s">
        <v>2252</v>
      </c>
      <c r="E791" s="3">
        <v>1.0</v>
      </c>
      <c r="F791" s="3">
        <v>0.0</v>
      </c>
    </row>
    <row r="792" ht="12.75" customHeight="1">
      <c r="A792" s="1">
        <v>0.0</v>
      </c>
      <c r="B792" s="2" t="s">
        <v>4645</v>
      </c>
      <c r="C792" s="1" t="s">
        <v>4646</v>
      </c>
      <c r="D792" s="1">
        <v>1.0</v>
      </c>
      <c r="E792" s="3">
        <v>1.0</v>
      </c>
      <c r="F792" s="3">
        <v>0.0</v>
      </c>
    </row>
    <row r="793" ht="12.75" customHeight="1">
      <c r="A793" s="1">
        <v>0.0</v>
      </c>
      <c r="B793" s="2" t="s">
        <v>4647</v>
      </c>
      <c r="C793" s="1" t="s">
        <v>4648</v>
      </c>
      <c r="D793" s="1">
        <v>1.0</v>
      </c>
      <c r="E793" s="3">
        <v>1.0</v>
      </c>
      <c r="F793" s="3">
        <v>0.0</v>
      </c>
    </row>
    <row r="794" ht="12.75" customHeight="1">
      <c r="A794" s="1">
        <v>0.0</v>
      </c>
      <c r="B794" s="2" t="s">
        <v>4649</v>
      </c>
      <c r="C794" s="1" t="s">
        <v>4650</v>
      </c>
      <c r="D794" s="1" t="s">
        <v>4651</v>
      </c>
      <c r="E794" s="3">
        <v>1.0</v>
      </c>
      <c r="F794" s="3">
        <v>0.0</v>
      </c>
    </row>
    <row r="795" ht="12.75" customHeight="1">
      <c r="A795" s="1">
        <v>0.0</v>
      </c>
      <c r="B795" s="2" t="s">
        <v>1973</v>
      </c>
      <c r="C795" s="1" t="s">
        <v>1974</v>
      </c>
      <c r="D795" s="1" t="s">
        <v>1975</v>
      </c>
      <c r="E795" s="3">
        <v>1.0</v>
      </c>
      <c r="F795" s="3">
        <v>0.0</v>
      </c>
    </row>
    <row r="796" ht="12.75" customHeight="1">
      <c r="A796" s="1">
        <v>0.0</v>
      </c>
      <c r="B796" s="2" t="s">
        <v>4652</v>
      </c>
      <c r="C796" s="1" t="s">
        <v>4653</v>
      </c>
      <c r="D796" s="1" t="s">
        <v>4654</v>
      </c>
      <c r="E796" s="3">
        <v>1.0</v>
      </c>
      <c r="F796" s="3">
        <v>0.0</v>
      </c>
    </row>
    <row r="797" ht="12.75" customHeight="1">
      <c r="A797" s="1">
        <v>0.0</v>
      </c>
      <c r="B797" s="2" t="s">
        <v>4655</v>
      </c>
      <c r="C797" s="1" t="s">
        <v>4656</v>
      </c>
      <c r="D797" s="1" t="s">
        <v>3256</v>
      </c>
      <c r="E797" s="3">
        <v>1.0</v>
      </c>
      <c r="F797" s="3">
        <v>0.0</v>
      </c>
    </row>
    <row r="798" ht="12.75" customHeight="1">
      <c r="A798" s="1">
        <v>0.0</v>
      </c>
      <c r="B798" s="2" t="s">
        <v>2493</v>
      </c>
      <c r="C798" s="1" t="s">
        <v>2494</v>
      </c>
      <c r="D798" s="1" t="s">
        <v>895</v>
      </c>
      <c r="E798" s="3">
        <v>1.0</v>
      </c>
      <c r="F798" s="3">
        <v>0.0</v>
      </c>
    </row>
    <row r="799" ht="12.75" customHeight="1">
      <c r="A799" s="1">
        <v>0.0</v>
      </c>
      <c r="B799" s="2" t="s">
        <v>4657</v>
      </c>
      <c r="C799" s="1" t="s">
        <v>4658</v>
      </c>
      <c r="D799" s="1" t="s">
        <v>4659</v>
      </c>
      <c r="E799" s="3">
        <v>1.0</v>
      </c>
      <c r="F799" s="3">
        <v>0.0</v>
      </c>
    </row>
    <row r="800" ht="12.75" customHeight="1">
      <c r="A800" s="1">
        <v>0.0</v>
      </c>
      <c r="B800" s="2" t="s">
        <v>4660</v>
      </c>
      <c r="C800" s="1" t="s">
        <v>4661</v>
      </c>
      <c r="D800" s="1" t="s">
        <v>4662</v>
      </c>
      <c r="E800" s="3">
        <v>1.0</v>
      </c>
      <c r="F800" s="3">
        <v>0.0</v>
      </c>
    </row>
    <row r="801" ht="12.75" customHeight="1">
      <c r="A801" s="1">
        <v>0.0</v>
      </c>
      <c r="B801" s="2" t="s">
        <v>3852</v>
      </c>
      <c r="C801" s="1" t="s">
        <v>3853</v>
      </c>
      <c r="D801" s="1" t="s">
        <v>3848</v>
      </c>
      <c r="E801" s="3">
        <v>1.0</v>
      </c>
      <c r="F801" s="3">
        <v>0.0</v>
      </c>
    </row>
    <row r="802" ht="12.75" customHeight="1">
      <c r="A802" s="1">
        <v>0.0</v>
      </c>
      <c r="B802" s="2" t="s">
        <v>4663</v>
      </c>
      <c r="C802" s="1" t="s">
        <v>4664</v>
      </c>
      <c r="D802" s="1" t="s">
        <v>4665</v>
      </c>
      <c r="E802" s="3">
        <v>1.0</v>
      </c>
      <c r="F802" s="3">
        <v>0.0</v>
      </c>
    </row>
    <row r="803" ht="12.75" customHeight="1">
      <c r="A803" s="1">
        <v>0.0</v>
      </c>
      <c r="B803" s="2" t="s">
        <v>4666</v>
      </c>
      <c r="C803" s="1" t="s">
        <v>4667</v>
      </c>
      <c r="D803" s="1" t="s">
        <v>4668</v>
      </c>
      <c r="E803" s="3">
        <v>1.0</v>
      </c>
      <c r="F803" s="3">
        <v>0.0</v>
      </c>
    </row>
    <row r="804" ht="12.75" customHeight="1">
      <c r="A804" s="1">
        <v>0.0</v>
      </c>
      <c r="B804" s="2" t="s">
        <v>2637</v>
      </c>
      <c r="C804" s="1" t="s">
        <v>984</v>
      </c>
      <c r="D804" s="1" t="s">
        <v>2638</v>
      </c>
      <c r="E804" s="3">
        <v>1.0</v>
      </c>
      <c r="F804" s="3">
        <v>0.0</v>
      </c>
    </row>
    <row r="805" ht="12.75" customHeight="1">
      <c r="A805" s="1">
        <v>0.0</v>
      </c>
      <c r="B805" s="2" t="s">
        <v>2286</v>
      </c>
      <c r="C805" s="1" t="s">
        <v>2287</v>
      </c>
      <c r="D805" s="1" t="s">
        <v>839</v>
      </c>
      <c r="E805" s="3">
        <v>1.0</v>
      </c>
      <c r="F805" s="3">
        <v>0.0</v>
      </c>
    </row>
    <row r="806" ht="12.75" customHeight="1">
      <c r="A806" s="1">
        <v>0.0</v>
      </c>
      <c r="B806" s="2" t="s">
        <v>4669</v>
      </c>
      <c r="C806" s="1" t="s">
        <v>4670</v>
      </c>
      <c r="D806" s="1" t="s">
        <v>2239</v>
      </c>
      <c r="E806" s="3">
        <v>1.0</v>
      </c>
      <c r="F806" s="3">
        <v>0.0</v>
      </c>
    </row>
    <row r="807" ht="12.75" customHeight="1">
      <c r="A807" s="1">
        <v>0.0</v>
      </c>
      <c r="B807" s="2" t="s">
        <v>4671</v>
      </c>
      <c r="C807" s="1" t="s">
        <v>4672</v>
      </c>
      <c r="D807" s="1" t="s">
        <v>4673</v>
      </c>
      <c r="E807" s="3">
        <v>1.0</v>
      </c>
      <c r="F807" s="3">
        <v>0.0</v>
      </c>
    </row>
    <row r="808" ht="12.75" customHeight="1">
      <c r="A808" s="1">
        <v>0.0</v>
      </c>
      <c r="B808" s="2" t="s">
        <v>3188</v>
      </c>
      <c r="C808" s="1" t="s">
        <v>3189</v>
      </c>
      <c r="D808" s="1" t="s">
        <v>613</v>
      </c>
      <c r="E808" s="3">
        <v>1.0</v>
      </c>
      <c r="F808" s="3">
        <v>0.0</v>
      </c>
    </row>
    <row r="809" ht="12.75" customHeight="1">
      <c r="A809" s="1">
        <v>0.0</v>
      </c>
      <c r="B809" s="2" t="s">
        <v>3976</v>
      </c>
      <c r="C809" s="1" t="s">
        <v>3189</v>
      </c>
      <c r="D809" s="1" t="s">
        <v>3515</v>
      </c>
      <c r="E809" s="3">
        <v>1.0</v>
      </c>
      <c r="F809" s="3">
        <v>0.0</v>
      </c>
    </row>
    <row r="810" ht="12.75" customHeight="1">
      <c r="A810" s="1">
        <v>0.0</v>
      </c>
      <c r="B810" s="2" t="s">
        <v>1638</v>
      </c>
      <c r="C810" s="1" t="s">
        <v>1639</v>
      </c>
      <c r="D810" s="1">
        <v>1.0</v>
      </c>
      <c r="E810" s="3">
        <v>1.0</v>
      </c>
      <c r="F810" s="3">
        <v>0.0</v>
      </c>
    </row>
    <row r="811" ht="12.75" customHeight="1">
      <c r="A811" s="1">
        <v>0.0</v>
      </c>
      <c r="B811" s="2" t="s">
        <v>2153</v>
      </c>
      <c r="C811" s="1" t="s">
        <v>2154</v>
      </c>
      <c r="D811" s="1" t="s">
        <v>2154</v>
      </c>
      <c r="E811" s="3">
        <v>1.0</v>
      </c>
      <c r="F811" s="3">
        <v>0.0</v>
      </c>
    </row>
    <row r="812" ht="12.75" customHeight="1">
      <c r="A812" s="1">
        <v>0.0</v>
      </c>
      <c r="B812" s="2" t="s">
        <v>4674</v>
      </c>
      <c r="C812" s="1" t="s">
        <v>4675</v>
      </c>
      <c r="D812" s="1">
        <v>1.0</v>
      </c>
      <c r="E812" s="3">
        <v>1.0</v>
      </c>
      <c r="F812" s="3">
        <v>0.0</v>
      </c>
    </row>
    <row r="813" ht="12.75" customHeight="1">
      <c r="A813" s="1">
        <v>0.0</v>
      </c>
      <c r="B813" s="2" t="s">
        <v>2234</v>
      </c>
      <c r="C813" s="1" t="s">
        <v>2235</v>
      </c>
      <c r="D813" s="1" t="s">
        <v>2236</v>
      </c>
      <c r="E813" s="3">
        <v>1.0</v>
      </c>
      <c r="F813" s="3">
        <v>0.0</v>
      </c>
    </row>
    <row r="814" ht="12.75" customHeight="1">
      <c r="A814" s="1">
        <v>0.0</v>
      </c>
      <c r="B814" s="2" t="s">
        <v>3570</v>
      </c>
      <c r="C814" s="1" t="s">
        <v>3571</v>
      </c>
      <c r="D814" s="1" t="s">
        <v>3572</v>
      </c>
      <c r="E814" s="3">
        <v>1.0</v>
      </c>
      <c r="F814" s="3">
        <v>0.0</v>
      </c>
    </row>
    <row r="815" ht="12.75" customHeight="1">
      <c r="A815" s="1">
        <v>0.0</v>
      </c>
      <c r="B815" s="2" t="s">
        <v>2033</v>
      </c>
      <c r="C815" s="1" t="s">
        <v>2034</v>
      </c>
      <c r="D815" s="1" t="s">
        <v>757</v>
      </c>
      <c r="E815" s="3">
        <v>1.0</v>
      </c>
      <c r="F815" s="3">
        <v>0.0</v>
      </c>
    </row>
    <row r="816" ht="12.75" customHeight="1">
      <c r="A816" s="1">
        <v>0.0</v>
      </c>
      <c r="B816" s="2" t="s">
        <v>2035</v>
      </c>
      <c r="C816" s="1" t="s">
        <v>2036</v>
      </c>
      <c r="D816" s="1" t="s">
        <v>757</v>
      </c>
      <c r="E816" s="3">
        <v>1.0</v>
      </c>
      <c r="F816" s="3">
        <v>0.0</v>
      </c>
    </row>
    <row r="817" ht="12.75" customHeight="1">
      <c r="A817" s="1">
        <v>0.0</v>
      </c>
      <c r="B817" s="2" t="s">
        <v>2010</v>
      </c>
      <c r="C817" s="1" t="s">
        <v>2011</v>
      </c>
      <c r="D817" s="1" t="s">
        <v>2012</v>
      </c>
      <c r="E817" s="3">
        <v>1.0</v>
      </c>
      <c r="F817" s="3">
        <v>0.0</v>
      </c>
    </row>
    <row r="818" ht="12.75" customHeight="1">
      <c r="A818" s="1">
        <v>0.0</v>
      </c>
      <c r="B818" s="2" t="s">
        <v>4676</v>
      </c>
      <c r="C818" s="1" t="s">
        <v>4677</v>
      </c>
      <c r="D818" s="1">
        <v>2.0</v>
      </c>
      <c r="E818" s="3">
        <v>1.0</v>
      </c>
      <c r="F818" s="3">
        <v>0.0</v>
      </c>
    </row>
    <row r="819" ht="12.75" customHeight="1">
      <c r="A819" s="1">
        <v>0.0</v>
      </c>
      <c r="B819" s="2" t="s">
        <v>4064</v>
      </c>
      <c r="C819" s="1" t="s">
        <v>4065</v>
      </c>
      <c r="D819" s="1" t="s">
        <v>4066</v>
      </c>
      <c r="E819" s="3">
        <v>1.0</v>
      </c>
      <c r="F819" s="3">
        <v>0.0</v>
      </c>
    </row>
    <row r="820" ht="12.75" customHeight="1">
      <c r="A820" s="1">
        <v>0.0</v>
      </c>
      <c r="B820" s="2" t="s">
        <v>1668</v>
      </c>
      <c r="C820" s="1" t="s">
        <v>1669</v>
      </c>
      <c r="D820" s="1" t="s">
        <v>1670</v>
      </c>
      <c r="E820" s="3">
        <v>1.0</v>
      </c>
      <c r="F820" s="3">
        <v>0.0</v>
      </c>
    </row>
    <row r="821" ht="12.75" customHeight="1">
      <c r="A821" s="1">
        <v>0.0</v>
      </c>
      <c r="B821" s="2" t="s">
        <v>4678</v>
      </c>
      <c r="C821" s="1" t="s">
        <v>4679</v>
      </c>
      <c r="D821" s="1" t="s">
        <v>4680</v>
      </c>
      <c r="E821" s="3">
        <v>1.0</v>
      </c>
      <c r="F821" s="3">
        <v>0.0</v>
      </c>
    </row>
    <row r="822" ht="12.75" customHeight="1">
      <c r="A822" s="1">
        <v>0.0</v>
      </c>
      <c r="B822" s="2" t="s">
        <v>3241</v>
      </c>
      <c r="C822" s="1" t="s">
        <v>3242</v>
      </c>
      <c r="D822" s="1" t="s">
        <v>3243</v>
      </c>
      <c r="E822" s="3">
        <v>1.0</v>
      </c>
      <c r="F822" s="3">
        <v>0.0</v>
      </c>
    </row>
    <row r="823" ht="12.75" customHeight="1">
      <c r="A823" s="1">
        <v>0.0</v>
      </c>
      <c r="B823" s="2" t="s">
        <v>3223</v>
      </c>
      <c r="C823" s="1" t="s">
        <v>3224</v>
      </c>
      <c r="D823" s="1" t="s">
        <v>3225</v>
      </c>
      <c r="E823" s="3">
        <v>1.0</v>
      </c>
      <c r="F823" s="3">
        <v>0.0</v>
      </c>
    </row>
    <row r="824" ht="12.75" customHeight="1">
      <c r="A824" s="1">
        <v>0.0</v>
      </c>
      <c r="B824" s="2" t="s">
        <v>2480</v>
      </c>
      <c r="C824" s="1" t="s">
        <v>2481</v>
      </c>
      <c r="D824" s="1" t="s">
        <v>2478</v>
      </c>
      <c r="E824" s="3">
        <v>1.0</v>
      </c>
      <c r="F824" s="3">
        <v>0.0</v>
      </c>
    </row>
    <row r="825" ht="12.75" customHeight="1">
      <c r="A825" s="1">
        <v>0.0</v>
      </c>
      <c r="B825" s="2" t="s">
        <v>3860</v>
      </c>
      <c r="C825" s="1" t="s">
        <v>3861</v>
      </c>
      <c r="D825" s="1" t="s">
        <v>3862</v>
      </c>
      <c r="E825" s="3">
        <v>1.0</v>
      </c>
      <c r="F825" s="3">
        <v>0.0</v>
      </c>
    </row>
    <row r="826" ht="12.75" customHeight="1">
      <c r="A826" s="1">
        <v>0.0</v>
      </c>
      <c r="B826" s="2" t="s">
        <v>2788</v>
      </c>
      <c r="C826" s="1" t="s">
        <v>2789</v>
      </c>
      <c r="D826" s="1" t="s">
        <v>2790</v>
      </c>
      <c r="E826" s="3">
        <v>1.0</v>
      </c>
      <c r="F826" s="3">
        <v>0.0</v>
      </c>
    </row>
    <row r="827" ht="12.75" customHeight="1">
      <c r="A827" s="1">
        <v>0.0</v>
      </c>
      <c r="B827" s="2" t="s">
        <v>3931</v>
      </c>
      <c r="C827" s="1" t="s">
        <v>2789</v>
      </c>
      <c r="D827" s="1" t="s">
        <v>3932</v>
      </c>
      <c r="E827" s="3">
        <v>1.0</v>
      </c>
      <c r="F827" s="3">
        <v>0.0</v>
      </c>
    </row>
    <row r="828" ht="12.75" customHeight="1">
      <c r="A828" s="1">
        <v>0.0</v>
      </c>
      <c r="B828" s="2" t="s">
        <v>4681</v>
      </c>
      <c r="C828" s="1" t="s">
        <v>4682</v>
      </c>
      <c r="D828" s="1" t="s">
        <v>4683</v>
      </c>
      <c r="E828" s="3">
        <v>1.0</v>
      </c>
      <c r="F828" s="3">
        <v>0.0</v>
      </c>
    </row>
    <row r="829" ht="12.75" customHeight="1">
      <c r="A829" s="1">
        <v>0.0</v>
      </c>
      <c r="B829" s="2" t="s">
        <v>4684</v>
      </c>
      <c r="C829" s="1" t="s">
        <v>4685</v>
      </c>
      <c r="D829" s="1" t="s">
        <v>4686</v>
      </c>
      <c r="E829" s="3">
        <v>1.0</v>
      </c>
      <c r="F829" s="3">
        <v>0.0</v>
      </c>
    </row>
    <row r="830" ht="12.75" customHeight="1">
      <c r="A830" s="1">
        <v>0.0</v>
      </c>
      <c r="B830" s="2" t="s">
        <v>4687</v>
      </c>
      <c r="C830" s="1" t="s">
        <v>4688</v>
      </c>
      <c r="D830" s="1" t="s">
        <v>4689</v>
      </c>
      <c r="E830" s="3">
        <v>1.0</v>
      </c>
      <c r="F830" s="3">
        <v>0.0</v>
      </c>
    </row>
    <row r="831" ht="12.75" customHeight="1">
      <c r="A831" s="1">
        <v>0.0</v>
      </c>
      <c r="B831" s="2" t="s">
        <v>2367</v>
      </c>
      <c r="C831" s="1" t="s">
        <v>2368</v>
      </c>
      <c r="D831" s="1" t="s">
        <v>2369</v>
      </c>
      <c r="E831" s="3">
        <v>1.0</v>
      </c>
      <c r="F831" s="3">
        <v>0.0</v>
      </c>
    </row>
    <row r="832" ht="12.75" customHeight="1">
      <c r="A832" s="1">
        <v>0.0</v>
      </c>
      <c r="B832" s="2" t="s">
        <v>2293</v>
      </c>
      <c r="C832" s="1" t="s">
        <v>2294</v>
      </c>
      <c r="D832" s="1" t="s">
        <v>2295</v>
      </c>
      <c r="E832" s="3">
        <v>1.0</v>
      </c>
      <c r="F832" s="3">
        <v>0.0</v>
      </c>
    </row>
    <row r="833" ht="12.75" customHeight="1">
      <c r="A833" s="1">
        <v>0.0</v>
      </c>
      <c r="B833" s="2" t="s">
        <v>4690</v>
      </c>
      <c r="C833" s="1" t="s">
        <v>4691</v>
      </c>
      <c r="D833" s="1" t="s">
        <v>2828</v>
      </c>
      <c r="E833" s="3">
        <v>1.0</v>
      </c>
      <c r="F833" s="3">
        <v>0.0</v>
      </c>
    </row>
    <row r="834" ht="12.75" customHeight="1">
      <c r="A834" s="1">
        <v>0.0</v>
      </c>
      <c r="B834" s="2" t="s">
        <v>2487</v>
      </c>
      <c r="C834" s="1" t="s">
        <v>2488</v>
      </c>
      <c r="D834" s="1" t="s">
        <v>893</v>
      </c>
      <c r="E834" s="3">
        <v>1.0</v>
      </c>
      <c r="F834" s="3">
        <v>0.0</v>
      </c>
    </row>
    <row r="835" ht="12.75" customHeight="1">
      <c r="A835" s="1">
        <v>0.0</v>
      </c>
      <c r="B835" s="2" t="s">
        <v>3350</v>
      </c>
      <c r="C835" s="1" t="s">
        <v>3351</v>
      </c>
      <c r="D835" s="1" t="s">
        <v>540</v>
      </c>
      <c r="E835" s="3">
        <v>1.0</v>
      </c>
      <c r="F835" s="3">
        <v>0.0</v>
      </c>
    </row>
    <row r="836" ht="12.75" customHeight="1">
      <c r="A836" s="1">
        <v>0.0</v>
      </c>
      <c r="B836" s="2" t="s">
        <v>4692</v>
      </c>
      <c r="C836" s="1" t="s">
        <v>4693</v>
      </c>
      <c r="D836" s="1" t="s">
        <v>4694</v>
      </c>
      <c r="E836" s="3">
        <v>1.0</v>
      </c>
      <c r="F836" s="3">
        <v>0.0</v>
      </c>
    </row>
    <row r="837" ht="12.75" customHeight="1">
      <c r="A837" s="1">
        <v>0.0</v>
      </c>
      <c r="B837" s="2" t="s">
        <v>3247</v>
      </c>
      <c r="C837" s="1" t="s">
        <v>3248</v>
      </c>
      <c r="D837" s="1" t="s">
        <v>1184</v>
      </c>
      <c r="E837" s="3">
        <v>1.0</v>
      </c>
      <c r="F837" s="3">
        <v>0.0</v>
      </c>
    </row>
    <row r="838" ht="12.75" customHeight="1">
      <c r="A838" s="1">
        <v>0.0</v>
      </c>
      <c r="B838" s="2" t="s">
        <v>3767</v>
      </c>
      <c r="C838" s="1" t="s">
        <v>3768</v>
      </c>
      <c r="D838" s="1" t="s">
        <v>3769</v>
      </c>
      <c r="E838" s="3">
        <v>1.0</v>
      </c>
      <c r="F838" s="3">
        <v>0.0</v>
      </c>
    </row>
    <row r="839" ht="12.75" customHeight="1">
      <c r="A839" s="1">
        <v>0.0</v>
      </c>
      <c r="B839" s="2" t="s">
        <v>4695</v>
      </c>
      <c r="C839" s="1" t="s">
        <v>4696</v>
      </c>
      <c r="D839" s="1" t="s">
        <v>4697</v>
      </c>
      <c r="E839" s="3">
        <v>1.0</v>
      </c>
      <c r="F839" s="3">
        <v>0.0</v>
      </c>
    </row>
    <row r="840" ht="12.75" customHeight="1">
      <c r="A840" s="1">
        <v>0.0</v>
      </c>
      <c r="B840" s="2" t="s">
        <v>2647</v>
      </c>
      <c r="C840" s="1" t="s">
        <v>2648</v>
      </c>
      <c r="D840" s="1" t="s">
        <v>2649</v>
      </c>
      <c r="E840" s="3">
        <v>1.0</v>
      </c>
      <c r="F840" s="3">
        <v>0.0</v>
      </c>
    </row>
    <row r="841" ht="12.75" customHeight="1">
      <c r="A841" s="1">
        <v>0.0</v>
      </c>
      <c r="B841" s="2" t="s">
        <v>4698</v>
      </c>
      <c r="C841" s="1" t="s">
        <v>4699</v>
      </c>
      <c r="D841" s="1" t="s">
        <v>4700</v>
      </c>
      <c r="E841" s="3">
        <v>1.0</v>
      </c>
      <c r="F841" s="3">
        <v>0.0</v>
      </c>
    </row>
    <row r="842" ht="12.75" customHeight="1">
      <c r="A842" s="1">
        <v>0.0</v>
      </c>
      <c r="B842" s="2" t="s">
        <v>2140</v>
      </c>
      <c r="C842" s="1" t="s">
        <v>2141</v>
      </c>
      <c r="D842" s="1" t="s">
        <v>2139</v>
      </c>
      <c r="E842" s="3">
        <v>1.0</v>
      </c>
      <c r="F842" s="3">
        <v>0.0</v>
      </c>
    </row>
    <row r="843" ht="12.75" customHeight="1">
      <c r="A843" s="1">
        <v>0.0</v>
      </c>
      <c r="B843" s="2" t="s">
        <v>4701</v>
      </c>
      <c r="C843" s="1" t="s">
        <v>4702</v>
      </c>
      <c r="D843" s="1" t="s">
        <v>4703</v>
      </c>
      <c r="E843" s="3">
        <v>1.0</v>
      </c>
      <c r="F843" s="3">
        <v>0.0</v>
      </c>
    </row>
    <row r="844" ht="12.75" customHeight="1">
      <c r="A844" s="1">
        <v>0.0</v>
      </c>
      <c r="B844" s="2" t="s">
        <v>4704</v>
      </c>
      <c r="C844" s="1" t="s">
        <v>4705</v>
      </c>
      <c r="D844" s="1">
        <v>1.0</v>
      </c>
      <c r="E844" s="3">
        <v>1.0</v>
      </c>
      <c r="F844" s="3">
        <v>0.0</v>
      </c>
    </row>
    <row r="845" ht="12.75" customHeight="1">
      <c r="A845" s="1">
        <v>0.0</v>
      </c>
      <c r="B845" s="2" t="s">
        <v>1859</v>
      </c>
      <c r="C845" s="1" t="s">
        <v>921</v>
      </c>
      <c r="D845" s="1" t="s">
        <v>1860</v>
      </c>
      <c r="E845" s="3">
        <v>1.0</v>
      </c>
      <c r="F845" s="3">
        <v>0.0</v>
      </c>
    </row>
    <row r="846" ht="12.75" customHeight="1">
      <c r="A846" s="1">
        <v>0.0</v>
      </c>
      <c r="B846" s="2" t="s">
        <v>2758</v>
      </c>
      <c r="C846" s="1" t="s">
        <v>921</v>
      </c>
      <c r="D846" s="1" t="s">
        <v>168</v>
      </c>
      <c r="E846" s="3">
        <v>1.0</v>
      </c>
      <c r="F846" s="3">
        <v>0.0</v>
      </c>
    </row>
    <row r="847" ht="12.75" customHeight="1">
      <c r="A847" s="1">
        <v>0.0</v>
      </c>
      <c r="B847" s="2" t="s">
        <v>1808</v>
      </c>
      <c r="C847" s="1" t="s">
        <v>921</v>
      </c>
      <c r="D847" s="1" t="s">
        <v>1809</v>
      </c>
      <c r="E847" s="3">
        <v>1.0</v>
      </c>
      <c r="F847" s="3">
        <v>0.0</v>
      </c>
    </row>
    <row r="848" ht="12.75" customHeight="1">
      <c r="A848" s="1">
        <v>0.0</v>
      </c>
      <c r="B848" s="2" t="s">
        <v>2442</v>
      </c>
      <c r="C848" s="1" t="s">
        <v>921</v>
      </c>
      <c r="D848" s="1" t="s">
        <v>2443</v>
      </c>
      <c r="E848" s="3">
        <v>1.0</v>
      </c>
      <c r="F848" s="3">
        <v>0.0</v>
      </c>
    </row>
    <row r="849" ht="12.75" customHeight="1">
      <c r="A849" s="1">
        <v>0.0</v>
      </c>
      <c r="B849" s="2" t="s">
        <v>4706</v>
      </c>
      <c r="C849" s="1" t="s">
        <v>4707</v>
      </c>
      <c r="D849" s="1">
        <v>3.0</v>
      </c>
      <c r="E849" s="3">
        <v>1.0</v>
      </c>
      <c r="F849" s="3">
        <v>0.0</v>
      </c>
    </row>
    <row r="850" ht="12.75" customHeight="1">
      <c r="A850" s="1">
        <v>0.0</v>
      </c>
      <c r="B850" s="2" t="s">
        <v>4708</v>
      </c>
      <c r="C850" s="1" t="s">
        <v>4709</v>
      </c>
      <c r="D850" s="1" t="s">
        <v>4709</v>
      </c>
      <c r="E850" s="3">
        <v>1.0</v>
      </c>
      <c r="F850" s="3">
        <v>0.0</v>
      </c>
    </row>
    <row r="851" ht="12.75" customHeight="1">
      <c r="A851" s="1">
        <v>0.0</v>
      </c>
      <c r="B851" s="2" t="s">
        <v>2482</v>
      </c>
      <c r="C851" s="1" t="s">
        <v>2483</v>
      </c>
      <c r="D851" s="1" t="s">
        <v>2478</v>
      </c>
      <c r="E851" s="3">
        <v>1.0</v>
      </c>
      <c r="F851" s="3">
        <v>0.0</v>
      </c>
    </row>
    <row r="852" ht="12.75" customHeight="1">
      <c r="A852" s="1">
        <v>0.0</v>
      </c>
      <c r="B852" s="2" t="s">
        <v>2484</v>
      </c>
      <c r="C852" s="1" t="s">
        <v>2485</v>
      </c>
      <c r="D852" s="1" t="s">
        <v>2478</v>
      </c>
      <c r="E852" s="3">
        <v>1.0</v>
      </c>
      <c r="F852" s="3">
        <v>0.0</v>
      </c>
    </row>
    <row r="853" ht="12.75" customHeight="1">
      <c r="A853" s="1">
        <v>0.0</v>
      </c>
      <c r="B853" s="2" t="s">
        <v>3945</v>
      </c>
      <c r="C853" s="1" t="s">
        <v>3946</v>
      </c>
      <c r="D853" s="1" t="s">
        <v>3947</v>
      </c>
      <c r="E853" s="3">
        <v>1.0</v>
      </c>
      <c r="F853" s="3">
        <v>0.0</v>
      </c>
    </row>
    <row r="854" ht="12.75" customHeight="1">
      <c r="A854" s="1">
        <v>0.0</v>
      </c>
      <c r="B854" s="2" t="s">
        <v>2640</v>
      </c>
      <c r="C854" s="1" t="s">
        <v>2641</v>
      </c>
      <c r="D854" s="1" t="s">
        <v>2642</v>
      </c>
      <c r="E854" s="3">
        <v>1.0</v>
      </c>
      <c r="F854" s="3">
        <v>0.0</v>
      </c>
    </row>
    <row r="855" ht="12.75" customHeight="1">
      <c r="A855" s="1">
        <v>0.0</v>
      </c>
      <c r="B855" s="2" t="s">
        <v>4710</v>
      </c>
      <c r="C855" s="1" t="s">
        <v>4711</v>
      </c>
      <c r="D855" s="1" t="s">
        <v>4712</v>
      </c>
      <c r="E855" s="3">
        <v>1.0</v>
      </c>
      <c r="F855" s="3">
        <v>0.0</v>
      </c>
    </row>
    <row r="856" ht="12.75" customHeight="1">
      <c r="A856" s="1">
        <v>0.0</v>
      </c>
      <c r="B856" s="2" t="s">
        <v>2422</v>
      </c>
      <c r="C856" s="1" t="s">
        <v>2423</v>
      </c>
      <c r="D856" s="1" t="s">
        <v>2424</v>
      </c>
      <c r="E856" s="3">
        <v>1.0</v>
      </c>
      <c r="F856" s="3">
        <v>0.0</v>
      </c>
    </row>
    <row r="857" ht="12.75" customHeight="1">
      <c r="A857" s="1">
        <v>0.0</v>
      </c>
      <c r="B857" s="2" t="s">
        <v>2147</v>
      </c>
      <c r="C857" s="1" t="s">
        <v>2148</v>
      </c>
      <c r="D857" s="1" t="s">
        <v>2148</v>
      </c>
      <c r="E857" s="3">
        <v>1.0</v>
      </c>
      <c r="F857" s="3">
        <v>0.0</v>
      </c>
    </row>
    <row r="858" ht="12.75" customHeight="1">
      <c r="A858" s="1">
        <v>0.0</v>
      </c>
      <c r="B858" s="2" t="s">
        <v>4713</v>
      </c>
      <c r="C858" s="1" t="s">
        <v>2615</v>
      </c>
      <c r="D858" s="1" t="s">
        <v>4714</v>
      </c>
      <c r="E858" s="3">
        <v>1.0</v>
      </c>
      <c r="F858" s="3">
        <v>0.0</v>
      </c>
    </row>
    <row r="859" ht="12.75" customHeight="1">
      <c r="A859" s="1">
        <v>0.0</v>
      </c>
      <c r="B859" s="2" t="s">
        <v>4715</v>
      </c>
      <c r="C859" s="1" t="s">
        <v>2615</v>
      </c>
      <c r="D859" s="1" t="s">
        <v>4716</v>
      </c>
      <c r="E859" s="3">
        <v>1.0</v>
      </c>
      <c r="F859" s="3">
        <v>0.0</v>
      </c>
    </row>
    <row r="860" ht="12.75" customHeight="1">
      <c r="A860" s="1">
        <v>0.0</v>
      </c>
      <c r="B860" s="2" t="s">
        <v>4717</v>
      </c>
      <c r="C860" s="1" t="s">
        <v>4718</v>
      </c>
      <c r="D860" s="1" t="s">
        <v>4719</v>
      </c>
      <c r="E860" s="3">
        <v>1.0</v>
      </c>
      <c r="F860" s="3">
        <v>0.0</v>
      </c>
    </row>
    <row r="861" ht="12.75" customHeight="1">
      <c r="A861" s="1">
        <v>0.0</v>
      </c>
      <c r="B861" s="2" t="s">
        <v>2078</v>
      </c>
      <c r="C861" s="1" t="s">
        <v>2079</v>
      </c>
      <c r="D861" s="1" t="s">
        <v>2080</v>
      </c>
      <c r="E861" s="3">
        <v>1.0</v>
      </c>
      <c r="F861" s="3">
        <v>0.0</v>
      </c>
    </row>
    <row r="862" ht="12.75" customHeight="1">
      <c r="A862" s="1">
        <v>0.0</v>
      </c>
      <c r="B862" s="2" t="s">
        <v>3407</v>
      </c>
      <c r="C862" s="1" t="s">
        <v>1801</v>
      </c>
      <c r="D862" s="1" t="s">
        <v>3408</v>
      </c>
      <c r="E862" s="3">
        <v>1.0</v>
      </c>
      <c r="F862" s="3">
        <v>0.0</v>
      </c>
    </row>
    <row r="863" ht="12.75" customHeight="1">
      <c r="A863" s="1">
        <v>0.0</v>
      </c>
      <c r="B863" s="2" t="s">
        <v>4720</v>
      </c>
      <c r="C863" s="1" t="s">
        <v>4721</v>
      </c>
      <c r="D863" s="1">
        <v>1.0</v>
      </c>
      <c r="E863" s="3">
        <v>1.0</v>
      </c>
      <c r="F863" s="3">
        <v>0.0</v>
      </c>
    </row>
    <row r="864" ht="12.75" customHeight="1">
      <c r="A864" s="1">
        <v>0.0</v>
      </c>
      <c r="B864" s="2" t="s">
        <v>2715</v>
      </c>
      <c r="C864" s="1" t="s">
        <v>2716</v>
      </c>
      <c r="D864" s="1" t="s">
        <v>2717</v>
      </c>
      <c r="E864" s="3">
        <v>1.0</v>
      </c>
      <c r="F864" s="3">
        <v>0.0</v>
      </c>
    </row>
    <row r="865" ht="12.75" customHeight="1">
      <c r="A865" s="1">
        <v>0.0</v>
      </c>
      <c r="B865" s="2" t="s">
        <v>3870</v>
      </c>
      <c r="C865" s="1" t="s">
        <v>3871</v>
      </c>
      <c r="D865" s="1" t="s">
        <v>3868</v>
      </c>
      <c r="E865" s="3">
        <v>1.0</v>
      </c>
      <c r="F865" s="3">
        <v>0.0</v>
      </c>
    </row>
    <row r="866" ht="12.75" customHeight="1">
      <c r="A866" s="1">
        <v>0.0</v>
      </c>
      <c r="B866" s="2" t="s">
        <v>1704</v>
      </c>
      <c r="C866" s="1" t="s">
        <v>1705</v>
      </c>
      <c r="D866" s="1" t="s">
        <v>1706</v>
      </c>
      <c r="E866" s="3">
        <v>1.0</v>
      </c>
      <c r="F866" s="3">
        <v>0.0</v>
      </c>
    </row>
    <row r="867" ht="12.75" customHeight="1">
      <c r="A867" s="1">
        <v>0.0</v>
      </c>
      <c r="B867" s="2" t="s">
        <v>2690</v>
      </c>
      <c r="C867" s="1" t="s">
        <v>1018</v>
      </c>
      <c r="D867" s="1" t="s">
        <v>2691</v>
      </c>
      <c r="E867" s="3">
        <v>1.0</v>
      </c>
      <c r="F867" s="3">
        <v>0.0</v>
      </c>
    </row>
    <row r="868" ht="12.75" customHeight="1">
      <c r="A868" s="1">
        <v>0.0</v>
      </c>
      <c r="B868" s="2" t="s">
        <v>2695</v>
      </c>
      <c r="C868" s="1" t="s">
        <v>2696</v>
      </c>
      <c r="D868" s="1" t="s">
        <v>2697</v>
      </c>
      <c r="E868" s="3">
        <v>1.0</v>
      </c>
      <c r="F868" s="3">
        <v>0.0</v>
      </c>
    </row>
    <row r="869" ht="12.75" customHeight="1">
      <c r="A869" s="1">
        <v>0.0</v>
      </c>
      <c r="B869" s="2" t="s">
        <v>2240</v>
      </c>
      <c r="C869" s="1" t="s">
        <v>2241</v>
      </c>
      <c r="D869" s="1" t="s">
        <v>2242</v>
      </c>
      <c r="E869" s="3">
        <v>1.0</v>
      </c>
      <c r="F869" s="3">
        <v>0.0</v>
      </c>
    </row>
    <row r="870" ht="12.75" customHeight="1">
      <c r="A870" s="1">
        <v>0.0</v>
      </c>
      <c r="B870" s="2" t="s">
        <v>2472</v>
      </c>
      <c r="C870" s="1" t="s">
        <v>2473</v>
      </c>
      <c r="D870" s="1" t="s">
        <v>2474</v>
      </c>
      <c r="E870" s="3">
        <v>1.0</v>
      </c>
      <c r="F870" s="3">
        <v>0.0</v>
      </c>
    </row>
    <row r="871" ht="12.75" customHeight="1">
      <c r="A871" s="1">
        <v>0.0</v>
      </c>
      <c r="B871" s="2" t="s">
        <v>2718</v>
      </c>
      <c r="C871" s="1" t="s">
        <v>2719</v>
      </c>
      <c r="D871" s="1" t="s">
        <v>2720</v>
      </c>
      <c r="E871" s="3">
        <v>1.0</v>
      </c>
      <c r="F871" s="3">
        <v>0.0</v>
      </c>
    </row>
    <row r="872" ht="12.75" customHeight="1">
      <c r="A872" s="1">
        <v>0.0</v>
      </c>
      <c r="B872" s="2" t="s">
        <v>2772</v>
      </c>
      <c r="C872" s="1" t="s">
        <v>2773</v>
      </c>
      <c r="D872" s="1" t="s">
        <v>318</v>
      </c>
      <c r="E872" s="3">
        <v>1.0</v>
      </c>
      <c r="F872" s="3">
        <v>0.0</v>
      </c>
    </row>
    <row r="873" ht="12.75" customHeight="1">
      <c r="A873" s="1">
        <v>0.0</v>
      </c>
      <c r="B873" s="2" t="s">
        <v>2761</v>
      </c>
      <c r="C873" s="1" t="s">
        <v>2762</v>
      </c>
      <c r="D873" s="1" t="s">
        <v>2763</v>
      </c>
      <c r="E873" s="3">
        <v>1.0</v>
      </c>
      <c r="F873" s="3">
        <v>0.0</v>
      </c>
    </row>
    <row r="874" ht="12.75" customHeight="1">
      <c r="A874" s="1">
        <v>0.0</v>
      </c>
      <c r="B874" s="2" t="s">
        <v>1877</v>
      </c>
      <c r="C874" s="1" t="s">
        <v>1878</v>
      </c>
      <c r="D874" s="1" t="s">
        <v>1879</v>
      </c>
      <c r="E874" s="3">
        <v>1.0</v>
      </c>
      <c r="F874" s="3">
        <v>0.0</v>
      </c>
    </row>
    <row r="875" ht="12.75" customHeight="1">
      <c r="A875" s="1">
        <v>0.0</v>
      </c>
      <c r="B875" s="2" t="s">
        <v>2262</v>
      </c>
      <c r="C875" s="1" t="s">
        <v>2263</v>
      </c>
      <c r="D875" s="1" t="s">
        <v>2264</v>
      </c>
      <c r="E875" s="3">
        <v>1.0</v>
      </c>
      <c r="F875" s="3">
        <v>0.0</v>
      </c>
    </row>
    <row r="876" ht="12.75" customHeight="1">
      <c r="A876" s="1">
        <v>0.0</v>
      </c>
      <c r="B876" s="2" t="s">
        <v>2794</v>
      </c>
      <c r="C876" s="1" t="s">
        <v>2795</v>
      </c>
      <c r="D876" s="1" t="s">
        <v>2796</v>
      </c>
      <c r="E876" s="3">
        <v>1.0</v>
      </c>
      <c r="F876" s="3">
        <v>0.0</v>
      </c>
    </row>
    <row r="877" ht="12.75" customHeight="1">
      <c r="A877" s="1">
        <v>0.0</v>
      </c>
      <c r="B877" s="2" t="s">
        <v>2155</v>
      </c>
      <c r="C877" s="1" t="s">
        <v>2156</v>
      </c>
      <c r="D877" s="1" t="s">
        <v>2157</v>
      </c>
      <c r="E877" s="3">
        <v>1.0</v>
      </c>
      <c r="F877" s="3">
        <v>0.0</v>
      </c>
    </row>
    <row r="878" ht="12.75" customHeight="1">
      <c r="A878" s="1">
        <v>0.0</v>
      </c>
      <c r="B878" s="2" t="s">
        <v>3228</v>
      </c>
      <c r="C878" s="1" t="s">
        <v>2855</v>
      </c>
      <c r="D878" s="1" t="s">
        <v>3229</v>
      </c>
      <c r="E878" s="3">
        <v>1.0</v>
      </c>
      <c r="F878" s="3">
        <v>0.0</v>
      </c>
    </row>
    <row r="879" ht="12.75" customHeight="1">
      <c r="A879" s="1">
        <v>0.0</v>
      </c>
      <c r="B879" s="2" t="s">
        <v>4046</v>
      </c>
      <c r="C879" s="1" t="s">
        <v>2855</v>
      </c>
      <c r="D879" s="1" t="s">
        <v>4047</v>
      </c>
      <c r="E879" s="3">
        <v>1.0</v>
      </c>
      <c r="F879" s="3">
        <v>0.0</v>
      </c>
    </row>
    <row r="880" ht="12.75" customHeight="1">
      <c r="A880" s="1">
        <v>0.0</v>
      </c>
      <c r="B880" s="2" t="s">
        <v>2797</v>
      </c>
      <c r="C880" s="1" t="s">
        <v>923</v>
      </c>
      <c r="D880" s="1" t="s">
        <v>2796</v>
      </c>
      <c r="E880" s="3">
        <v>1.0</v>
      </c>
      <c r="F880" s="3">
        <v>0.0</v>
      </c>
    </row>
    <row r="881" ht="12.75" customHeight="1">
      <c r="A881" s="1">
        <v>0.0</v>
      </c>
      <c r="B881" s="2" t="s">
        <v>3137</v>
      </c>
      <c r="C881" s="1" t="s">
        <v>3132</v>
      </c>
      <c r="D881" s="1" t="s">
        <v>3138</v>
      </c>
      <c r="E881" s="3">
        <v>1.0</v>
      </c>
      <c r="F881" s="3">
        <v>0.0</v>
      </c>
    </row>
    <row r="882" ht="12.75" customHeight="1">
      <c r="A882" s="1">
        <v>0.0</v>
      </c>
      <c r="B882" s="2" t="s">
        <v>2142</v>
      </c>
      <c r="C882" s="1" t="s">
        <v>2143</v>
      </c>
      <c r="D882" s="1" t="s">
        <v>2139</v>
      </c>
      <c r="E882" s="3">
        <v>1.0</v>
      </c>
      <c r="F882" s="3">
        <v>0.0</v>
      </c>
    </row>
    <row r="883" ht="12.75" customHeight="1">
      <c r="A883" s="1">
        <v>0.0</v>
      </c>
      <c r="B883" s="2" t="s">
        <v>2800</v>
      </c>
      <c r="C883" s="1" t="s">
        <v>2801</v>
      </c>
      <c r="D883" s="1" t="s">
        <v>2802</v>
      </c>
      <c r="E883" s="3">
        <v>1.0</v>
      </c>
      <c r="F883" s="3">
        <v>0.0</v>
      </c>
    </row>
    <row r="884" ht="12.75" customHeight="1">
      <c r="A884" s="1">
        <v>0.0</v>
      </c>
      <c r="B884" s="2" t="s">
        <v>2803</v>
      </c>
      <c r="C884" s="1" t="s">
        <v>2804</v>
      </c>
      <c r="D884" s="1" t="s">
        <v>2805</v>
      </c>
      <c r="E884" s="3">
        <v>1.0</v>
      </c>
      <c r="F884" s="3">
        <v>0.0</v>
      </c>
    </row>
    <row r="885" ht="12.75" customHeight="1">
      <c r="A885" s="1">
        <v>0.0</v>
      </c>
      <c r="B885" s="2" t="s">
        <v>3200</v>
      </c>
      <c r="C885" s="1" t="s">
        <v>3201</v>
      </c>
      <c r="D885" s="1" t="s">
        <v>3202</v>
      </c>
      <c r="E885" s="3">
        <v>1.0</v>
      </c>
      <c r="F885" s="3">
        <v>0.0</v>
      </c>
    </row>
    <row r="886" ht="12.75" customHeight="1">
      <c r="A886" s="1">
        <v>0.0</v>
      </c>
      <c r="B886" s="2" t="s">
        <v>2513</v>
      </c>
      <c r="C886" s="1" t="s">
        <v>2514</v>
      </c>
      <c r="D886" s="1" t="s">
        <v>912</v>
      </c>
      <c r="E886" s="3">
        <v>1.0</v>
      </c>
      <c r="F886" s="3">
        <v>0.0</v>
      </c>
    </row>
    <row r="887" ht="12.75" customHeight="1">
      <c r="A887" s="1">
        <v>0.0</v>
      </c>
      <c r="B887" s="2" t="s">
        <v>2686</v>
      </c>
      <c r="C887" s="1" t="s">
        <v>2687</v>
      </c>
      <c r="D887" s="1" t="s">
        <v>2688</v>
      </c>
      <c r="E887" s="3">
        <v>1.0</v>
      </c>
      <c r="F887" s="3">
        <v>0.0</v>
      </c>
    </row>
    <row r="888" ht="12.75" customHeight="1">
      <c r="A888" s="1">
        <v>0.0</v>
      </c>
      <c r="B888" s="2" t="s">
        <v>3854</v>
      </c>
      <c r="C888" s="1" t="s">
        <v>820</v>
      </c>
      <c r="D888" s="1" t="s">
        <v>3848</v>
      </c>
      <c r="E888" s="3">
        <v>1.0</v>
      </c>
      <c r="F888" s="3">
        <v>0.0</v>
      </c>
    </row>
    <row r="889" ht="12.75" customHeight="1">
      <c r="A889" s="1">
        <v>0.0</v>
      </c>
      <c r="B889" s="2" t="s">
        <v>3342</v>
      </c>
      <c r="C889" s="1" t="s">
        <v>3343</v>
      </c>
      <c r="D889" s="1" t="s">
        <v>3344</v>
      </c>
      <c r="E889" s="3">
        <v>1.0</v>
      </c>
      <c r="F889" s="3">
        <v>0.0</v>
      </c>
    </row>
    <row r="890" ht="12.75" customHeight="1">
      <c r="A890" s="1">
        <v>0.0</v>
      </c>
      <c r="B890" s="2" t="s">
        <v>3131</v>
      </c>
      <c r="C890" s="1" t="s">
        <v>3132</v>
      </c>
      <c r="D890" s="1" t="s">
        <v>3133</v>
      </c>
      <c r="E890" s="3">
        <v>1.0</v>
      </c>
      <c r="F890" s="3">
        <v>0.0</v>
      </c>
    </row>
    <row r="891" ht="12.75" customHeight="1">
      <c r="A891" s="1">
        <v>0.0</v>
      </c>
      <c r="B891" s="2" t="s">
        <v>3142</v>
      </c>
      <c r="C891" s="1" t="s">
        <v>3132</v>
      </c>
      <c r="D891" s="1" t="s">
        <v>3143</v>
      </c>
      <c r="E891" s="3">
        <v>1.0</v>
      </c>
      <c r="F891" s="3">
        <v>0.0</v>
      </c>
    </row>
    <row r="892" ht="12.75" customHeight="1">
      <c r="A892" s="1">
        <v>0.0</v>
      </c>
      <c r="B892" s="2" t="s">
        <v>3516</v>
      </c>
      <c r="C892" s="1" t="s">
        <v>3132</v>
      </c>
      <c r="D892" s="1" t="s">
        <v>916</v>
      </c>
      <c r="E892" s="3">
        <v>1.0</v>
      </c>
      <c r="F892" s="3">
        <v>0.0</v>
      </c>
    </row>
    <row r="893" ht="12.75" customHeight="1">
      <c r="A893" s="1">
        <v>0.0</v>
      </c>
      <c r="B893" s="2" t="s">
        <v>1640</v>
      </c>
      <c r="C893" s="1" t="s">
        <v>1641</v>
      </c>
      <c r="D893" s="1">
        <v>1.0</v>
      </c>
      <c r="E893" s="3">
        <v>1.0</v>
      </c>
      <c r="F893" s="3">
        <v>0.0</v>
      </c>
    </row>
    <row r="894" ht="12.75" customHeight="1">
      <c r="A894" s="1">
        <v>0.0</v>
      </c>
      <c r="B894" s="2" t="s">
        <v>3761</v>
      </c>
      <c r="C894" s="1" t="s">
        <v>3762</v>
      </c>
      <c r="D894" s="1" t="s">
        <v>3763</v>
      </c>
      <c r="E894" s="3">
        <v>1.0</v>
      </c>
      <c r="F894" s="3">
        <v>0.0</v>
      </c>
    </row>
    <row r="895" ht="12.75" customHeight="1">
      <c r="A895" s="1">
        <v>0.0</v>
      </c>
      <c r="B895" s="2" t="s">
        <v>3144</v>
      </c>
      <c r="C895" s="1" t="s">
        <v>3145</v>
      </c>
      <c r="D895" s="1" t="s">
        <v>3146</v>
      </c>
      <c r="E895" s="3">
        <v>1.0</v>
      </c>
      <c r="F895" s="3">
        <v>0.0</v>
      </c>
    </row>
    <row r="896" ht="12.75" customHeight="1">
      <c r="A896" s="1">
        <v>0.0</v>
      </c>
      <c r="B896" s="2" t="s">
        <v>4722</v>
      </c>
      <c r="C896" s="1" t="s">
        <v>4723</v>
      </c>
      <c r="D896" s="1" t="s">
        <v>4724</v>
      </c>
      <c r="E896" s="3">
        <v>1.0</v>
      </c>
      <c r="F896" s="3">
        <v>0.0</v>
      </c>
    </row>
    <row r="897" ht="12.75" customHeight="1">
      <c r="A897" s="1">
        <v>0.0</v>
      </c>
      <c r="B897" s="2" t="s">
        <v>3713</v>
      </c>
      <c r="C897" s="1" t="s">
        <v>3714</v>
      </c>
      <c r="D897" s="1" t="s">
        <v>1282</v>
      </c>
      <c r="E897" s="3">
        <v>1.0</v>
      </c>
      <c r="F897" s="3">
        <v>0.0</v>
      </c>
    </row>
    <row r="898" ht="12.75" customHeight="1">
      <c r="A898" s="1">
        <v>0.0</v>
      </c>
      <c r="B898" s="2" t="s">
        <v>2037</v>
      </c>
      <c r="C898" s="1" t="s">
        <v>2038</v>
      </c>
      <c r="D898" s="1" t="s">
        <v>757</v>
      </c>
      <c r="E898" s="3">
        <v>1.0</v>
      </c>
      <c r="F898" s="3">
        <v>0.0</v>
      </c>
    </row>
    <row r="899" ht="12.75" customHeight="1">
      <c r="A899" s="1">
        <v>0.0</v>
      </c>
      <c r="B899" s="2" t="s">
        <v>3449</v>
      </c>
      <c r="C899" s="1" t="s">
        <v>3450</v>
      </c>
      <c r="D899" s="1" t="s">
        <v>3451</v>
      </c>
      <c r="E899" s="3">
        <v>1.0</v>
      </c>
      <c r="F899" s="3">
        <v>0.0</v>
      </c>
    </row>
    <row r="900" ht="12.75" customHeight="1">
      <c r="A900" s="1">
        <v>0.0</v>
      </c>
      <c r="B900" s="2" t="s">
        <v>3882</v>
      </c>
      <c r="C900" s="1" t="s">
        <v>3883</v>
      </c>
      <c r="D900" s="1" t="s">
        <v>3884</v>
      </c>
      <c r="E900" s="3">
        <v>1.0</v>
      </c>
      <c r="F900" s="3">
        <v>0.0</v>
      </c>
    </row>
    <row r="901" ht="12.75" customHeight="1">
      <c r="A901" s="1">
        <v>0.0</v>
      </c>
      <c r="B901" s="2" t="s">
        <v>1778</v>
      </c>
      <c r="C901" s="1" t="s">
        <v>1779</v>
      </c>
      <c r="D901" s="1" t="s">
        <v>1780</v>
      </c>
      <c r="E901" s="3">
        <v>1.0</v>
      </c>
      <c r="F901" s="3">
        <v>0.0</v>
      </c>
    </row>
    <row r="902" ht="12.75" customHeight="1">
      <c r="A902" s="1">
        <v>0.0</v>
      </c>
      <c r="B902" s="2" t="s">
        <v>3182</v>
      </c>
      <c r="C902" s="1" t="s">
        <v>3183</v>
      </c>
      <c r="D902" s="1" t="s">
        <v>3184</v>
      </c>
      <c r="E902" s="3">
        <v>1.0</v>
      </c>
      <c r="F902" s="3">
        <v>0.0</v>
      </c>
    </row>
    <row r="903" ht="12.75" customHeight="1">
      <c r="A903" s="1">
        <v>0.0</v>
      </c>
      <c r="B903" s="2" t="s">
        <v>2653</v>
      </c>
      <c r="C903" s="1" t="s">
        <v>2654</v>
      </c>
      <c r="D903" s="1" t="s">
        <v>2655</v>
      </c>
      <c r="E903" s="3">
        <v>1.0</v>
      </c>
      <c r="F903" s="3">
        <v>0.0</v>
      </c>
    </row>
    <row r="904" ht="12.75" customHeight="1">
      <c r="A904" s="1">
        <v>0.0</v>
      </c>
      <c r="B904" s="2" t="s">
        <v>2096</v>
      </c>
      <c r="C904" s="1" t="s">
        <v>2097</v>
      </c>
      <c r="D904" s="1" t="s">
        <v>2098</v>
      </c>
      <c r="E904" s="3">
        <v>1.0</v>
      </c>
      <c r="F904" s="3">
        <v>0.0</v>
      </c>
    </row>
    <row r="905" ht="12.75" customHeight="1">
      <c r="A905" s="1">
        <v>0.0</v>
      </c>
      <c r="B905" s="2" t="s">
        <v>3244</v>
      </c>
      <c r="C905" s="1" t="s">
        <v>3245</v>
      </c>
      <c r="D905" s="1" t="s">
        <v>3246</v>
      </c>
      <c r="E905" s="3">
        <v>1.0</v>
      </c>
      <c r="F905" s="3">
        <v>0.0</v>
      </c>
    </row>
    <row r="906" ht="12.75" customHeight="1">
      <c r="A906" s="1">
        <v>0.0</v>
      </c>
      <c r="B906" s="2" t="s">
        <v>4725</v>
      </c>
      <c r="C906" s="1" t="s">
        <v>4726</v>
      </c>
      <c r="D906" s="1" t="s">
        <v>4727</v>
      </c>
      <c r="E906" s="3">
        <v>1.0</v>
      </c>
      <c r="F906" s="3">
        <v>0.0</v>
      </c>
    </row>
    <row r="907" ht="12.75" customHeight="1">
      <c r="A907" s="1">
        <v>0.0</v>
      </c>
      <c r="B907" s="2" t="s">
        <v>3447</v>
      </c>
      <c r="C907" s="1" t="s">
        <v>3445</v>
      </c>
      <c r="D907" s="1" t="s">
        <v>3448</v>
      </c>
      <c r="E907" s="3">
        <v>1.0</v>
      </c>
      <c r="F907" s="3">
        <v>0.0</v>
      </c>
    </row>
    <row r="908" ht="12.75" customHeight="1">
      <c r="A908" s="1">
        <v>0.0</v>
      </c>
      <c r="B908" s="2" t="s">
        <v>3783</v>
      </c>
      <c r="C908" s="1" t="s">
        <v>3784</v>
      </c>
      <c r="D908" s="1" t="s">
        <v>3785</v>
      </c>
      <c r="E908" s="3">
        <v>1.0</v>
      </c>
      <c r="F908" s="3">
        <v>0.0</v>
      </c>
    </row>
    <row r="909" ht="12.75" customHeight="1">
      <c r="A909" s="1">
        <v>0.0</v>
      </c>
      <c r="B909" s="2" t="s">
        <v>2817</v>
      </c>
      <c r="C909" s="1" t="s">
        <v>2818</v>
      </c>
      <c r="D909" s="1" t="s">
        <v>1089</v>
      </c>
      <c r="E909" s="3">
        <v>1.0</v>
      </c>
      <c r="F909" s="3">
        <v>0.0</v>
      </c>
    </row>
    <row r="910" ht="12.75" customHeight="1">
      <c r="A910" s="1">
        <v>0.0</v>
      </c>
      <c r="B910" s="2" t="s">
        <v>2863</v>
      </c>
      <c r="C910" s="1" t="s">
        <v>2864</v>
      </c>
      <c r="D910" s="1" t="s">
        <v>1097</v>
      </c>
      <c r="E910" s="3">
        <v>1.0</v>
      </c>
      <c r="F910" s="3">
        <v>0.0</v>
      </c>
    </row>
    <row r="911" ht="12.75" customHeight="1">
      <c r="A911" s="1">
        <v>0.0</v>
      </c>
      <c r="B911" s="2" t="s">
        <v>3381</v>
      </c>
      <c r="C911" s="1" t="s">
        <v>3382</v>
      </c>
      <c r="D911" s="1" t="s">
        <v>3383</v>
      </c>
      <c r="E911" s="3">
        <v>1.0</v>
      </c>
      <c r="F911" s="3">
        <v>0.0</v>
      </c>
    </row>
    <row r="912" ht="12.75" customHeight="1">
      <c r="A912" s="1">
        <v>0.0</v>
      </c>
      <c r="B912" s="2" t="s">
        <v>4728</v>
      </c>
      <c r="C912" s="1" t="s">
        <v>4729</v>
      </c>
      <c r="D912" s="1" t="s">
        <v>4730</v>
      </c>
      <c r="E912" s="3">
        <v>1.0</v>
      </c>
      <c r="F912" s="3">
        <v>0.0</v>
      </c>
    </row>
    <row r="913" ht="12.75" customHeight="1">
      <c r="A913" s="1">
        <v>0.0</v>
      </c>
      <c r="B913" s="2">
        <v>560694.0</v>
      </c>
      <c r="C913" s="1" t="s">
        <v>3910</v>
      </c>
      <c r="D913" s="1" t="s">
        <v>3911</v>
      </c>
      <c r="E913" s="3">
        <v>1.0</v>
      </c>
      <c r="F913" s="3">
        <v>0.0</v>
      </c>
    </row>
    <row r="914" ht="12.75" customHeight="1">
      <c r="A914" s="1">
        <v>0.0</v>
      </c>
      <c r="B914" s="2" t="s">
        <v>4731</v>
      </c>
      <c r="C914" s="1" t="s">
        <v>4732</v>
      </c>
      <c r="D914" s="1" t="s">
        <v>4733</v>
      </c>
      <c r="E914" s="3">
        <v>1.0</v>
      </c>
      <c r="F914" s="3">
        <v>0.0</v>
      </c>
    </row>
    <row r="915" ht="12.75" customHeight="1">
      <c r="A915" s="1">
        <v>0.0</v>
      </c>
      <c r="B915" s="2" t="s">
        <v>3233</v>
      </c>
      <c r="C915" s="1" t="s">
        <v>3234</v>
      </c>
      <c r="D915" s="1" t="s">
        <v>3235</v>
      </c>
      <c r="E915" s="3">
        <v>1.0</v>
      </c>
      <c r="F915" s="3">
        <v>0.0</v>
      </c>
    </row>
    <row r="916" ht="12.75" customHeight="1">
      <c r="A916" s="1">
        <v>0.0</v>
      </c>
      <c r="B916" s="2" t="s">
        <v>1933</v>
      </c>
      <c r="C916" s="1" t="s">
        <v>1934</v>
      </c>
      <c r="D916" s="1" t="s">
        <v>1935</v>
      </c>
      <c r="E916" s="3">
        <v>1.0</v>
      </c>
      <c r="F916" s="3">
        <v>0.0</v>
      </c>
    </row>
    <row r="917" ht="12.75" customHeight="1">
      <c r="A917" s="1">
        <v>0.0</v>
      </c>
      <c r="B917" s="2" t="s">
        <v>3707</v>
      </c>
      <c r="C917" s="1" t="s">
        <v>3708</v>
      </c>
      <c r="D917" s="1" t="s">
        <v>3709</v>
      </c>
      <c r="E917" s="3">
        <v>1.0</v>
      </c>
      <c r="F917" s="3">
        <v>0.0</v>
      </c>
    </row>
    <row r="918" ht="12.75" customHeight="1">
      <c r="A918" s="1">
        <v>0.0</v>
      </c>
      <c r="B918" s="2" t="s">
        <v>4734</v>
      </c>
      <c r="C918" s="1" t="s">
        <v>4735</v>
      </c>
      <c r="D918" s="1" t="s">
        <v>4736</v>
      </c>
      <c r="E918" s="3">
        <v>1.0</v>
      </c>
      <c r="F918" s="3">
        <v>0.0</v>
      </c>
    </row>
    <row r="919" ht="12.75" customHeight="1">
      <c r="A919" s="1">
        <v>0.0</v>
      </c>
      <c r="B919" s="2" t="s">
        <v>4033</v>
      </c>
      <c r="C919" s="1" t="s">
        <v>4034</v>
      </c>
      <c r="D919" s="1" t="s">
        <v>4035</v>
      </c>
      <c r="E919" s="3">
        <v>1.0</v>
      </c>
      <c r="F919" s="3">
        <v>0.0</v>
      </c>
    </row>
    <row r="920" ht="12.75" customHeight="1">
      <c r="A920" s="1">
        <v>0.0</v>
      </c>
      <c r="B920" s="2" t="s">
        <v>1692</v>
      </c>
      <c r="C920" s="1" t="s">
        <v>1693</v>
      </c>
      <c r="D920" s="1" t="s">
        <v>291</v>
      </c>
      <c r="E920" s="3">
        <v>1.0</v>
      </c>
      <c r="F920" s="3">
        <v>0.0</v>
      </c>
    </row>
    <row r="921" ht="12.75" customHeight="1">
      <c r="A921" s="1">
        <v>0.0</v>
      </c>
      <c r="B921" s="2" t="s">
        <v>4005</v>
      </c>
      <c r="C921" s="1" t="s">
        <v>4006</v>
      </c>
      <c r="D921" s="1" t="s">
        <v>1353</v>
      </c>
      <c r="E921" s="3">
        <v>1.0</v>
      </c>
      <c r="F921" s="3">
        <v>0.0</v>
      </c>
    </row>
    <row r="922" ht="12.75" customHeight="1">
      <c r="A922" s="1">
        <v>0.0</v>
      </c>
      <c r="B922" s="2" t="s">
        <v>3082</v>
      </c>
      <c r="C922" s="1" t="s">
        <v>3083</v>
      </c>
      <c r="D922" s="1" t="s">
        <v>3084</v>
      </c>
      <c r="E922" s="3">
        <v>1.0</v>
      </c>
      <c r="F922" s="3">
        <v>0.0</v>
      </c>
    </row>
    <row r="923" ht="12.75" customHeight="1">
      <c r="A923" s="1">
        <v>0.0</v>
      </c>
      <c r="B923" s="2" t="s">
        <v>3689</v>
      </c>
      <c r="C923" s="1" t="s">
        <v>3690</v>
      </c>
      <c r="D923" s="1" t="s">
        <v>3691</v>
      </c>
      <c r="E923" s="3">
        <v>1.0</v>
      </c>
      <c r="F923" s="3">
        <v>0.0</v>
      </c>
    </row>
    <row r="924" ht="12.75" customHeight="1">
      <c r="A924" s="1">
        <v>0.0</v>
      </c>
      <c r="B924" s="2" t="s">
        <v>3817</v>
      </c>
      <c r="C924" s="1" t="s">
        <v>3818</v>
      </c>
      <c r="D924" s="1" t="s">
        <v>3819</v>
      </c>
      <c r="E924" s="3">
        <v>1.0</v>
      </c>
      <c r="F924" s="3">
        <v>0.0</v>
      </c>
    </row>
    <row r="925" ht="12.75" customHeight="1">
      <c r="A925" s="1">
        <v>0.0</v>
      </c>
      <c r="B925" s="2" t="s">
        <v>3895</v>
      </c>
      <c r="C925" s="1" t="s">
        <v>3896</v>
      </c>
      <c r="D925" s="1" t="s">
        <v>3897</v>
      </c>
      <c r="E925" s="3">
        <v>1.0</v>
      </c>
      <c r="F925" s="3">
        <v>0.0</v>
      </c>
    </row>
    <row r="926" ht="12.75" customHeight="1">
      <c r="A926" s="1">
        <v>0.0</v>
      </c>
      <c r="B926" s="2" t="s">
        <v>2020</v>
      </c>
      <c r="C926" s="1" t="s">
        <v>2021</v>
      </c>
      <c r="D926" s="1" t="s">
        <v>2022</v>
      </c>
      <c r="E926" s="3">
        <v>1.0</v>
      </c>
      <c r="F926" s="3">
        <v>0.0</v>
      </c>
    </row>
    <row r="927" ht="12.75" customHeight="1">
      <c r="A927" s="1">
        <v>0.0</v>
      </c>
      <c r="B927" s="2" t="s">
        <v>1714</v>
      </c>
      <c r="C927" s="1" t="s">
        <v>1715</v>
      </c>
      <c r="D927" s="1" t="s">
        <v>1373</v>
      </c>
      <c r="E927" s="3">
        <v>1.0</v>
      </c>
      <c r="F927" s="3">
        <v>0.0</v>
      </c>
    </row>
    <row r="928" ht="12.75" customHeight="1">
      <c r="A928" s="1">
        <v>0.0</v>
      </c>
      <c r="B928" s="2">
        <v>561054.0</v>
      </c>
      <c r="C928" s="1" t="s">
        <v>2704</v>
      </c>
      <c r="D928" s="1" t="s">
        <v>2705</v>
      </c>
      <c r="E928" s="3">
        <v>1.0</v>
      </c>
      <c r="F928" s="3">
        <v>0.0</v>
      </c>
    </row>
    <row r="929" ht="12.75" customHeight="1">
      <c r="A929" s="1">
        <v>0.0</v>
      </c>
      <c r="B929" s="2" t="s">
        <v>2692</v>
      </c>
      <c r="C929" s="1" t="s">
        <v>2693</v>
      </c>
      <c r="D929" s="1" t="s">
        <v>2694</v>
      </c>
      <c r="E929" s="3">
        <v>1.0</v>
      </c>
      <c r="F929" s="3">
        <v>0.0</v>
      </c>
    </row>
    <row r="930" ht="12.75" customHeight="1">
      <c r="A930" s="1">
        <v>0.0</v>
      </c>
      <c r="B930" s="2" t="s">
        <v>4737</v>
      </c>
      <c r="C930" s="1" t="s">
        <v>4738</v>
      </c>
      <c r="D930" s="1" t="s">
        <v>4694</v>
      </c>
      <c r="E930" s="3">
        <v>1.0</v>
      </c>
      <c r="F930" s="3">
        <v>0.0</v>
      </c>
    </row>
    <row r="931" ht="12.75" customHeight="1">
      <c r="A931" s="1">
        <v>0.0</v>
      </c>
      <c r="B931" s="2" t="s">
        <v>2709</v>
      </c>
      <c r="C931" s="1" t="s">
        <v>2710</v>
      </c>
      <c r="D931" s="1" t="s">
        <v>2711</v>
      </c>
      <c r="E931" s="3">
        <v>1.0</v>
      </c>
      <c r="F931" s="3">
        <v>0.0</v>
      </c>
    </row>
    <row r="932" ht="12.75" customHeight="1">
      <c r="A932" s="1">
        <v>0.0</v>
      </c>
      <c r="B932" s="2" t="s">
        <v>1740</v>
      </c>
      <c r="C932" s="1" t="s">
        <v>1741</v>
      </c>
      <c r="D932" s="1" t="s">
        <v>1742</v>
      </c>
      <c r="E932" s="3">
        <v>1.0</v>
      </c>
      <c r="F932" s="3">
        <v>0.0</v>
      </c>
    </row>
    <row r="933" ht="12.75" customHeight="1">
      <c r="A933" s="1">
        <v>0.0</v>
      </c>
      <c r="B933" s="2" t="s">
        <v>1681</v>
      </c>
      <c r="C933" s="1" t="s">
        <v>1682</v>
      </c>
      <c r="D933" s="1" t="s">
        <v>1683</v>
      </c>
      <c r="E933" s="3">
        <v>1.0</v>
      </c>
      <c r="F933" s="3">
        <v>0.0</v>
      </c>
    </row>
    <row r="934" ht="12.75" customHeight="1">
      <c r="A934" s="1">
        <v>0.0</v>
      </c>
      <c r="B934" s="2" t="s">
        <v>4055</v>
      </c>
      <c r="C934" s="1" t="s">
        <v>4056</v>
      </c>
      <c r="D934" s="1" t="s">
        <v>4057</v>
      </c>
      <c r="E934" s="3">
        <v>1.0</v>
      </c>
      <c r="F934" s="3">
        <v>0.0</v>
      </c>
    </row>
    <row r="935" ht="12.75" customHeight="1">
      <c r="A935" s="1">
        <v>0.0</v>
      </c>
      <c r="B935" s="2" t="s">
        <v>3977</v>
      </c>
      <c r="C935" s="1" t="s">
        <v>3978</v>
      </c>
      <c r="D935" s="1" t="s">
        <v>3515</v>
      </c>
      <c r="E935" s="3">
        <v>1.0</v>
      </c>
      <c r="F935" s="3">
        <v>0.0</v>
      </c>
    </row>
    <row r="936" ht="12.75" customHeight="1">
      <c r="A936" s="1">
        <v>0.0</v>
      </c>
      <c r="B936" s="2" t="s">
        <v>2463</v>
      </c>
      <c r="C936" s="1" t="s">
        <v>2464</v>
      </c>
      <c r="D936" s="1" t="s">
        <v>2465</v>
      </c>
      <c r="E936" s="3">
        <v>1.0</v>
      </c>
      <c r="F936" s="3">
        <v>0.0</v>
      </c>
    </row>
    <row r="937" ht="12.75" customHeight="1">
      <c r="A937" s="1">
        <v>0.0</v>
      </c>
      <c r="B937" s="2" t="s">
        <v>3987</v>
      </c>
      <c r="C937" s="1" t="s">
        <v>3988</v>
      </c>
      <c r="D937" s="1" t="s">
        <v>3989</v>
      </c>
      <c r="E937" s="3">
        <v>1.0</v>
      </c>
      <c r="F937" s="3">
        <v>0.0</v>
      </c>
    </row>
    <row r="938" ht="12.75" customHeight="1">
      <c r="A938" s="1">
        <v>0.0</v>
      </c>
      <c r="B938" s="2" t="s">
        <v>3825</v>
      </c>
      <c r="C938" s="1" t="s">
        <v>3826</v>
      </c>
      <c r="D938" s="1" t="s">
        <v>429</v>
      </c>
      <c r="E938" s="3">
        <v>1.0</v>
      </c>
      <c r="F938" s="3">
        <v>0.0</v>
      </c>
    </row>
    <row r="939" ht="12.75" customHeight="1">
      <c r="A939" s="1">
        <v>0.0</v>
      </c>
      <c r="B939" s="2" t="s">
        <v>4739</v>
      </c>
      <c r="C939" s="1" t="s">
        <v>4740</v>
      </c>
      <c r="D939" s="1" t="s">
        <v>4741</v>
      </c>
      <c r="E939" s="3">
        <v>1.0</v>
      </c>
      <c r="F939" s="3">
        <v>0.0</v>
      </c>
    </row>
    <row r="940" ht="12.75" customHeight="1">
      <c r="A940" s="1">
        <v>0.0</v>
      </c>
      <c r="B940" s="2" t="s">
        <v>4742</v>
      </c>
      <c r="C940" s="1" t="s">
        <v>4743</v>
      </c>
      <c r="D940" s="1" t="s">
        <v>4744</v>
      </c>
      <c r="E940" s="3">
        <v>1.0</v>
      </c>
      <c r="F940" s="3">
        <v>0.0</v>
      </c>
    </row>
    <row r="941" ht="12.75" customHeight="1">
      <c r="A941" s="1">
        <v>0.0</v>
      </c>
      <c r="B941" s="2" t="s">
        <v>4745</v>
      </c>
      <c r="C941" s="1" t="s">
        <v>4746</v>
      </c>
      <c r="D941" s="1" t="s">
        <v>4747</v>
      </c>
      <c r="E941" s="3">
        <v>1.0</v>
      </c>
      <c r="F941" s="3">
        <v>0.0</v>
      </c>
    </row>
    <row r="942" ht="12.75" customHeight="1">
      <c r="A942" s="1">
        <v>0.0</v>
      </c>
      <c r="B942" s="2" t="s">
        <v>4007</v>
      </c>
      <c r="C942" s="1" t="s">
        <v>4008</v>
      </c>
      <c r="D942" s="1" t="s">
        <v>1353</v>
      </c>
      <c r="E942" s="3">
        <v>1.0</v>
      </c>
      <c r="F942" s="3">
        <v>0.0</v>
      </c>
    </row>
    <row r="943" ht="12.75" customHeight="1">
      <c r="A943" s="1">
        <v>0.0</v>
      </c>
      <c r="B943" s="2" t="s">
        <v>1746</v>
      </c>
      <c r="C943" s="1" t="s">
        <v>1747</v>
      </c>
      <c r="D943" s="1" t="s">
        <v>1748</v>
      </c>
      <c r="E943" s="3">
        <v>1.0</v>
      </c>
      <c r="F943" s="3">
        <v>0.0</v>
      </c>
    </row>
    <row r="944" ht="12.75" customHeight="1">
      <c r="A944" s="1">
        <v>0.0</v>
      </c>
      <c r="B944" s="2" t="s">
        <v>1744</v>
      </c>
      <c r="C944" s="1" t="s">
        <v>1745</v>
      </c>
      <c r="D944" s="1" t="s">
        <v>673</v>
      </c>
      <c r="E944" s="3">
        <v>1.0</v>
      </c>
      <c r="F944" s="3">
        <v>0.0</v>
      </c>
    </row>
    <row r="945" ht="12.75" customHeight="1">
      <c r="A945" s="1">
        <v>0.0</v>
      </c>
      <c r="B945" s="2" t="s">
        <v>3812</v>
      </c>
      <c r="C945" s="1" t="s">
        <v>3813</v>
      </c>
      <c r="D945" s="1" t="s">
        <v>3814</v>
      </c>
      <c r="E945" s="3">
        <v>1.0</v>
      </c>
      <c r="F945" s="3">
        <v>0.0</v>
      </c>
    </row>
    <row r="946" ht="12.75" customHeight="1">
      <c r="A946" s="1">
        <v>0.0</v>
      </c>
      <c r="B946" s="2" t="s">
        <v>2751</v>
      </c>
      <c r="C946" s="1" t="s">
        <v>1059</v>
      </c>
      <c r="D946" s="1" t="s">
        <v>1060</v>
      </c>
      <c r="E946" s="3">
        <v>1.0</v>
      </c>
      <c r="F946" s="3">
        <v>0.0</v>
      </c>
    </row>
    <row r="947" ht="12.75" customHeight="1">
      <c r="A947" s="1">
        <v>0.0</v>
      </c>
      <c r="B947" s="2" t="s">
        <v>4748</v>
      </c>
      <c r="C947" s="1" t="s">
        <v>4749</v>
      </c>
      <c r="D947" s="1">
        <v>316.0</v>
      </c>
      <c r="E947" s="3">
        <v>1.0</v>
      </c>
      <c r="F947" s="3">
        <v>0.0</v>
      </c>
    </row>
    <row r="948" ht="12.75" customHeight="1">
      <c r="A948" s="1">
        <v>0.0</v>
      </c>
      <c r="B948" s="2" t="s">
        <v>2296</v>
      </c>
      <c r="C948" s="1" t="s">
        <v>2297</v>
      </c>
      <c r="D948" s="1" t="s">
        <v>2298</v>
      </c>
      <c r="E948" s="3">
        <v>1.0</v>
      </c>
      <c r="F948" s="3">
        <v>0.0</v>
      </c>
    </row>
    <row r="949" ht="12.75" customHeight="1">
      <c r="A949" s="1">
        <v>0.0</v>
      </c>
      <c r="B949" s="2" t="s">
        <v>3898</v>
      </c>
      <c r="C949" s="1" t="s">
        <v>1557</v>
      </c>
      <c r="D949" s="1" t="s">
        <v>3899</v>
      </c>
      <c r="E949" s="3">
        <v>1.0</v>
      </c>
      <c r="F949" s="3">
        <v>0.0</v>
      </c>
    </row>
    <row r="950" ht="12.75" customHeight="1">
      <c r="A950" s="1">
        <v>0.0</v>
      </c>
      <c r="B950" s="2" t="s">
        <v>4750</v>
      </c>
      <c r="C950" s="1" t="s">
        <v>4751</v>
      </c>
      <c r="D950" s="1" t="s">
        <v>4752</v>
      </c>
      <c r="E950" s="3">
        <v>1.0</v>
      </c>
      <c r="F950" s="3">
        <v>0.0</v>
      </c>
    </row>
    <row r="951" ht="12.75" customHeight="1">
      <c r="A951" s="1">
        <v>0.0</v>
      </c>
      <c r="B951" s="2" t="s">
        <v>1743</v>
      </c>
      <c r="C951" s="1" t="s">
        <v>780</v>
      </c>
      <c r="D951" s="1" t="s">
        <v>1526</v>
      </c>
      <c r="E951" s="3">
        <v>1.0</v>
      </c>
      <c r="F951" s="3">
        <v>0.0</v>
      </c>
    </row>
    <row r="952" ht="12.75" customHeight="1">
      <c r="A952" s="1">
        <v>0.0</v>
      </c>
      <c r="B952" s="2" t="s">
        <v>3376</v>
      </c>
      <c r="C952" s="1" t="s">
        <v>3377</v>
      </c>
      <c r="D952" s="1" t="s">
        <v>3378</v>
      </c>
      <c r="E952" s="3">
        <v>1.0</v>
      </c>
      <c r="F952" s="3">
        <v>0.0</v>
      </c>
    </row>
    <row r="953" ht="12.75" customHeight="1">
      <c r="A953" s="1">
        <v>0.0</v>
      </c>
      <c r="B953" s="2" t="s">
        <v>3805</v>
      </c>
      <c r="C953" s="1" t="s">
        <v>1319</v>
      </c>
      <c r="D953" s="1" t="s">
        <v>3806</v>
      </c>
      <c r="E953" s="3">
        <v>1.0</v>
      </c>
      <c r="F953" s="3">
        <v>0.0</v>
      </c>
    </row>
    <row r="954" ht="12.75" customHeight="1">
      <c r="A954" s="1">
        <v>0.0</v>
      </c>
      <c r="B954" s="2" t="s">
        <v>2659</v>
      </c>
      <c r="C954" s="1" t="s">
        <v>2660</v>
      </c>
      <c r="D954" s="1" t="s">
        <v>2661</v>
      </c>
      <c r="E954" s="3">
        <v>1.0</v>
      </c>
      <c r="F954" s="3">
        <v>0.0</v>
      </c>
    </row>
    <row r="955" ht="12.75" customHeight="1">
      <c r="A955" s="1">
        <v>0.0</v>
      </c>
      <c r="B955" s="2">
        <v>561910.0</v>
      </c>
      <c r="C955" s="1" t="s">
        <v>2461</v>
      </c>
      <c r="D955" s="1" t="s">
        <v>2462</v>
      </c>
      <c r="E955" s="3">
        <v>1.0</v>
      </c>
      <c r="F955" s="3">
        <v>0.0</v>
      </c>
    </row>
    <row r="956" ht="12.75" customHeight="1">
      <c r="A956" s="1">
        <v>0.0</v>
      </c>
      <c r="B956" s="2">
        <v>561991.0</v>
      </c>
      <c r="C956" s="1" t="s">
        <v>3425</v>
      </c>
      <c r="D956" s="1" t="s">
        <v>3426</v>
      </c>
      <c r="E956" s="3">
        <v>1.0</v>
      </c>
      <c r="F956" s="3">
        <v>0.0</v>
      </c>
    </row>
    <row r="957" ht="12.75" customHeight="1">
      <c r="A957" s="1">
        <v>0.0</v>
      </c>
      <c r="B957" s="2" t="s">
        <v>2315</v>
      </c>
      <c r="C957" s="1" t="s">
        <v>2316</v>
      </c>
      <c r="D957" s="1" t="s">
        <v>854</v>
      </c>
      <c r="E957" s="3">
        <v>1.0</v>
      </c>
      <c r="F957" s="3">
        <v>0.0</v>
      </c>
    </row>
    <row r="958" ht="12.75" customHeight="1">
      <c r="A958" s="1">
        <v>0.0</v>
      </c>
      <c r="B958" s="2" t="s">
        <v>2540</v>
      </c>
      <c r="C958" s="1" t="s">
        <v>892</v>
      </c>
      <c r="D958" s="1" t="s">
        <v>934</v>
      </c>
      <c r="E958" s="3">
        <v>1.0</v>
      </c>
      <c r="F958" s="3">
        <v>0.0</v>
      </c>
    </row>
    <row r="959" ht="12.75" customHeight="1">
      <c r="A959" s="1">
        <v>0.0</v>
      </c>
      <c r="B959" s="2" t="s">
        <v>3855</v>
      </c>
      <c r="C959" s="1" t="s">
        <v>2131</v>
      </c>
      <c r="D959" s="1" t="s">
        <v>3848</v>
      </c>
      <c r="E959" s="3">
        <v>1.0</v>
      </c>
      <c r="F959" s="3">
        <v>0.0</v>
      </c>
    </row>
    <row r="960" ht="12.75" customHeight="1">
      <c r="A960" s="1">
        <v>0.0</v>
      </c>
      <c r="B960" s="2" t="s">
        <v>1793</v>
      </c>
      <c r="C960" s="1" t="s">
        <v>1794</v>
      </c>
      <c r="D960" s="1" t="s">
        <v>1795</v>
      </c>
      <c r="E960" s="3">
        <v>1.0</v>
      </c>
      <c r="F960" s="3">
        <v>0.0</v>
      </c>
    </row>
    <row r="961" ht="12.75" customHeight="1">
      <c r="A961" s="1">
        <v>0.0</v>
      </c>
      <c r="B961" s="2" t="s">
        <v>2528</v>
      </c>
      <c r="C961" s="1" t="s">
        <v>2529</v>
      </c>
      <c r="D961" s="1" t="s">
        <v>932</v>
      </c>
      <c r="E961" s="3">
        <v>1.0</v>
      </c>
      <c r="F961" s="3">
        <v>0.0</v>
      </c>
    </row>
    <row r="962" ht="12.75" customHeight="1">
      <c r="A962" s="1">
        <v>0.0</v>
      </c>
      <c r="B962" s="2" t="s">
        <v>4753</v>
      </c>
      <c r="C962" s="1" t="s">
        <v>4754</v>
      </c>
      <c r="D962" s="1" t="s">
        <v>4653</v>
      </c>
      <c r="E962" s="3">
        <v>1.0</v>
      </c>
      <c r="F962" s="3">
        <v>0.0</v>
      </c>
    </row>
    <row r="963" ht="12.75" customHeight="1">
      <c r="A963" s="1">
        <v>0.0</v>
      </c>
      <c r="B963" s="2" t="s">
        <v>4755</v>
      </c>
      <c r="C963" s="1" t="s">
        <v>4756</v>
      </c>
      <c r="D963" s="1" t="s">
        <v>4656</v>
      </c>
      <c r="E963" s="3">
        <v>1.0</v>
      </c>
      <c r="F963" s="3">
        <v>0.0</v>
      </c>
    </row>
    <row r="964" ht="12.75" customHeight="1">
      <c r="A964" s="1">
        <v>0.0</v>
      </c>
      <c r="B964" s="2" t="s">
        <v>3546</v>
      </c>
      <c r="C964" s="1" t="s">
        <v>3547</v>
      </c>
      <c r="D964" s="1" t="s">
        <v>3548</v>
      </c>
      <c r="E964" s="3">
        <v>1.0</v>
      </c>
      <c r="F964" s="3">
        <v>0.0</v>
      </c>
    </row>
    <row r="965" ht="12.75" customHeight="1">
      <c r="A965" s="1">
        <v>0.0</v>
      </c>
      <c r="B965" s="2" t="s">
        <v>4075</v>
      </c>
      <c r="C965" s="1" t="s">
        <v>4076</v>
      </c>
      <c r="D965" s="1" t="s">
        <v>4077</v>
      </c>
      <c r="E965" s="3">
        <v>1.0</v>
      </c>
      <c r="F965" s="3">
        <v>0.0</v>
      </c>
    </row>
    <row r="966" ht="12.75" customHeight="1">
      <c r="A966" s="1">
        <v>0.0</v>
      </c>
      <c r="B966" s="2" t="s">
        <v>2806</v>
      </c>
      <c r="C966" s="1" t="s">
        <v>2807</v>
      </c>
      <c r="D966" s="1" t="s">
        <v>2808</v>
      </c>
      <c r="E966" s="3">
        <v>1.0</v>
      </c>
      <c r="F966" s="3">
        <v>0.0</v>
      </c>
    </row>
    <row r="967" ht="12.75" customHeight="1">
      <c r="A967" s="1">
        <v>0.0</v>
      </c>
      <c r="B967" s="2" t="s">
        <v>3500</v>
      </c>
      <c r="C967" s="1" t="s">
        <v>3501</v>
      </c>
      <c r="D967" s="1" t="s">
        <v>3502</v>
      </c>
      <c r="E967" s="3">
        <v>1.0</v>
      </c>
      <c r="F967" s="3">
        <v>0.0</v>
      </c>
    </row>
    <row r="968" ht="12.75" customHeight="1">
      <c r="A968" s="1">
        <v>0.0</v>
      </c>
      <c r="B968" s="2" t="s">
        <v>2798</v>
      </c>
      <c r="C968" s="1" t="s">
        <v>2799</v>
      </c>
      <c r="D968" s="1" t="s">
        <v>2796</v>
      </c>
      <c r="E968" s="3">
        <v>1.0</v>
      </c>
      <c r="F968" s="3">
        <v>0.0</v>
      </c>
    </row>
    <row r="969" ht="12.75" customHeight="1">
      <c r="A969" s="1">
        <v>0.0</v>
      </c>
      <c r="B969" s="2" t="s">
        <v>4757</v>
      </c>
      <c r="C969" s="1" t="s">
        <v>4758</v>
      </c>
      <c r="D969" s="1" t="s">
        <v>4759</v>
      </c>
      <c r="E969" s="3">
        <v>1.0</v>
      </c>
      <c r="F969" s="3">
        <v>0.0</v>
      </c>
    </row>
    <row r="970" ht="12.75" customHeight="1">
      <c r="A970" s="1">
        <v>0.0</v>
      </c>
      <c r="B970" s="2" t="s">
        <v>4760</v>
      </c>
      <c r="C970" s="1" t="s">
        <v>4761</v>
      </c>
      <c r="D970" s="1">
        <v>2.0</v>
      </c>
      <c r="E970" s="3">
        <v>1.0</v>
      </c>
      <c r="F970" s="3">
        <v>0.0</v>
      </c>
    </row>
    <row r="971" ht="12.75" customHeight="1">
      <c r="A971" s="1">
        <v>0.0</v>
      </c>
      <c r="B971" s="2" t="s">
        <v>3459</v>
      </c>
      <c r="C971" s="1" t="s">
        <v>3460</v>
      </c>
      <c r="D971" s="1" t="s">
        <v>3461</v>
      </c>
      <c r="E971" s="3">
        <v>1.0</v>
      </c>
      <c r="F971" s="3">
        <v>0.0</v>
      </c>
    </row>
    <row r="972" ht="12.75" customHeight="1">
      <c r="A972" s="1">
        <v>0.0</v>
      </c>
      <c r="B972" s="2" t="s">
        <v>3568</v>
      </c>
      <c r="C972" s="1" t="s">
        <v>2596</v>
      </c>
      <c r="D972" s="1" t="s">
        <v>3569</v>
      </c>
      <c r="E972" s="3">
        <v>1.0</v>
      </c>
      <c r="F972" s="3">
        <v>0.0</v>
      </c>
    </row>
    <row r="973" ht="12.75" customHeight="1">
      <c r="A973" s="1">
        <v>0.0</v>
      </c>
      <c r="B973" s="2">
        <v>562081.0</v>
      </c>
      <c r="C973" s="1" t="s">
        <v>2231</v>
      </c>
      <c r="D973" s="1" t="s">
        <v>2232</v>
      </c>
      <c r="E973" s="3">
        <v>1.0</v>
      </c>
      <c r="F973" s="3">
        <v>0.0</v>
      </c>
    </row>
    <row r="974" ht="12.75" customHeight="1">
      <c r="A974" s="1">
        <v>0.0</v>
      </c>
      <c r="B974" s="2" t="s">
        <v>2616</v>
      </c>
      <c r="C974" s="1" t="s">
        <v>2617</v>
      </c>
      <c r="D974" s="1" t="s">
        <v>2618</v>
      </c>
      <c r="E974" s="3">
        <v>1.0</v>
      </c>
      <c r="F974" s="3">
        <v>0.0</v>
      </c>
    </row>
    <row r="975" ht="12.75" customHeight="1">
      <c r="A975" s="1">
        <v>0.0</v>
      </c>
      <c r="B975" s="2" t="s">
        <v>2809</v>
      </c>
      <c r="C975" s="1" t="s">
        <v>2810</v>
      </c>
      <c r="D975" s="1" t="s">
        <v>2811</v>
      </c>
      <c r="E975" s="3">
        <v>1.0</v>
      </c>
      <c r="F975" s="3">
        <v>0.0</v>
      </c>
    </row>
    <row r="976" ht="12.75" customHeight="1">
      <c r="A976" s="1">
        <v>0.0</v>
      </c>
      <c r="B976" s="2" t="s">
        <v>3387</v>
      </c>
      <c r="C976" s="1" t="s">
        <v>3388</v>
      </c>
      <c r="D976" s="1" t="s">
        <v>3389</v>
      </c>
      <c r="E976" s="3">
        <v>1.0</v>
      </c>
      <c r="F976" s="3">
        <v>0.0</v>
      </c>
    </row>
    <row r="977" ht="12.75" customHeight="1">
      <c r="A977" s="1">
        <v>0.0</v>
      </c>
      <c r="B977" s="2" t="s">
        <v>4762</v>
      </c>
      <c r="C977" s="1" t="s">
        <v>4763</v>
      </c>
      <c r="D977" s="1" t="s">
        <v>4764</v>
      </c>
      <c r="E977" s="3">
        <v>1.0</v>
      </c>
      <c r="F977" s="3">
        <v>0.0</v>
      </c>
    </row>
    <row r="978" ht="12.75" customHeight="1">
      <c r="A978" s="1">
        <v>0.0</v>
      </c>
      <c r="B978" s="2">
        <v>562094.0</v>
      </c>
      <c r="C978" s="1" t="s">
        <v>2084</v>
      </c>
      <c r="D978" s="1" t="s">
        <v>4765</v>
      </c>
      <c r="E978" s="3">
        <v>1.0</v>
      </c>
      <c r="F978" s="3">
        <v>0.0</v>
      </c>
    </row>
    <row r="979" ht="12.75" customHeight="1">
      <c r="A979" s="1">
        <v>0.0</v>
      </c>
      <c r="B979" s="2" t="s">
        <v>3535</v>
      </c>
      <c r="C979" s="1" t="s">
        <v>3536</v>
      </c>
      <c r="D979" s="1" t="s">
        <v>3537</v>
      </c>
      <c r="E979" s="3">
        <v>1.0</v>
      </c>
      <c r="F979" s="3">
        <v>0.0</v>
      </c>
    </row>
    <row r="980" ht="12.75" customHeight="1">
      <c r="A980" s="1">
        <v>0.0</v>
      </c>
      <c r="B980" s="2" t="s">
        <v>2224</v>
      </c>
      <c r="C980" s="1" t="s">
        <v>2225</v>
      </c>
      <c r="D980" s="1" t="s">
        <v>2226</v>
      </c>
      <c r="E980" s="3">
        <v>1.0</v>
      </c>
      <c r="F980" s="3">
        <v>0.0</v>
      </c>
    </row>
    <row r="981" ht="12.75" customHeight="1">
      <c r="A981" s="1">
        <v>0.0</v>
      </c>
      <c r="B981" s="2" t="s">
        <v>3517</v>
      </c>
      <c r="C981" s="1" t="s">
        <v>3518</v>
      </c>
      <c r="D981" s="1" t="s">
        <v>916</v>
      </c>
      <c r="E981" s="3">
        <v>1.0</v>
      </c>
      <c r="F981" s="3">
        <v>0.0</v>
      </c>
    </row>
    <row r="982" ht="12.75" customHeight="1">
      <c r="A982" s="1">
        <v>0.0</v>
      </c>
      <c r="B982" s="2" t="s">
        <v>3261</v>
      </c>
      <c r="C982" s="1" t="s">
        <v>3262</v>
      </c>
      <c r="D982" s="1" t="s">
        <v>3256</v>
      </c>
      <c r="E982" s="3">
        <v>1.0</v>
      </c>
      <c r="F982" s="3">
        <v>0.0</v>
      </c>
    </row>
    <row r="983" ht="12.75" customHeight="1">
      <c r="A983" s="1">
        <v>0.0</v>
      </c>
      <c r="B983" s="2" t="s">
        <v>3538</v>
      </c>
      <c r="C983" s="1" t="s">
        <v>3539</v>
      </c>
      <c r="D983" s="1" t="s">
        <v>3537</v>
      </c>
      <c r="E983" s="3">
        <v>1.0</v>
      </c>
      <c r="F983" s="3">
        <v>0.0</v>
      </c>
    </row>
    <row r="984" ht="12.75" customHeight="1">
      <c r="A984" s="1">
        <v>0.0</v>
      </c>
      <c r="B984" s="2" t="s">
        <v>4766</v>
      </c>
      <c r="C984" s="1" t="s">
        <v>4767</v>
      </c>
      <c r="D984" s="1" t="s">
        <v>3256</v>
      </c>
      <c r="E984" s="3">
        <v>1.0</v>
      </c>
      <c r="F984" s="3">
        <v>0.0</v>
      </c>
    </row>
    <row r="985" ht="12.75" customHeight="1">
      <c r="A985" s="1">
        <v>0.0</v>
      </c>
      <c r="B985" s="2" t="s">
        <v>4768</v>
      </c>
      <c r="C985" s="1" t="s">
        <v>4769</v>
      </c>
      <c r="D985" s="1" t="s">
        <v>3256</v>
      </c>
      <c r="E985" s="3">
        <v>1.0</v>
      </c>
      <c r="F985" s="3">
        <v>0.0</v>
      </c>
    </row>
    <row r="986" ht="12.75" customHeight="1">
      <c r="A986" s="1">
        <v>0.0</v>
      </c>
      <c r="B986" s="2">
        <v>5.62E7</v>
      </c>
      <c r="C986" s="1" t="s">
        <v>3503</v>
      </c>
      <c r="D986" s="1" t="s">
        <v>3504</v>
      </c>
      <c r="E986" s="3">
        <v>1.0</v>
      </c>
      <c r="F986" s="3">
        <v>0.0</v>
      </c>
    </row>
    <row r="987" ht="12.75" customHeight="1">
      <c r="A987" s="1">
        <v>0.0</v>
      </c>
      <c r="B987" s="2">
        <v>5.62E11</v>
      </c>
      <c r="C987" s="1" t="s">
        <v>261</v>
      </c>
      <c r="D987" s="1" t="s">
        <v>3256</v>
      </c>
      <c r="E987" s="3">
        <v>1.0</v>
      </c>
      <c r="F987" s="3">
        <v>0.0</v>
      </c>
    </row>
    <row r="988" ht="12.75" customHeight="1">
      <c r="A988" s="1">
        <v>0.0</v>
      </c>
      <c r="B988" s="2" t="s">
        <v>3786</v>
      </c>
      <c r="C988" s="1" t="s">
        <v>3787</v>
      </c>
      <c r="D988" s="1" t="s">
        <v>3788</v>
      </c>
      <c r="E988" s="3">
        <v>1.0</v>
      </c>
      <c r="F988" s="3">
        <v>0.0</v>
      </c>
    </row>
    <row r="989" ht="12.75" customHeight="1">
      <c r="A989" s="1">
        <v>0.0</v>
      </c>
      <c r="B989" s="2" t="s">
        <v>4770</v>
      </c>
      <c r="C989" s="1" t="s">
        <v>4771</v>
      </c>
      <c r="D989" s="1" t="s">
        <v>2107</v>
      </c>
      <c r="E989" s="3">
        <v>1.0</v>
      </c>
      <c r="F989" s="3">
        <v>0.0</v>
      </c>
    </row>
    <row r="990" ht="12.75" customHeight="1">
      <c r="A990" s="1">
        <v>0.0</v>
      </c>
      <c r="B990" s="2" t="s">
        <v>2386</v>
      </c>
      <c r="C990" s="1" t="s">
        <v>2387</v>
      </c>
      <c r="D990" s="1" t="s">
        <v>2388</v>
      </c>
      <c r="E990" s="3">
        <v>1.0</v>
      </c>
      <c r="F990" s="3">
        <v>0.0</v>
      </c>
    </row>
    <row r="991" ht="12.75" customHeight="1">
      <c r="A991" s="1">
        <v>0.0</v>
      </c>
      <c r="B991" s="2" t="s">
        <v>2733</v>
      </c>
      <c r="C991" s="1" t="s">
        <v>2734</v>
      </c>
      <c r="D991" s="1" t="s">
        <v>2735</v>
      </c>
      <c r="E991" s="3">
        <v>1.0</v>
      </c>
      <c r="F991" s="3">
        <v>0.0</v>
      </c>
    </row>
    <row r="992" ht="12.75" customHeight="1">
      <c r="A992" s="1">
        <v>0.0</v>
      </c>
      <c r="B992" s="2" t="s">
        <v>2374</v>
      </c>
      <c r="C992" s="1" t="s">
        <v>2375</v>
      </c>
      <c r="D992" s="1" t="s">
        <v>2376</v>
      </c>
      <c r="E992" s="3">
        <v>1.0</v>
      </c>
      <c r="F992" s="3">
        <v>0.0</v>
      </c>
    </row>
    <row r="993" ht="12.75" customHeight="1">
      <c r="A993" s="1">
        <v>0.0</v>
      </c>
      <c r="B993" s="2" t="s">
        <v>3263</v>
      </c>
      <c r="C993" s="1" t="s">
        <v>3264</v>
      </c>
      <c r="D993" s="1" t="s">
        <v>3256</v>
      </c>
      <c r="E993" s="3">
        <v>1.0</v>
      </c>
      <c r="F993" s="3">
        <v>0.0</v>
      </c>
    </row>
    <row r="994" ht="12.75" customHeight="1">
      <c r="A994" s="1">
        <v>0.0</v>
      </c>
      <c r="B994" s="2" t="s">
        <v>2359</v>
      </c>
      <c r="C994" s="1" t="s">
        <v>2360</v>
      </c>
      <c r="D994" s="1" t="s">
        <v>2361</v>
      </c>
      <c r="E994" s="3">
        <v>1.0</v>
      </c>
      <c r="F994" s="3">
        <v>0.0</v>
      </c>
    </row>
    <row r="995" ht="12.75" customHeight="1">
      <c r="A995" s="1">
        <v>0.0</v>
      </c>
      <c r="B995" s="2" t="s">
        <v>3939</v>
      </c>
      <c r="C995" s="1" t="s">
        <v>2268</v>
      </c>
      <c r="D995" s="1" t="s">
        <v>3940</v>
      </c>
      <c r="E995" s="3">
        <v>1.0</v>
      </c>
      <c r="F995" s="3">
        <v>0.0</v>
      </c>
    </row>
    <row r="996" ht="12.75" customHeight="1">
      <c r="A996" s="1">
        <v>0.0</v>
      </c>
      <c r="B996" s="2" t="s">
        <v>4772</v>
      </c>
      <c r="C996" s="1" t="s">
        <v>4773</v>
      </c>
      <c r="D996" s="1" t="s">
        <v>4774</v>
      </c>
      <c r="E996" s="3">
        <v>1.0</v>
      </c>
      <c r="F996" s="3">
        <v>0.0</v>
      </c>
    </row>
    <row r="997" ht="12.75" customHeight="1">
      <c r="A997" s="1">
        <v>0.0</v>
      </c>
      <c r="B997" s="2" t="s">
        <v>2000</v>
      </c>
      <c r="C997" s="1" t="s">
        <v>2001</v>
      </c>
      <c r="D997" s="1" t="s">
        <v>2002</v>
      </c>
      <c r="E997" s="3">
        <v>1.0</v>
      </c>
      <c r="F997" s="3">
        <v>0.0</v>
      </c>
    </row>
    <row r="998" ht="12.75" customHeight="1">
      <c r="A998" s="1">
        <v>0.0</v>
      </c>
      <c r="B998" s="2" t="s">
        <v>3420</v>
      </c>
      <c r="C998" s="1" t="s">
        <v>1199</v>
      </c>
      <c r="D998" s="1" t="s">
        <v>3421</v>
      </c>
      <c r="E998" s="3">
        <v>1.0</v>
      </c>
      <c r="F998" s="3">
        <v>0.0</v>
      </c>
    </row>
    <row r="999" ht="12.75" customHeight="1">
      <c r="A999" s="1">
        <v>0.0</v>
      </c>
      <c r="B999" s="2" t="s">
        <v>3948</v>
      </c>
      <c r="C999" s="1" t="s">
        <v>3949</v>
      </c>
      <c r="D999" s="1" t="s">
        <v>3950</v>
      </c>
      <c r="E999" s="3">
        <v>1.0</v>
      </c>
      <c r="F999" s="3">
        <v>0.0</v>
      </c>
    </row>
    <row r="1000" ht="12.75" customHeight="1">
      <c r="A1000" s="1">
        <v>0.0</v>
      </c>
      <c r="B1000" s="2" t="s">
        <v>4009</v>
      </c>
      <c r="C1000" s="1" t="s">
        <v>4010</v>
      </c>
      <c r="D1000" s="1" t="s">
        <v>1353</v>
      </c>
      <c r="E1000" s="3">
        <v>1.0</v>
      </c>
      <c r="F1000" s="3">
        <v>0.0</v>
      </c>
    </row>
    <row r="1001" ht="12.75" customHeight="1">
      <c r="A1001" s="1">
        <v>0.0</v>
      </c>
      <c r="B1001" s="2" t="s">
        <v>4775</v>
      </c>
      <c r="C1001" s="1" t="s">
        <v>4776</v>
      </c>
      <c r="D1001" s="1" t="s">
        <v>4777</v>
      </c>
      <c r="E1001" s="3">
        <v>1.0</v>
      </c>
      <c r="F1001" s="3">
        <v>0.0</v>
      </c>
    </row>
    <row r="1002" ht="12.75" customHeight="1">
      <c r="A1002" s="1">
        <v>0.0</v>
      </c>
      <c r="B1002" s="2" t="s">
        <v>4778</v>
      </c>
      <c r="C1002" s="1" t="s">
        <v>4779</v>
      </c>
      <c r="D1002" s="1" t="s">
        <v>4780</v>
      </c>
      <c r="E1002" s="3">
        <v>1.0</v>
      </c>
      <c r="F1002" s="3">
        <v>0.0</v>
      </c>
    </row>
    <row r="1003" ht="12.75" customHeight="1">
      <c r="A1003" s="1">
        <v>0.0</v>
      </c>
      <c r="B1003" s="2" t="s">
        <v>3906</v>
      </c>
      <c r="C1003" s="1" t="s">
        <v>3907</v>
      </c>
      <c r="D1003" s="1" t="s">
        <v>3908</v>
      </c>
      <c r="E1003" s="3">
        <v>1.0</v>
      </c>
      <c r="F1003" s="3">
        <v>0.0</v>
      </c>
    </row>
    <row r="1004" ht="12.75" customHeight="1">
      <c r="A1004" s="1">
        <v>0.0</v>
      </c>
      <c r="B1004" s="2" t="s">
        <v>3803</v>
      </c>
      <c r="C1004" s="1" t="s">
        <v>554</v>
      </c>
      <c r="D1004" s="1" t="s">
        <v>3804</v>
      </c>
      <c r="E1004" s="3">
        <v>1.0</v>
      </c>
      <c r="F1004" s="3">
        <v>0.0</v>
      </c>
    </row>
    <row r="1005" ht="12.75" customHeight="1">
      <c r="A1005" s="1">
        <v>0.0</v>
      </c>
      <c r="B1005" s="2">
        <v>562104.0</v>
      </c>
      <c r="C1005" s="1" t="s">
        <v>4549</v>
      </c>
      <c r="D1005" s="1" t="s">
        <v>4781</v>
      </c>
      <c r="E1005" s="3">
        <v>1.0</v>
      </c>
      <c r="F1005" s="3">
        <v>0.0</v>
      </c>
    </row>
    <row r="1006" ht="12.75" customHeight="1">
      <c r="A1006" s="1">
        <v>0.0</v>
      </c>
      <c r="B1006" s="2">
        <v>562105.0</v>
      </c>
      <c r="C1006" s="1" t="s">
        <v>1902</v>
      </c>
      <c r="D1006" s="1" t="s">
        <v>716</v>
      </c>
      <c r="E1006" s="3">
        <v>1.0</v>
      </c>
      <c r="F1006" s="3">
        <v>0.0</v>
      </c>
    </row>
    <row r="1007" ht="12.75" customHeight="1">
      <c r="A1007" s="1">
        <v>0.0</v>
      </c>
      <c r="B1007" s="2">
        <v>562110.0</v>
      </c>
      <c r="C1007" s="1" t="s">
        <v>4782</v>
      </c>
      <c r="D1007" s="1" t="s">
        <v>4783</v>
      </c>
      <c r="E1007" s="3">
        <v>1.0</v>
      </c>
      <c r="F1007" s="3">
        <v>0.0</v>
      </c>
    </row>
    <row r="1008" ht="12.75" customHeight="1">
      <c r="A1008" s="1">
        <v>0.0</v>
      </c>
      <c r="B1008" s="2">
        <v>562115.0</v>
      </c>
      <c r="C1008" s="1" t="s">
        <v>2454</v>
      </c>
      <c r="D1008" s="1" t="s">
        <v>2455</v>
      </c>
      <c r="E1008" s="3">
        <v>1.0</v>
      </c>
      <c r="F1008" s="3">
        <v>0.0</v>
      </c>
    </row>
    <row r="1009" ht="12.75" customHeight="1">
      <c r="A1009" s="1">
        <v>0.0</v>
      </c>
      <c r="B1009" s="2" t="s">
        <v>1755</v>
      </c>
      <c r="C1009" s="1" t="s">
        <v>1756</v>
      </c>
      <c r="D1009" s="1" t="s">
        <v>1757</v>
      </c>
      <c r="E1009" s="3">
        <v>1.0</v>
      </c>
      <c r="F1009" s="3">
        <v>0.0</v>
      </c>
    </row>
    <row r="1010" ht="12.75" customHeight="1">
      <c r="A1010" s="1">
        <v>0.0</v>
      </c>
      <c r="B1010" s="2">
        <v>562130.0</v>
      </c>
      <c r="C1010" s="1" t="s">
        <v>3597</v>
      </c>
      <c r="D1010" s="1" t="s">
        <v>3598</v>
      </c>
      <c r="E1010" s="3">
        <v>1.0</v>
      </c>
      <c r="F1010" s="3">
        <v>0.0</v>
      </c>
    </row>
    <row r="1011" ht="12.75" customHeight="1">
      <c r="A1011" s="1">
        <v>0.0</v>
      </c>
      <c r="B1011" s="2" t="s">
        <v>3725</v>
      </c>
      <c r="C1011" s="1" t="s">
        <v>3726</v>
      </c>
      <c r="D1011" s="1" t="s">
        <v>3727</v>
      </c>
      <c r="E1011" s="3">
        <v>1.0</v>
      </c>
      <c r="F1011" s="3">
        <v>0.0</v>
      </c>
    </row>
    <row r="1012" ht="12.75" customHeight="1">
      <c r="A1012" s="1">
        <v>0.0</v>
      </c>
      <c r="B1012" s="2" t="s">
        <v>2284</v>
      </c>
      <c r="C1012" s="1" t="s">
        <v>2282</v>
      </c>
      <c r="D1012" s="1" t="s">
        <v>2285</v>
      </c>
      <c r="E1012" s="3">
        <v>1.0</v>
      </c>
      <c r="F1012" s="3">
        <v>0.0</v>
      </c>
    </row>
    <row r="1013" ht="12.75" customHeight="1">
      <c r="A1013" s="1">
        <v>0.0</v>
      </c>
      <c r="B1013" s="2">
        <v>562222.0</v>
      </c>
      <c r="C1013" s="1" t="s">
        <v>3985</v>
      </c>
      <c r="D1013" s="1" t="s">
        <v>3986</v>
      </c>
      <c r="E1013" s="3">
        <v>1.0</v>
      </c>
      <c r="F1013" s="3">
        <v>0.0</v>
      </c>
    </row>
    <row r="1014" ht="12.75" customHeight="1">
      <c r="A1014" s="1">
        <v>0.0</v>
      </c>
      <c r="B1014" s="2">
        <v>562229.0</v>
      </c>
      <c r="C1014" s="1" t="s">
        <v>4784</v>
      </c>
      <c r="D1014" s="1" t="s">
        <v>4785</v>
      </c>
      <c r="E1014" s="3">
        <v>1.0</v>
      </c>
      <c r="F1014" s="3">
        <v>0.0</v>
      </c>
    </row>
    <row r="1015" ht="12.75" customHeight="1">
      <c r="A1015" s="1">
        <v>0.0</v>
      </c>
      <c r="B1015" s="2">
        <v>562257.0</v>
      </c>
      <c r="C1015" s="1" t="s">
        <v>2028</v>
      </c>
      <c r="D1015" s="1" t="s">
        <v>757</v>
      </c>
      <c r="E1015" s="3">
        <v>1.0</v>
      </c>
      <c r="F1015" s="3">
        <v>0.0</v>
      </c>
    </row>
    <row r="1016" ht="12.75" customHeight="1">
      <c r="A1016" s="1">
        <v>0.0</v>
      </c>
      <c r="B1016" s="2">
        <v>562264.0</v>
      </c>
      <c r="C1016" s="1" t="s">
        <v>2029</v>
      </c>
      <c r="D1016" s="1" t="s">
        <v>757</v>
      </c>
      <c r="E1016" s="3">
        <v>1.0</v>
      </c>
      <c r="F1016" s="3">
        <v>0.0</v>
      </c>
    </row>
    <row r="1017" ht="12.75" customHeight="1">
      <c r="A1017" s="1">
        <v>0.0</v>
      </c>
      <c r="B1017" s="2">
        <v>562266.0</v>
      </c>
      <c r="C1017" s="1" t="s">
        <v>3136</v>
      </c>
      <c r="D1017" s="1" t="s">
        <v>415</v>
      </c>
      <c r="E1017" s="3">
        <v>1.0</v>
      </c>
      <c r="F1017" s="3">
        <v>0.0</v>
      </c>
    </row>
    <row r="1018" ht="12.75" customHeight="1">
      <c r="A1018" s="1">
        <v>0.0</v>
      </c>
      <c r="B1018" s="2">
        <v>562279.0</v>
      </c>
      <c r="C1018" s="1" t="s">
        <v>2537</v>
      </c>
      <c r="D1018" s="1" t="s">
        <v>934</v>
      </c>
      <c r="E1018" s="3">
        <v>1.0</v>
      </c>
      <c r="F1018" s="3">
        <v>0.0</v>
      </c>
    </row>
    <row r="1019" ht="12.75" customHeight="1">
      <c r="A1019" s="1">
        <v>0.0</v>
      </c>
      <c r="B1019" s="2">
        <v>562281.0</v>
      </c>
      <c r="C1019" s="1" t="s">
        <v>3232</v>
      </c>
      <c r="D1019" s="1" t="s">
        <v>1172</v>
      </c>
      <c r="E1019" s="3">
        <v>1.0</v>
      </c>
      <c r="F1019" s="3">
        <v>0.0</v>
      </c>
    </row>
    <row r="1020" ht="12.75" customHeight="1">
      <c r="A1020" s="1">
        <v>0.0</v>
      </c>
      <c r="B1020" s="2">
        <v>562292.0</v>
      </c>
      <c r="C1020" s="1" t="s">
        <v>2827</v>
      </c>
      <c r="D1020" s="1" t="s">
        <v>2828</v>
      </c>
      <c r="E1020" s="3">
        <v>1.0</v>
      </c>
      <c r="F1020" s="3">
        <v>0.0</v>
      </c>
    </row>
    <row r="1021" ht="12.75" customHeight="1">
      <c r="A1021" s="1">
        <v>0.0</v>
      </c>
      <c r="B1021" s="2">
        <v>562337.0</v>
      </c>
      <c r="C1021" s="1" t="s">
        <v>1987</v>
      </c>
      <c r="D1021" s="1" t="s">
        <v>1988</v>
      </c>
      <c r="E1021" s="3">
        <v>1.0</v>
      </c>
      <c r="F1021" s="3">
        <v>0.0</v>
      </c>
    </row>
    <row r="1022" ht="12.75" customHeight="1">
      <c r="A1022" s="1">
        <v>0.0</v>
      </c>
      <c r="B1022" s="2">
        <v>562346.0</v>
      </c>
      <c r="C1022" s="1" t="s">
        <v>4786</v>
      </c>
      <c r="D1022" s="1" t="s">
        <v>3151</v>
      </c>
      <c r="E1022" s="3">
        <v>1.0</v>
      </c>
      <c r="F1022" s="3">
        <v>0.0</v>
      </c>
    </row>
    <row r="1023" ht="12.75" customHeight="1">
      <c r="A1023" s="1">
        <v>0.0</v>
      </c>
      <c r="B1023" s="2">
        <v>562377.0</v>
      </c>
      <c r="C1023" s="1" t="s">
        <v>1801</v>
      </c>
      <c r="D1023" s="1" t="s">
        <v>1802</v>
      </c>
      <c r="E1023" s="3">
        <v>1.0</v>
      </c>
      <c r="F1023" s="3">
        <v>0.0</v>
      </c>
    </row>
    <row r="1024" ht="12.75" customHeight="1">
      <c r="A1024" s="1">
        <v>0.0</v>
      </c>
      <c r="B1024" s="2">
        <v>562383.0</v>
      </c>
      <c r="C1024" s="1" t="s">
        <v>1822</v>
      </c>
      <c r="D1024" s="1" t="s">
        <v>1823</v>
      </c>
      <c r="E1024" s="3">
        <v>1.0</v>
      </c>
      <c r="F1024" s="3">
        <v>0.0</v>
      </c>
    </row>
    <row r="1025" ht="12.75" customHeight="1">
      <c r="A1025" s="1">
        <v>0.0</v>
      </c>
      <c r="B1025" s="2" t="s">
        <v>1727</v>
      </c>
      <c r="C1025" s="1" t="s">
        <v>1728</v>
      </c>
      <c r="D1025" s="1" t="s">
        <v>653</v>
      </c>
      <c r="E1025" s="3">
        <v>1.0</v>
      </c>
      <c r="F1025" s="3">
        <v>0.0</v>
      </c>
    </row>
    <row r="1026" ht="12.75" customHeight="1">
      <c r="A1026" s="1">
        <v>0.0</v>
      </c>
      <c r="B1026" s="2" t="s">
        <v>1721</v>
      </c>
      <c r="C1026" s="1" t="s">
        <v>1722</v>
      </c>
      <c r="D1026" s="1" t="s">
        <v>650</v>
      </c>
      <c r="E1026" s="3">
        <v>1.0</v>
      </c>
      <c r="F1026" s="3">
        <v>0.0</v>
      </c>
    </row>
    <row r="1027" ht="12.75" customHeight="1">
      <c r="A1027" s="1">
        <v>0.0</v>
      </c>
      <c r="B1027" s="2">
        <v>562456.0</v>
      </c>
      <c r="C1027" s="1" t="s">
        <v>2174</v>
      </c>
      <c r="D1027" s="1" t="s">
        <v>2175</v>
      </c>
      <c r="E1027" s="3">
        <v>1.0</v>
      </c>
      <c r="F1027" s="3">
        <v>0.0</v>
      </c>
    </row>
    <row r="1028" ht="12.75" customHeight="1">
      <c r="A1028" s="1">
        <v>0.0</v>
      </c>
      <c r="B1028" s="2">
        <v>562465.0</v>
      </c>
      <c r="C1028" s="1" t="s">
        <v>4787</v>
      </c>
      <c r="D1028" s="1" t="s">
        <v>4788</v>
      </c>
      <c r="E1028" s="3">
        <v>1.0</v>
      </c>
      <c r="F1028" s="3">
        <v>0.0</v>
      </c>
    </row>
    <row r="1029" ht="12.75" customHeight="1">
      <c r="A1029" s="1">
        <v>0.0</v>
      </c>
      <c r="B1029" s="2">
        <v>562475.0</v>
      </c>
      <c r="C1029" s="1" t="s">
        <v>4789</v>
      </c>
      <c r="D1029" s="1" t="s">
        <v>4790</v>
      </c>
      <c r="E1029" s="3">
        <v>1.0</v>
      </c>
      <c r="F1029" s="3">
        <v>0.0</v>
      </c>
    </row>
    <row r="1030" ht="12.75" customHeight="1">
      <c r="A1030" s="1">
        <v>0.0</v>
      </c>
      <c r="B1030" s="2">
        <v>562486.0</v>
      </c>
      <c r="C1030" s="1" t="s">
        <v>2459</v>
      </c>
      <c r="D1030" s="1" t="s">
        <v>2460</v>
      </c>
      <c r="E1030" s="3">
        <v>1.0</v>
      </c>
      <c r="F1030" s="3">
        <v>0.0</v>
      </c>
    </row>
    <row r="1031" ht="12.75" customHeight="1">
      <c r="A1031" s="1">
        <v>0.0</v>
      </c>
      <c r="B1031" s="2" t="s">
        <v>2701</v>
      </c>
      <c r="C1031" s="1" t="s">
        <v>21</v>
      </c>
      <c r="D1031" s="1" t="s">
        <v>2702</v>
      </c>
      <c r="E1031" s="3">
        <v>1.0</v>
      </c>
      <c r="F1031" s="3">
        <v>0.0</v>
      </c>
    </row>
    <row r="1032" ht="12.75" customHeight="1">
      <c r="A1032" s="1">
        <v>0.0</v>
      </c>
      <c r="B1032" s="2">
        <v>562519.0</v>
      </c>
      <c r="C1032" s="1" t="s">
        <v>2425</v>
      </c>
      <c r="D1032" s="1" t="s">
        <v>2426</v>
      </c>
      <c r="E1032" s="3">
        <v>1.0</v>
      </c>
      <c r="F1032" s="3">
        <v>0.0</v>
      </c>
    </row>
    <row r="1033" ht="12.75" customHeight="1">
      <c r="A1033" s="1">
        <v>0.0</v>
      </c>
      <c r="B1033" s="2">
        <v>562567.0</v>
      </c>
      <c r="C1033" s="1" t="s">
        <v>3863</v>
      </c>
      <c r="D1033" s="1" t="s">
        <v>3864</v>
      </c>
      <c r="E1033" s="3">
        <v>1.0</v>
      </c>
      <c r="F1033" s="3">
        <v>0.0</v>
      </c>
    </row>
    <row r="1034" ht="12.75" customHeight="1">
      <c r="A1034" s="1">
        <v>0.0</v>
      </c>
      <c r="B1034" s="2" t="s">
        <v>2302</v>
      </c>
      <c r="C1034" s="1" t="s">
        <v>2303</v>
      </c>
      <c r="D1034" s="1" t="s">
        <v>2304</v>
      </c>
      <c r="E1034" s="3">
        <v>1.0</v>
      </c>
      <c r="F1034" s="3">
        <v>0.0</v>
      </c>
    </row>
    <row r="1035" ht="12.75" customHeight="1">
      <c r="A1035" s="1">
        <v>0.0</v>
      </c>
      <c r="B1035" s="2" t="s">
        <v>1723</v>
      </c>
      <c r="C1035" s="1" t="s">
        <v>1724</v>
      </c>
      <c r="D1035" s="1" t="s">
        <v>650</v>
      </c>
      <c r="E1035" s="3">
        <v>1.0</v>
      </c>
      <c r="F1035" s="3">
        <v>0.0</v>
      </c>
    </row>
    <row r="1036" ht="12.75" customHeight="1">
      <c r="A1036" s="1">
        <v>0.0</v>
      </c>
      <c r="B1036" s="2" t="s">
        <v>2966</v>
      </c>
      <c r="C1036" s="1" t="s">
        <v>2967</v>
      </c>
      <c r="D1036" s="1" t="s">
        <v>1114</v>
      </c>
      <c r="E1036" s="3">
        <v>1.0</v>
      </c>
      <c r="F1036" s="3">
        <v>0.0</v>
      </c>
    </row>
    <row r="1037" ht="12.75" customHeight="1">
      <c r="A1037" s="1">
        <v>0.0</v>
      </c>
      <c r="B1037" s="2">
        <v>562646.0</v>
      </c>
      <c r="C1037" s="1" t="s">
        <v>2838</v>
      </c>
      <c r="D1037" s="1" t="s">
        <v>2839</v>
      </c>
      <c r="E1037" s="3">
        <v>1.0</v>
      </c>
      <c r="F1037" s="3">
        <v>0.0</v>
      </c>
    </row>
    <row r="1038" ht="12.75" customHeight="1">
      <c r="A1038" s="1">
        <v>0.0</v>
      </c>
      <c r="B1038" s="2">
        <v>562647.0</v>
      </c>
      <c r="C1038" s="1" t="s">
        <v>1804</v>
      </c>
      <c r="D1038" s="1" t="s">
        <v>1805</v>
      </c>
      <c r="E1038" s="3">
        <v>1.0</v>
      </c>
      <c r="F1038" s="3">
        <v>0.0</v>
      </c>
    </row>
    <row r="1039" ht="12.75" customHeight="1">
      <c r="A1039" s="1">
        <v>0.0</v>
      </c>
      <c r="B1039" s="2">
        <v>562650.0</v>
      </c>
      <c r="C1039" s="1" t="s">
        <v>4791</v>
      </c>
      <c r="D1039" s="1" t="s">
        <v>4792</v>
      </c>
      <c r="E1039" s="3">
        <v>1.0</v>
      </c>
      <c r="F1039" s="3">
        <v>0.0</v>
      </c>
    </row>
    <row r="1040" ht="12.75" customHeight="1">
      <c r="A1040" s="1">
        <v>0.0</v>
      </c>
      <c r="B1040" s="2" t="s">
        <v>2113</v>
      </c>
      <c r="C1040" s="1" t="s">
        <v>2114</v>
      </c>
      <c r="D1040" s="1" t="s">
        <v>2115</v>
      </c>
      <c r="E1040" s="3">
        <v>1.0</v>
      </c>
      <c r="F1040" s="3">
        <v>0.0</v>
      </c>
    </row>
    <row r="1041" ht="12.75" customHeight="1">
      <c r="A1041" s="1">
        <v>0.0</v>
      </c>
      <c r="B1041" s="2" t="s">
        <v>3613</v>
      </c>
      <c r="C1041" s="1" t="s">
        <v>3614</v>
      </c>
      <c r="D1041" s="1" t="s">
        <v>3615</v>
      </c>
      <c r="E1041" s="3">
        <v>1.0</v>
      </c>
      <c r="F1041" s="3">
        <v>0.0</v>
      </c>
    </row>
    <row r="1042" ht="12.75" customHeight="1">
      <c r="A1042" s="1">
        <v>0.0</v>
      </c>
      <c r="B1042" s="2" t="s">
        <v>2600</v>
      </c>
      <c r="C1042" s="1" t="s">
        <v>2601</v>
      </c>
      <c r="D1042" s="1" t="s">
        <v>2602</v>
      </c>
      <c r="E1042" s="3">
        <v>1.0</v>
      </c>
      <c r="F1042" s="3">
        <v>0.0</v>
      </c>
    </row>
    <row r="1043" ht="12.75" customHeight="1">
      <c r="A1043" s="1">
        <v>0.0</v>
      </c>
      <c r="B1043" s="2" t="s">
        <v>2682</v>
      </c>
      <c r="C1043" s="1" t="s">
        <v>352</v>
      </c>
      <c r="D1043" s="1" t="s">
        <v>2683</v>
      </c>
      <c r="E1043" s="3">
        <v>1.0</v>
      </c>
      <c r="F1043" s="3">
        <v>0.0</v>
      </c>
    </row>
    <row r="1044" ht="12.75" customHeight="1">
      <c r="A1044" s="1">
        <v>0.0</v>
      </c>
      <c r="B1044" s="2" t="s">
        <v>4793</v>
      </c>
      <c r="C1044" s="1" t="s">
        <v>4794</v>
      </c>
      <c r="D1044" s="1" t="s">
        <v>4795</v>
      </c>
      <c r="E1044" s="3">
        <v>1.0</v>
      </c>
      <c r="F1044" s="3">
        <v>0.0</v>
      </c>
    </row>
    <row r="1045" ht="12.75" customHeight="1">
      <c r="A1045" s="1">
        <v>0.0</v>
      </c>
      <c r="B1045" s="2" t="s">
        <v>4011</v>
      </c>
      <c r="C1045" s="1" t="s">
        <v>4012</v>
      </c>
      <c r="D1045" s="1" t="s">
        <v>1353</v>
      </c>
      <c r="E1045" s="3">
        <v>1.0</v>
      </c>
      <c r="F1045" s="3">
        <v>0.0</v>
      </c>
    </row>
    <row r="1046" ht="12.75" customHeight="1">
      <c r="A1046" s="1">
        <v>0.0</v>
      </c>
      <c r="B1046" s="2" t="s">
        <v>1729</v>
      </c>
      <c r="C1046" s="1" t="s">
        <v>1730</v>
      </c>
      <c r="D1046" s="1" t="s">
        <v>653</v>
      </c>
      <c r="E1046" s="3">
        <v>1.0</v>
      </c>
      <c r="F1046" s="3">
        <v>0.0</v>
      </c>
    </row>
    <row r="1047" ht="12.75" customHeight="1">
      <c r="A1047" s="1">
        <v>0.0</v>
      </c>
      <c r="B1047" s="2">
        <v>562718.0</v>
      </c>
      <c r="C1047" s="1" t="s">
        <v>4796</v>
      </c>
      <c r="D1047" s="1" t="s">
        <v>4797</v>
      </c>
      <c r="E1047" s="3">
        <v>1.0</v>
      </c>
      <c r="F1047" s="3">
        <v>0.0</v>
      </c>
    </row>
    <row r="1048" ht="12.75" customHeight="1">
      <c r="A1048" s="1">
        <v>0.0</v>
      </c>
      <c r="B1048" s="2" t="s">
        <v>1652</v>
      </c>
      <c r="C1048" s="1" t="s">
        <v>627</v>
      </c>
      <c r="D1048" s="1">
        <v>215.0</v>
      </c>
      <c r="E1048" s="3">
        <v>1.0</v>
      </c>
      <c r="F1048" s="3">
        <v>0.0</v>
      </c>
    </row>
    <row r="1049" ht="12.75" customHeight="1">
      <c r="A1049" s="1">
        <v>0.0</v>
      </c>
      <c r="B1049" s="2" t="s">
        <v>4798</v>
      </c>
      <c r="C1049" s="1" t="s">
        <v>4799</v>
      </c>
      <c r="D1049" s="1" t="s">
        <v>4800</v>
      </c>
      <c r="E1049" s="3">
        <v>1.0</v>
      </c>
      <c r="F1049" s="3">
        <v>0.0</v>
      </c>
    </row>
    <row r="1050" ht="12.75" customHeight="1">
      <c r="A1050" s="1">
        <v>0.0</v>
      </c>
      <c r="B1050" s="2">
        <v>562745.0</v>
      </c>
      <c r="C1050" s="1" t="s">
        <v>3865</v>
      </c>
      <c r="D1050" s="1" t="s">
        <v>3866</v>
      </c>
      <c r="E1050" s="3">
        <v>1.0</v>
      </c>
      <c r="F1050" s="3">
        <v>0.0</v>
      </c>
    </row>
    <row r="1051" ht="12.75" customHeight="1">
      <c r="A1051" s="1">
        <v>0.0</v>
      </c>
      <c r="B1051" s="2" t="s">
        <v>3265</v>
      </c>
      <c r="C1051" s="1" t="s">
        <v>3266</v>
      </c>
      <c r="D1051" s="1" t="s">
        <v>3256</v>
      </c>
      <c r="E1051" s="3">
        <v>1.0</v>
      </c>
      <c r="F1051" s="3">
        <v>0.0</v>
      </c>
    </row>
    <row r="1052" ht="12.75" customHeight="1">
      <c r="A1052" s="1">
        <v>0.0</v>
      </c>
      <c r="B1052" s="2" t="s">
        <v>4801</v>
      </c>
      <c r="C1052" s="1" t="s">
        <v>4802</v>
      </c>
      <c r="D1052" s="1" t="s">
        <v>4803</v>
      </c>
      <c r="E1052" s="3">
        <v>1.0</v>
      </c>
      <c r="F1052" s="3">
        <v>0.0</v>
      </c>
    </row>
    <row r="1053" ht="12.75" customHeight="1">
      <c r="A1053" s="1">
        <v>0.0</v>
      </c>
      <c r="B1053" s="2">
        <v>562781.0</v>
      </c>
      <c r="C1053" s="1" t="s">
        <v>997</v>
      </c>
      <c r="D1053" s="1" t="s">
        <v>4804</v>
      </c>
      <c r="E1053" s="3">
        <v>1.0</v>
      </c>
      <c r="F1053" s="3">
        <v>0.0</v>
      </c>
    </row>
    <row r="1054" ht="12.75" customHeight="1">
      <c r="A1054" s="1">
        <v>0.0</v>
      </c>
      <c r="B1054" s="2" t="s">
        <v>4805</v>
      </c>
      <c r="C1054" s="1" t="s">
        <v>4806</v>
      </c>
      <c r="D1054" s="1" t="s">
        <v>3668</v>
      </c>
      <c r="E1054" s="3">
        <v>1.0</v>
      </c>
      <c r="F1054" s="3">
        <v>0.0</v>
      </c>
    </row>
    <row r="1055" ht="12.75" customHeight="1">
      <c r="A1055" s="1">
        <v>0.0</v>
      </c>
      <c r="B1055" s="2" t="s">
        <v>4807</v>
      </c>
      <c r="C1055" s="1" t="s">
        <v>4749</v>
      </c>
      <c r="D1055" s="1">
        <v>339.0</v>
      </c>
      <c r="E1055" s="3">
        <v>1.0</v>
      </c>
      <c r="F1055" s="3">
        <v>0.0</v>
      </c>
    </row>
    <row r="1056" ht="12.75" customHeight="1">
      <c r="A1056" s="1">
        <v>0.0</v>
      </c>
      <c r="B1056" s="2" t="s">
        <v>3489</v>
      </c>
      <c r="C1056" s="1" t="s">
        <v>3490</v>
      </c>
      <c r="D1056" s="1" t="s">
        <v>3491</v>
      </c>
      <c r="E1056" s="3">
        <v>1.0</v>
      </c>
      <c r="F1056" s="3">
        <v>0.0</v>
      </c>
    </row>
    <row r="1057" ht="12.75" customHeight="1">
      <c r="A1057" s="1">
        <v>0.0</v>
      </c>
      <c r="B1057" s="2" t="s">
        <v>2736</v>
      </c>
      <c r="C1057" s="1" t="s">
        <v>2737</v>
      </c>
      <c r="D1057" s="1" t="s">
        <v>2738</v>
      </c>
      <c r="E1057" s="3">
        <v>1.0</v>
      </c>
      <c r="F1057" s="3">
        <v>0.0</v>
      </c>
    </row>
    <row r="1058" ht="12.75" customHeight="1">
      <c r="A1058" s="1">
        <v>0.0</v>
      </c>
      <c r="B1058" s="2" t="s">
        <v>1769</v>
      </c>
      <c r="C1058" s="1" t="s">
        <v>1770</v>
      </c>
      <c r="D1058" s="1" t="s">
        <v>1771</v>
      </c>
      <c r="E1058" s="3">
        <v>1.0</v>
      </c>
      <c r="F1058" s="3">
        <v>0.0</v>
      </c>
    </row>
    <row r="1059" ht="12.75" customHeight="1">
      <c r="A1059" s="1">
        <v>0.0</v>
      </c>
      <c r="B1059" s="2" t="s">
        <v>2791</v>
      </c>
      <c r="C1059" s="1" t="s">
        <v>2792</v>
      </c>
      <c r="D1059" s="1" t="s">
        <v>2793</v>
      </c>
      <c r="E1059" s="3">
        <v>1.0</v>
      </c>
      <c r="F1059" s="3">
        <v>0.0</v>
      </c>
    </row>
    <row r="1060" ht="12.75" customHeight="1">
      <c r="A1060" s="1">
        <v>0.0</v>
      </c>
      <c r="B1060" s="2" t="s">
        <v>2730</v>
      </c>
      <c r="C1060" s="1" t="s">
        <v>2731</v>
      </c>
      <c r="D1060" s="1" t="s">
        <v>2732</v>
      </c>
      <c r="E1060" s="3">
        <v>1.0</v>
      </c>
      <c r="F1060" s="3">
        <v>0.0</v>
      </c>
    </row>
    <row r="1061" ht="12.75" customHeight="1">
      <c r="A1061" s="1">
        <v>0.0</v>
      </c>
      <c r="B1061" s="2" t="s">
        <v>4041</v>
      </c>
      <c r="C1061" s="1" t="s">
        <v>4042</v>
      </c>
      <c r="D1061" s="1" t="s">
        <v>4043</v>
      </c>
      <c r="E1061" s="3">
        <v>1.0</v>
      </c>
      <c r="F1061" s="3">
        <v>0.0</v>
      </c>
    </row>
    <row r="1062" ht="12.75" customHeight="1">
      <c r="A1062" s="1">
        <v>0.0</v>
      </c>
      <c r="B1062" s="2" t="s">
        <v>4808</v>
      </c>
      <c r="C1062" s="1" t="s">
        <v>4809</v>
      </c>
      <c r="D1062" s="1" t="s">
        <v>3256</v>
      </c>
      <c r="E1062" s="3">
        <v>1.0</v>
      </c>
      <c r="F1062" s="3">
        <v>0.0</v>
      </c>
    </row>
    <row r="1063" ht="12.75" customHeight="1">
      <c r="A1063" s="1">
        <v>0.0</v>
      </c>
      <c r="B1063" s="2" t="s">
        <v>3744</v>
      </c>
      <c r="C1063" s="1" t="s">
        <v>3745</v>
      </c>
      <c r="D1063" s="1" t="s">
        <v>3746</v>
      </c>
      <c r="E1063" s="3">
        <v>1.0</v>
      </c>
      <c r="F1063" s="3">
        <v>0.0</v>
      </c>
    </row>
    <row r="1064" ht="12.75" customHeight="1">
      <c r="A1064" s="1">
        <v>0.0</v>
      </c>
      <c r="B1064" s="2" t="s">
        <v>3362</v>
      </c>
      <c r="C1064" s="1" t="s">
        <v>3363</v>
      </c>
      <c r="D1064" s="1" t="s">
        <v>3364</v>
      </c>
      <c r="E1064" s="3">
        <v>1.0</v>
      </c>
      <c r="F1064" s="3">
        <v>0.0</v>
      </c>
    </row>
    <row r="1065" ht="12.75" customHeight="1">
      <c r="A1065" s="1">
        <v>0.0</v>
      </c>
      <c r="B1065" s="2">
        <v>562802.0</v>
      </c>
      <c r="C1065" s="1" t="s">
        <v>2840</v>
      </c>
      <c r="D1065" s="1" t="s">
        <v>2841</v>
      </c>
      <c r="E1065" s="3">
        <v>1.0</v>
      </c>
      <c r="F1065" s="3">
        <v>0.0</v>
      </c>
    </row>
    <row r="1066" ht="12.75" customHeight="1">
      <c r="A1066" s="1">
        <v>0.0</v>
      </c>
      <c r="B1066" s="2">
        <v>562804.0</v>
      </c>
      <c r="C1066" s="1" t="s">
        <v>1710</v>
      </c>
      <c r="D1066" s="1" t="s">
        <v>1711</v>
      </c>
      <c r="E1066" s="3">
        <v>1.0</v>
      </c>
      <c r="F1066" s="3">
        <v>0.0</v>
      </c>
    </row>
    <row r="1067" ht="12.75" customHeight="1">
      <c r="A1067" s="1">
        <v>0.0</v>
      </c>
      <c r="B1067" s="2" t="s">
        <v>4810</v>
      </c>
      <c r="C1067" s="1" t="s">
        <v>4811</v>
      </c>
      <c r="D1067" s="1" t="s">
        <v>3256</v>
      </c>
      <c r="E1067" s="3">
        <v>1.0</v>
      </c>
      <c r="F1067" s="3">
        <v>0.0</v>
      </c>
    </row>
    <row r="1068" ht="12.75" customHeight="1">
      <c r="A1068" s="1">
        <v>0.0</v>
      </c>
      <c r="B1068" s="2" t="s">
        <v>2317</v>
      </c>
      <c r="C1068" s="1" t="s">
        <v>2318</v>
      </c>
      <c r="D1068" s="1" t="s">
        <v>854</v>
      </c>
      <c r="E1068" s="3">
        <v>1.0</v>
      </c>
      <c r="F1068" s="3">
        <v>0.0</v>
      </c>
    </row>
    <row r="1069" ht="12.75" customHeight="1">
      <c r="A1069" s="1">
        <v>0.0</v>
      </c>
      <c r="B1069" s="2">
        <v>562826.0</v>
      </c>
      <c r="C1069" s="1" t="s">
        <v>2545</v>
      </c>
      <c r="D1069" s="1" t="s">
        <v>2546</v>
      </c>
      <c r="E1069" s="3">
        <v>1.0</v>
      </c>
      <c r="F1069" s="3">
        <v>0.0</v>
      </c>
    </row>
    <row r="1070" ht="12.75" customHeight="1">
      <c r="A1070" s="1">
        <v>0.0</v>
      </c>
      <c r="B1070" s="2">
        <v>562828.0</v>
      </c>
      <c r="C1070" s="1" t="s">
        <v>2188</v>
      </c>
      <c r="D1070" s="1" t="s">
        <v>805</v>
      </c>
      <c r="E1070" s="3">
        <v>1.0</v>
      </c>
      <c r="F1070" s="3">
        <v>0.0</v>
      </c>
    </row>
    <row r="1071" ht="12.75" customHeight="1">
      <c r="A1071" s="1">
        <v>0.0</v>
      </c>
      <c r="B1071" s="2">
        <v>562852.0</v>
      </c>
      <c r="C1071" s="1" t="s">
        <v>2311</v>
      </c>
      <c r="D1071" s="1" t="s">
        <v>854</v>
      </c>
      <c r="E1071" s="3">
        <v>1.0</v>
      </c>
      <c r="F1071" s="3">
        <v>0.0</v>
      </c>
    </row>
    <row r="1072" ht="12.75" customHeight="1">
      <c r="A1072" s="1">
        <v>0.0</v>
      </c>
      <c r="B1072" s="2">
        <v>562884.0</v>
      </c>
      <c r="C1072" s="1" t="s">
        <v>1062</v>
      </c>
      <c r="D1072" s="1" t="s">
        <v>1063</v>
      </c>
      <c r="E1072" s="3">
        <v>1.0</v>
      </c>
      <c r="F1072" s="3">
        <v>0.0</v>
      </c>
    </row>
    <row r="1073" ht="12.75" customHeight="1">
      <c r="A1073" s="1">
        <v>0.0</v>
      </c>
      <c r="B1073" s="2" t="s">
        <v>3159</v>
      </c>
      <c r="C1073" s="1" t="s">
        <v>3160</v>
      </c>
      <c r="D1073" s="1" t="s">
        <v>3161</v>
      </c>
      <c r="E1073" s="3">
        <v>1.0</v>
      </c>
      <c r="F1073" s="3">
        <v>0.0</v>
      </c>
    </row>
    <row r="1074" ht="12.75" customHeight="1">
      <c r="A1074" s="1">
        <v>0.0</v>
      </c>
      <c r="B1074" s="2" t="s">
        <v>3399</v>
      </c>
      <c r="C1074" s="1" t="s">
        <v>3400</v>
      </c>
      <c r="D1074" s="1" t="s">
        <v>3401</v>
      </c>
      <c r="E1074" s="3">
        <v>1.0</v>
      </c>
      <c r="F1074" s="3">
        <v>0.0</v>
      </c>
    </row>
    <row r="1075" ht="12.75" customHeight="1">
      <c r="A1075" s="1">
        <v>0.0</v>
      </c>
      <c r="B1075" s="2" t="s">
        <v>4812</v>
      </c>
      <c r="C1075" s="1" t="s">
        <v>4813</v>
      </c>
      <c r="D1075" s="1" t="s">
        <v>4814</v>
      </c>
      <c r="E1075" s="3">
        <v>1.0</v>
      </c>
      <c r="F1075" s="3">
        <v>0.0</v>
      </c>
    </row>
    <row r="1076" ht="12.75" customHeight="1">
      <c r="A1076" s="1">
        <v>0.0</v>
      </c>
      <c r="B1076" s="2" t="s">
        <v>4815</v>
      </c>
      <c r="C1076" s="1" t="s">
        <v>4816</v>
      </c>
      <c r="D1076" s="1" t="s">
        <v>4694</v>
      </c>
      <c r="E1076" s="3">
        <v>1.0</v>
      </c>
      <c r="F1076" s="3">
        <v>0.0</v>
      </c>
    </row>
    <row r="1077" ht="12.75" customHeight="1">
      <c r="A1077" s="1">
        <v>0.0</v>
      </c>
      <c r="B1077" s="2" t="s">
        <v>2319</v>
      </c>
      <c r="C1077" s="1" t="s">
        <v>2320</v>
      </c>
      <c r="D1077" s="1" t="s">
        <v>854</v>
      </c>
      <c r="E1077" s="3">
        <v>1.0</v>
      </c>
      <c r="F1077" s="3">
        <v>0.0</v>
      </c>
    </row>
    <row r="1078" ht="12.75" customHeight="1">
      <c r="A1078" s="1">
        <v>0.0</v>
      </c>
      <c r="B1078" s="2" t="s">
        <v>1718</v>
      </c>
      <c r="C1078" s="1" t="s">
        <v>1719</v>
      </c>
      <c r="D1078" s="1" t="s">
        <v>1720</v>
      </c>
      <c r="E1078" s="3">
        <v>1.0</v>
      </c>
      <c r="F1078" s="3">
        <v>0.0</v>
      </c>
    </row>
    <row r="1079" ht="12.75" customHeight="1">
      <c r="A1079" s="1">
        <v>0.0</v>
      </c>
      <c r="B1079" s="2" t="s">
        <v>3827</v>
      </c>
      <c r="C1079" s="1" t="s">
        <v>302</v>
      </c>
      <c r="D1079" s="1" t="s">
        <v>216</v>
      </c>
      <c r="E1079" s="3">
        <v>1.0</v>
      </c>
      <c r="F1079" s="3">
        <v>0.0</v>
      </c>
    </row>
    <row r="1080" ht="12.75" customHeight="1">
      <c r="A1080" s="1">
        <v>0.0</v>
      </c>
      <c r="B1080" s="2" t="s">
        <v>1725</v>
      </c>
      <c r="C1080" s="1" t="s">
        <v>1726</v>
      </c>
      <c r="D1080" s="1" t="s">
        <v>650</v>
      </c>
      <c r="E1080" s="3">
        <v>1.0</v>
      </c>
      <c r="F1080" s="3">
        <v>0.0</v>
      </c>
    </row>
    <row r="1081" ht="12.75" customHeight="1">
      <c r="A1081" s="1">
        <v>0.0</v>
      </c>
      <c r="B1081" s="2" t="s">
        <v>3619</v>
      </c>
      <c r="C1081" s="1" t="s">
        <v>3620</v>
      </c>
      <c r="D1081" s="1" t="s">
        <v>3621</v>
      </c>
      <c r="E1081" s="3">
        <v>1.0</v>
      </c>
      <c r="F1081" s="3">
        <v>0.0</v>
      </c>
    </row>
    <row r="1082" ht="12.75" customHeight="1">
      <c r="A1082" s="1">
        <v>0.0</v>
      </c>
      <c r="B1082" s="2" t="s">
        <v>4817</v>
      </c>
      <c r="C1082" s="1" t="s">
        <v>4818</v>
      </c>
      <c r="D1082" s="1" t="s">
        <v>4819</v>
      </c>
      <c r="E1082" s="3">
        <v>1.0</v>
      </c>
      <c r="F1082" s="3">
        <v>0.0</v>
      </c>
    </row>
    <row r="1083" ht="12.75" customHeight="1">
      <c r="A1083" s="1">
        <v>0.0</v>
      </c>
      <c r="B1083" s="2" t="s">
        <v>2321</v>
      </c>
      <c r="C1083" s="1" t="s">
        <v>2322</v>
      </c>
      <c r="D1083" s="1" t="s">
        <v>854</v>
      </c>
      <c r="E1083" s="3">
        <v>1.0</v>
      </c>
      <c r="F1083" s="3">
        <v>0.0</v>
      </c>
    </row>
    <row r="1084" ht="12.75" customHeight="1">
      <c r="A1084" s="1">
        <v>0.0</v>
      </c>
      <c r="B1084" s="2" t="s">
        <v>2621</v>
      </c>
      <c r="C1084" s="1" t="s">
        <v>2622</v>
      </c>
      <c r="D1084" s="1" t="s">
        <v>2623</v>
      </c>
      <c r="E1084" s="3">
        <v>1.0</v>
      </c>
      <c r="F1084" s="3">
        <v>0.0</v>
      </c>
    </row>
    <row r="1085" ht="12.75" customHeight="1">
      <c r="A1085" s="1">
        <v>0.0</v>
      </c>
      <c r="B1085" s="2">
        <v>562913.0</v>
      </c>
      <c r="C1085" s="1" t="s">
        <v>2842</v>
      </c>
      <c r="D1085" s="1" t="s">
        <v>2843</v>
      </c>
      <c r="E1085" s="3">
        <v>1.0</v>
      </c>
      <c r="F1085" s="3">
        <v>0.0</v>
      </c>
    </row>
    <row r="1086" ht="12.75" customHeight="1">
      <c r="A1086" s="1">
        <v>0.0</v>
      </c>
      <c r="B1086" s="2">
        <v>562917.0</v>
      </c>
      <c r="C1086" s="1" t="s">
        <v>4820</v>
      </c>
      <c r="D1086" s="1" t="s">
        <v>854</v>
      </c>
      <c r="E1086" s="3">
        <v>1.0</v>
      </c>
      <c r="F1086" s="3">
        <v>0.0</v>
      </c>
    </row>
    <row r="1087" ht="12.75" customHeight="1">
      <c r="A1087" s="1">
        <v>0.0</v>
      </c>
      <c r="B1087" s="2">
        <v>562941.0</v>
      </c>
      <c r="C1087" s="1" t="s">
        <v>4821</v>
      </c>
      <c r="D1087" s="1" t="s">
        <v>4822</v>
      </c>
      <c r="E1087" s="3">
        <v>1.0</v>
      </c>
      <c r="F1087" s="3">
        <v>0.0</v>
      </c>
    </row>
    <row r="1088" ht="12.75" customHeight="1">
      <c r="A1088" s="1">
        <v>0.0</v>
      </c>
      <c r="B1088" s="2">
        <v>562950.0</v>
      </c>
      <c r="C1088" s="1" t="s">
        <v>2490</v>
      </c>
      <c r="D1088" s="1" t="s">
        <v>895</v>
      </c>
      <c r="E1088" s="3">
        <v>1.0</v>
      </c>
      <c r="F1088" s="3">
        <v>0.0</v>
      </c>
    </row>
    <row r="1089" ht="12.75" customHeight="1">
      <c r="A1089" s="1">
        <v>0.0</v>
      </c>
      <c r="B1089" s="2">
        <v>562981.0</v>
      </c>
      <c r="C1089" s="1" t="s">
        <v>2409</v>
      </c>
      <c r="D1089" s="1" t="s">
        <v>2410</v>
      </c>
      <c r="E1089" s="3">
        <v>1.0</v>
      </c>
      <c r="F1089" s="3">
        <v>0.0</v>
      </c>
    </row>
    <row r="1090" ht="12.75" customHeight="1">
      <c r="A1090" s="1">
        <v>0.0</v>
      </c>
      <c r="B1090" s="2" t="s">
        <v>2204</v>
      </c>
      <c r="C1090" s="1" t="s">
        <v>2205</v>
      </c>
      <c r="D1090" s="1" t="s">
        <v>811</v>
      </c>
      <c r="E1090" s="3">
        <v>1.0</v>
      </c>
      <c r="F1090" s="3">
        <v>0.0</v>
      </c>
    </row>
    <row r="1091" ht="12.75" customHeight="1">
      <c r="A1091" s="1">
        <v>0.0</v>
      </c>
      <c r="B1091" s="2" t="s">
        <v>2428</v>
      </c>
      <c r="C1091" s="1" t="s">
        <v>2429</v>
      </c>
      <c r="D1091" s="1" t="s">
        <v>492</v>
      </c>
      <c r="E1091" s="3">
        <v>1.0</v>
      </c>
      <c r="F1091" s="3">
        <v>0.0</v>
      </c>
    </row>
    <row r="1092" ht="12.75" customHeight="1">
      <c r="A1092" s="1">
        <v>0.0</v>
      </c>
      <c r="B1092" s="2" t="s">
        <v>4823</v>
      </c>
      <c r="C1092" s="1" t="s">
        <v>4824</v>
      </c>
      <c r="D1092" s="1" t="s">
        <v>854</v>
      </c>
      <c r="E1092" s="3">
        <v>1.0</v>
      </c>
      <c r="F1092" s="3">
        <v>0.0</v>
      </c>
    </row>
    <row r="1093" ht="12.75" customHeight="1">
      <c r="A1093" s="1">
        <v>0.0</v>
      </c>
      <c r="B1093" s="2" t="s">
        <v>4825</v>
      </c>
      <c r="C1093" s="1" t="s">
        <v>4826</v>
      </c>
      <c r="D1093" s="1" t="s">
        <v>854</v>
      </c>
      <c r="E1093" s="3">
        <v>1.0</v>
      </c>
      <c r="F1093" s="3">
        <v>0.0</v>
      </c>
    </row>
    <row r="1094" ht="12.75" customHeight="1">
      <c r="A1094" s="1">
        <v>0.0</v>
      </c>
      <c r="B1094" s="2" t="s">
        <v>1644</v>
      </c>
      <c r="C1094" s="1" t="s">
        <v>1645</v>
      </c>
      <c r="D1094" s="1">
        <v>10.0</v>
      </c>
      <c r="E1094" s="3">
        <v>1.0</v>
      </c>
      <c r="F1094" s="3">
        <v>0.0</v>
      </c>
    </row>
    <row r="1095" ht="12.75" customHeight="1">
      <c r="A1095" s="1">
        <v>0.0</v>
      </c>
      <c r="B1095" s="2" t="s">
        <v>4827</v>
      </c>
      <c r="C1095" s="1" t="s">
        <v>4828</v>
      </c>
      <c r="D1095" s="1" t="s">
        <v>2300</v>
      </c>
      <c r="E1095" s="3">
        <v>1.0</v>
      </c>
      <c r="F1095" s="3">
        <v>0.0</v>
      </c>
    </row>
    <row r="1096" ht="12.75" customHeight="1">
      <c r="A1096" s="1">
        <v>0.0</v>
      </c>
      <c r="B1096" s="2" t="s">
        <v>1731</v>
      </c>
      <c r="C1096" s="1" t="s">
        <v>1732</v>
      </c>
      <c r="D1096" s="1" t="s">
        <v>1733</v>
      </c>
      <c r="E1096" s="3">
        <v>1.0</v>
      </c>
      <c r="F1096" s="3">
        <v>0.0</v>
      </c>
    </row>
    <row r="1097" ht="12.75" customHeight="1">
      <c r="A1097" s="1">
        <v>0.0</v>
      </c>
      <c r="B1097" s="2" t="s">
        <v>1698</v>
      </c>
      <c r="C1097" s="1" t="s">
        <v>1699</v>
      </c>
      <c r="D1097" s="1" t="s">
        <v>1700</v>
      </c>
      <c r="E1097" s="3">
        <v>1.0</v>
      </c>
      <c r="F1097" s="3">
        <v>0.0</v>
      </c>
    </row>
    <row r="1098" ht="12.75" customHeight="1">
      <c r="A1098" s="1">
        <v>0.0</v>
      </c>
      <c r="B1098" s="2" t="s">
        <v>4829</v>
      </c>
      <c r="C1098" s="1" t="s">
        <v>4749</v>
      </c>
      <c r="D1098" s="1">
        <v>367.0</v>
      </c>
      <c r="E1098" s="3">
        <v>1.0</v>
      </c>
      <c r="F1098" s="3">
        <v>0.0</v>
      </c>
    </row>
    <row r="1099" ht="12.75" customHeight="1">
      <c r="A1099" s="1">
        <v>0.0</v>
      </c>
      <c r="B1099" s="2" t="s">
        <v>3822</v>
      </c>
      <c r="C1099" s="1" t="s">
        <v>1319</v>
      </c>
      <c r="D1099" s="1" t="s">
        <v>3823</v>
      </c>
      <c r="E1099" s="3">
        <v>1.0</v>
      </c>
      <c r="F1099" s="3">
        <v>0.0</v>
      </c>
    </row>
    <row r="1100" ht="12.75" customHeight="1">
      <c r="A1100" s="1">
        <v>0.0</v>
      </c>
      <c r="B1100" s="2" t="s">
        <v>3128</v>
      </c>
      <c r="C1100" s="1" t="s">
        <v>3129</v>
      </c>
      <c r="D1100" s="1" t="s">
        <v>3130</v>
      </c>
      <c r="E1100" s="3">
        <v>1.0</v>
      </c>
      <c r="F1100" s="3">
        <v>0.0</v>
      </c>
    </row>
    <row r="1101" ht="12.75" customHeight="1">
      <c r="A1101" s="1">
        <v>0.0</v>
      </c>
      <c r="B1101" s="2" t="s">
        <v>4061</v>
      </c>
      <c r="C1101" s="1" t="s">
        <v>4062</v>
      </c>
      <c r="D1101" s="1" t="s">
        <v>4063</v>
      </c>
      <c r="E1101" s="3">
        <v>1.0</v>
      </c>
      <c r="F1101" s="3">
        <v>0.0</v>
      </c>
    </row>
    <row r="1102" ht="12.75" customHeight="1">
      <c r="A1102" s="1">
        <v>0.0</v>
      </c>
      <c r="B1102" s="2" t="s">
        <v>4830</v>
      </c>
      <c r="C1102" s="1" t="s">
        <v>4831</v>
      </c>
      <c r="D1102" s="1" t="s">
        <v>4832</v>
      </c>
      <c r="E1102" s="3">
        <v>1.0</v>
      </c>
      <c r="F1102" s="3">
        <v>0.0</v>
      </c>
    </row>
    <row r="1103" ht="12.75" customHeight="1">
      <c r="A1103" s="1">
        <v>0.0</v>
      </c>
      <c r="B1103" s="2" t="s">
        <v>4833</v>
      </c>
      <c r="C1103" s="1" t="s">
        <v>4834</v>
      </c>
      <c r="D1103" s="1" t="s">
        <v>4835</v>
      </c>
      <c r="E1103" s="3">
        <v>1.0</v>
      </c>
      <c r="F1103" s="3">
        <v>0.0</v>
      </c>
    </row>
    <row r="1104" ht="12.75" customHeight="1">
      <c r="A1104" s="1">
        <v>0.0</v>
      </c>
      <c r="B1104" s="2" t="s">
        <v>1665</v>
      </c>
      <c r="C1104" s="1" t="s">
        <v>1666</v>
      </c>
      <c r="D1104" s="1" t="s">
        <v>1667</v>
      </c>
      <c r="E1104" s="3">
        <v>1.0</v>
      </c>
      <c r="F1104" s="3">
        <v>0.0</v>
      </c>
    </row>
    <row r="1105" ht="12.75" customHeight="1">
      <c r="A1105" s="1">
        <v>0.0</v>
      </c>
      <c r="B1105" s="2" t="s">
        <v>3666</v>
      </c>
      <c r="C1105" s="1" t="s">
        <v>3667</v>
      </c>
      <c r="D1105" s="1" t="s">
        <v>3668</v>
      </c>
      <c r="E1105" s="3">
        <v>1.0</v>
      </c>
      <c r="F1105" s="3">
        <v>0.0</v>
      </c>
    </row>
    <row r="1106" ht="12.75" customHeight="1">
      <c r="A1106" s="1">
        <v>0.0</v>
      </c>
      <c r="B1106" s="2" t="s">
        <v>3764</v>
      </c>
      <c r="C1106" s="1" t="s">
        <v>3765</v>
      </c>
      <c r="D1106" s="1" t="s">
        <v>3766</v>
      </c>
      <c r="E1106" s="3">
        <v>1.0</v>
      </c>
      <c r="F1106" s="3">
        <v>0.0</v>
      </c>
    </row>
    <row r="1107" ht="12.75" customHeight="1">
      <c r="A1107" s="1">
        <v>0.0</v>
      </c>
      <c r="B1107" s="2" t="s">
        <v>3747</v>
      </c>
      <c r="C1107" s="1" t="s">
        <v>325</v>
      </c>
      <c r="D1107" s="1" t="s">
        <v>1296</v>
      </c>
      <c r="E1107" s="3">
        <v>1.0</v>
      </c>
      <c r="F1107" s="3">
        <v>0.0</v>
      </c>
    </row>
    <row r="1108" ht="12.75" customHeight="1">
      <c r="A1108" s="1">
        <v>0.0</v>
      </c>
      <c r="B1108" s="2" t="s">
        <v>3748</v>
      </c>
      <c r="C1108" s="1" t="s">
        <v>3749</v>
      </c>
      <c r="D1108" s="1" t="s">
        <v>1296</v>
      </c>
      <c r="E1108" s="3">
        <v>1.0</v>
      </c>
      <c r="F1108" s="3">
        <v>0.0</v>
      </c>
    </row>
    <row r="1109" ht="12.75" customHeight="1">
      <c r="A1109" s="1">
        <v>0.0</v>
      </c>
      <c r="B1109" s="2" t="s">
        <v>2607</v>
      </c>
      <c r="C1109" s="1" t="s">
        <v>2608</v>
      </c>
      <c r="D1109" s="1" t="s">
        <v>2609</v>
      </c>
      <c r="E1109" s="3">
        <v>1.0</v>
      </c>
      <c r="F1109" s="3">
        <v>0.0</v>
      </c>
    </row>
    <row r="1110" ht="12.75" customHeight="1">
      <c r="A1110" s="1">
        <v>0.0</v>
      </c>
      <c r="B1110" s="2" t="s">
        <v>1766</v>
      </c>
      <c r="C1110" s="1" t="s">
        <v>1767</v>
      </c>
      <c r="D1110" s="1" t="s">
        <v>1768</v>
      </c>
      <c r="E1110" s="3">
        <v>1.0</v>
      </c>
      <c r="F1110" s="3">
        <v>0.0</v>
      </c>
    </row>
    <row r="1111" ht="12.75" customHeight="1">
      <c r="A1111" s="1">
        <v>0.0</v>
      </c>
      <c r="B1111" s="2" t="s">
        <v>3750</v>
      </c>
      <c r="C1111" s="1" t="s">
        <v>3751</v>
      </c>
      <c r="D1111" s="1" t="s">
        <v>1296</v>
      </c>
      <c r="E1111" s="3">
        <v>1.0</v>
      </c>
      <c r="F1111" s="3">
        <v>0.0</v>
      </c>
    </row>
    <row r="1112" ht="12.75" customHeight="1">
      <c r="A1112" s="1">
        <v>0.0</v>
      </c>
      <c r="B1112" s="2" t="s">
        <v>3519</v>
      </c>
      <c r="C1112" s="1" t="s">
        <v>3520</v>
      </c>
      <c r="D1112" s="1" t="s">
        <v>916</v>
      </c>
      <c r="E1112" s="3">
        <v>1.0</v>
      </c>
      <c r="F1112" s="3">
        <v>0.0</v>
      </c>
    </row>
    <row r="1113" ht="12.75" customHeight="1">
      <c r="A1113" s="1">
        <v>0.0</v>
      </c>
      <c r="B1113" s="2" t="s">
        <v>1906</v>
      </c>
      <c r="C1113" s="1" t="s">
        <v>1907</v>
      </c>
      <c r="D1113" s="1" t="s">
        <v>718</v>
      </c>
      <c r="E1113" s="3">
        <v>1.0</v>
      </c>
      <c r="F1113" s="3">
        <v>0.0</v>
      </c>
    </row>
    <row r="1114" ht="12.75" customHeight="1">
      <c r="A1114" s="1">
        <v>0.0</v>
      </c>
      <c r="B1114" s="2">
        <v>563280.0</v>
      </c>
      <c r="C1114" s="1" t="s">
        <v>3150</v>
      </c>
      <c r="D1114" s="1" t="s">
        <v>3151</v>
      </c>
      <c r="E1114" s="3">
        <v>1.0</v>
      </c>
      <c r="F1114" s="3">
        <v>0.0</v>
      </c>
    </row>
    <row r="1115" ht="12.75" customHeight="1">
      <c r="A1115" s="1">
        <v>0.0</v>
      </c>
      <c r="B1115" s="2">
        <v>563289.0</v>
      </c>
      <c r="C1115" s="1" t="s">
        <v>3107</v>
      </c>
      <c r="D1115" s="1" t="s">
        <v>3108</v>
      </c>
      <c r="E1115" s="3">
        <v>1.0</v>
      </c>
      <c r="F1115" s="3">
        <v>0.0</v>
      </c>
    </row>
    <row r="1116" ht="12.75" customHeight="1">
      <c r="A1116" s="1">
        <v>0.0</v>
      </c>
      <c r="B1116" s="2" t="s">
        <v>3211</v>
      </c>
      <c r="C1116" s="1" t="s">
        <v>3212</v>
      </c>
      <c r="D1116" s="1" t="s">
        <v>3213</v>
      </c>
      <c r="E1116" s="3">
        <v>1.0</v>
      </c>
      <c r="F1116" s="3">
        <v>0.0</v>
      </c>
    </row>
    <row r="1117" ht="12.75" customHeight="1">
      <c r="A1117" s="1">
        <v>0.0</v>
      </c>
      <c r="B1117" s="2" t="s">
        <v>2323</v>
      </c>
      <c r="C1117" s="1" t="s">
        <v>2324</v>
      </c>
      <c r="D1117" s="1" t="s">
        <v>854</v>
      </c>
      <c r="E1117" s="3">
        <v>1.0</v>
      </c>
      <c r="F1117" s="3">
        <v>0.0</v>
      </c>
    </row>
    <row r="1118" ht="12.75" customHeight="1">
      <c r="A1118" s="1">
        <v>0.0</v>
      </c>
      <c r="B1118" s="2">
        <v>563307.0</v>
      </c>
      <c r="C1118" s="1" t="s">
        <v>3190</v>
      </c>
      <c r="D1118" s="1" t="s">
        <v>3191</v>
      </c>
      <c r="E1118" s="3">
        <v>1.0</v>
      </c>
      <c r="F1118" s="3">
        <v>0.0</v>
      </c>
    </row>
    <row r="1119" ht="12.75" customHeight="1">
      <c r="A1119" s="1">
        <v>0.0</v>
      </c>
      <c r="B1119" s="2">
        <v>563323.0</v>
      </c>
      <c r="C1119" s="1" t="s">
        <v>1956</v>
      </c>
      <c r="D1119" s="1" t="s">
        <v>1957</v>
      </c>
      <c r="E1119" s="3">
        <v>1.0</v>
      </c>
      <c r="F1119" s="3">
        <v>0.0</v>
      </c>
    </row>
    <row r="1120" ht="12.75" customHeight="1">
      <c r="A1120" s="1">
        <v>0.0</v>
      </c>
      <c r="B1120" s="2">
        <v>563326.0</v>
      </c>
      <c r="C1120" s="1" t="s">
        <v>1843</v>
      </c>
      <c r="D1120" s="1" t="s">
        <v>718</v>
      </c>
      <c r="E1120" s="3">
        <v>1.0</v>
      </c>
      <c r="F1120" s="3">
        <v>0.0</v>
      </c>
    </row>
    <row r="1121" ht="12.75" customHeight="1">
      <c r="A1121" s="1">
        <v>0.0</v>
      </c>
      <c r="B1121" s="2">
        <v>563327.0</v>
      </c>
      <c r="C1121" s="1" t="s">
        <v>2189</v>
      </c>
      <c r="D1121" s="1" t="s">
        <v>805</v>
      </c>
      <c r="E1121" s="3">
        <v>1.0</v>
      </c>
      <c r="F1121" s="3">
        <v>0.0</v>
      </c>
    </row>
    <row r="1122" ht="12.75" customHeight="1">
      <c r="A1122" s="1">
        <v>0.0</v>
      </c>
      <c r="B1122" s="2" t="s">
        <v>3959</v>
      </c>
      <c r="C1122" s="1" t="s">
        <v>3960</v>
      </c>
      <c r="D1122" s="1" t="s">
        <v>3961</v>
      </c>
      <c r="E1122" s="3">
        <v>1.0</v>
      </c>
      <c r="F1122" s="3">
        <v>0.0</v>
      </c>
    </row>
    <row r="1123" ht="12.75" customHeight="1">
      <c r="A1123" s="1">
        <v>0.0</v>
      </c>
      <c r="B1123" s="2" t="s">
        <v>1908</v>
      </c>
      <c r="C1123" s="1" t="s">
        <v>1909</v>
      </c>
      <c r="D1123" s="1" t="s">
        <v>718</v>
      </c>
      <c r="E1123" s="3">
        <v>1.0</v>
      </c>
      <c r="F1123" s="3">
        <v>0.0</v>
      </c>
    </row>
    <row r="1124" ht="12.75" customHeight="1">
      <c r="A1124" s="1">
        <v>0.0</v>
      </c>
      <c r="B1124" s="2" t="s">
        <v>3203</v>
      </c>
      <c r="C1124" s="1" t="s">
        <v>3204</v>
      </c>
      <c r="D1124" s="1" t="s">
        <v>3205</v>
      </c>
      <c r="E1124" s="3">
        <v>1.0</v>
      </c>
      <c r="F1124" s="3">
        <v>0.0</v>
      </c>
    </row>
    <row r="1125" ht="12.75" customHeight="1">
      <c r="A1125" s="1">
        <v>0.0</v>
      </c>
      <c r="B1125" s="2" t="s">
        <v>4836</v>
      </c>
      <c r="C1125" s="1" t="s">
        <v>4837</v>
      </c>
      <c r="D1125" s="1" t="s">
        <v>2625</v>
      </c>
      <c r="E1125" s="3">
        <v>1.0</v>
      </c>
      <c r="F1125" s="3">
        <v>0.0</v>
      </c>
    </row>
    <row r="1126" ht="12.75" customHeight="1">
      <c r="A1126" s="1">
        <v>0.0</v>
      </c>
      <c r="B1126" s="2" t="s">
        <v>2353</v>
      </c>
      <c r="C1126" s="1" t="s">
        <v>2354</v>
      </c>
      <c r="D1126" s="1" t="s">
        <v>2355</v>
      </c>
      <c r="E1126" s="3">
        <v>1.0</v>
      </c>
      <c r="F1126" s="3">
        <v>0.0</v>
      </c>
    </row>
    <row r="1127" ht="12.75" customHeight="1">
      <c r="A1127" s="1">
        <v>0.0</v>
      </c>
      <c r="B1127" s="2" t="s">
        <v>3430</v>
      </c>
      <c r="C1127" s="1" t="s">
        <v>3431</v>
      </c>
      <c r="D1127" s="1" t="s">
        <v>3432</v>
      </c>
      <c r="E1127" s="3">
        <v>1.0</v>
      </c>
      <c r="F1127" s="3">
        <v>0.0</v>
      </c>
    </row>
    <row r="1128" ht="12.75" customHeight="1">
      <c r="A1128" s="1">
        <v>0.0</v>
      </c>
      <c r="B1128" s="2" t="s">
        <v>3267</v>
      </c>
      <c r="C1128" s="1" t="s">
        <v>3268</v>
      </c>
      <c r="D1128" s="1" t="s">
        <v>3256</v>
      </c>
      <c r="E1128" s="3">
        <v>1.0</v>
      </c>
      <c r="F1128" s="3">
        <v>0.0</v>
      </c>
    </row>
    <row r="1129" ht="12.75" customHeight="1">
      <c r="A1129" s="1">
        <v>0.0</v>
      </c>
      <c r="B1129" s="2" t="s">
        <v>4838</v>
      </c>
      <c r="C1129" s="1" t="s">
        <v>4839</v>
      </c>
      <c r="D1129" s="1" t="s">
        <v>4840</v>
      </c>
      <c r="E1129" s="3">
        <v>1.0</v>
      </c>
      <c r="F1129" s="3">
        <v>0.0</v>
      </c>
    </row>
    <row r="1130" ht="12.75" customHeight="1">
      <c r="A1130" s="1">
        <v>0.0</v>
      </c>
      <c r="B1130" s="2" t="s">
        <v>2451</v>
      </c>
      <c r="C1130" s="1" t="s">
        <v>2452</v>
      </c>
      <c r="D1130" s="1" t="s">
        <v>2453</v>
      </c>
      <c r="E1130" s="3">
        <v>1.0</v>
      </c>
      <c r="F1130" s="3">
        <v>0.0</v>
      </c>
    </row>
    <row r="1131" ht="12.75" customHeight="1">
      <c r="A1131" s="1">
        <v>0.0</v>
      </c>
      <c r="B1131" s="2" t="s">
        <v>4841</v>
      </c>
      <c r="C1131" s="1" t="s">
        <v>4842</v>
      </c>
      <c r="D1131" s="1" t="s">
        <v>4843</v>
      </c>
      <c r="E1131" s="3">
        <v>1.0</v>
      </c>
      <c r="F1131" s="3">
        <v>0.0</v>
      </c>
    </row>
    <row r="1132" ht="12.75" customHeight="1">
      <c r="A1132" s="1">
        <v>0.0</v>
      </c>
      <c r="B1132" s="2" t="s">
        <v>3217</v>
      </c>
      <c r="C1132" s="1" t="s">
        <v>3218</v>
      </c>
      <c r="D1132" s="1" t="s">
        <v>3219</v>
      </c>
      <c r="E1132" s="3">
        <v>1.0</v>
      </c>
      <c r="F1132" s="3">
        <v>0.0</v>
      </c>
    </row>
    <row r="1133" ht="12.75" customHeight="1">
      <c r="A1133" s="1">
        <v>0.0</v>
      </c>
      <c r="B1133" s="2" t="s">
        <v>4844</v>
      </c>
      <c r="C1133" s="1" t="s">
        <v>4845</v>
      </c>
      <c r="D1133" s="1" t="s">
        <v>4846</v>
      </c>
      <c r="E1133" s="3">
        <v>1.0</v>
      </c>
      <c r="F1133" s="3">
        <v>0.0</v>
      </c>
    </row>
    <row r="1134" ht="12.75" customHeight="1">
      <c r="A1134" s="1">
        <v>0.0</v>
      </c>
      <c r="B1134" s="2" t="s">
        <v>3366</v>
      </c>
      <c r="C1134" s="1" t="s">
        <v>3367</v>
      </c>
      <c r="D1134" s="1" t="s">
        <v>3368</v>
      </c>
      <c r="E1134" s="3">
        <v>1.0</v>
      </c>
      <c r="F1134" s="3">
        <v>0.0</v>
      </c>
    </row>
    <row r="1135" ht="12.75" customHeight="1">
      <c r="A1135" s="1">
        <v>0.0</v>
      </c>
      <c r="B1135" s="2" t="s">
        <v>3464</v>
      </c>
      <c r="C1135" s="1" t="s">
        <v>3465</v>
      </c>
      <c r="D1135" s="1" t="s">
        <v>3466</v>
      </c>
      <c r="E1135" s="3">
        <v>1.0</v>
      </c>
      <c r="F1135" s="3">
        <v>0.0</v>
      </c>
    </row>
    <row r="1136" ht="12.75" customHeight="1">
      <c r="A1136" s="1">
        <v>0.0</v>
      </c>
      <c r="B1136" s="2" t="s">
        <v>3731</v>
      </c>
      <c r="C1136" s="1" t="s">
        <v>3732</v>
      </c>
      <c r="D1136" s="1" t="s">
        <v>3733</v>
      </c>
      <c r="E1136" s="3">
        <v>1.0</v>
      </c>
      <c r="F1136" s="3">
        <v>0.0</v>
      </c>
    </row>
    <row r="1137" ht="12.75" customHeight="1">
      <c r="A1137" s="1">
        <v>0.0</v>
      </c>
      <c r="B1137" s="2" t="s">
        <v>3269</v>
      </c>
      <c r="C1137" s="1" t="s">
        <v>3270</v>
      </c>
      <c r="D1137" s="1" t="s">
        <v>3256</v>
      </c>
      <c r="E1137" s="3">
        <v>1.0</v>
      </c>
      <c r="F1137" s="3">
        <v>0.0</v>
      </c>
    </row>
    <row r="1138" ht="12.75" customHeight="1">
      <c r="A1138" s="1">
        <v>0.0</v>
      </c>
      <c r="B1138" s="2" t="s">
        <v>2325</v>
      </c>
      <c r="C1138" s="1" t="s">
        <v>2326</v>
      </c>
      <c r="D1138" s="1" t="s">
        <v>854</v>
      </c>
      <c r="E1138" s="3">
        <v>1.0</v>
      </c>
      <c r="F1138" s="3">
        <v>0.0</v>
      </c>
    </row>
    <row r="1139" ht="12.75" customHeight="1">
      <c r="A1139" s="1">
        <v>0.0</v>
      </c>
      <c r="B1139" s="2" t="s">
        <v>4847</v>
      </c>
      <c r="C1139" s="1" t="s">
        <v>4848</v>
      </c>
      <c r="D1139" s="1" t="s">
        <v>3256</v>
      </c>
      <c r="E1139" s="3">
        <v>1.0</v>
      </c>
      <c r="F1139" s="3">
        <v>0.0</v>
      </c>
    </row>
    <row r="1140" ht="12.75" customHeight="1">
      <c r="A1140" s="1">
        <v>0.0</v>
      </c>
      <c r="B1140" s="2" t="s">
        <v>4849</v>
      </c>
      <c r="C1140" s="1" t="s">
        <v>4850</v>
      </c>
      <c r="D1140" s="1">
        <v>1.0</v>
      </c>
      <c r="E1140" s="3">
        <v>1.0</v>
      </c>
      <c r="F1140" s="3">
        <v>0.0</v>
      </c>
    </row>
    <row r="1141" ht="12.75" customHeight="1">
      <c r="A1141" s="1">
        <v>0.0</v>
      </c>
      <c r="B1141" s="2" t="s">
        <v>4851</v>
      </c>
      <c r="C1141" s="1" t="s">
        <v>4852</v>
      </c>
      <c r="D1141" s="1" t="s">
        <v>3256</v>
      </c>
      <c r="E1141" s="3">
        <v>1.0</v>
      </c>
      <c r="F1141" s="3">
        <v>0.0</v>
      </c>
    </row>
    <row r="1142" ht="12.75" customHeight="1">
      <c r="A1142" s="1">
        <v>0.0</v>
      </c>
      <c r="B1142" s="2" t="s">
        <v>2327</v>
      </c>
      <c r="C1142" s="1" t="s">
        <v>2277</v>
      </c>
      <c r="D1142" s="1" t="s">
        <v>854</v>
      </c>
      <c r="E1142" s="3">
        <v>1.0</v>
      </c>
      <c r="F1142" s="3">
        <v>0.0</v>
      </c>
    </row>
    <row r="1143" ht="12.75" customHeight="1">
      <c r="A1143" s="1">
        <v>0.0</v>
      </c>
      <c r="B1143" s="2" t="s">
        <v>3077</v>
      </c>
      <c r="C1143" s="1" t="s">
        <v>3078</v>
      </c>
      <c r="D1143" s="1" t="s">
        <v>3079</v>
      </c>
      <c r="E1143" s="3">
        <v>1.0</v>
      </c>
      <c r="F1143" s="3">
        <v>0.0</v>
      </c>
    </row>
    <row r="1144" ht="12.75" customHeight="1">
      <c r="A1144" s="1">
        <v>0.0</v>
      </c>
      <c r="B1144" s="2" t="s">
        <v>4853</v>
      </c>
      <c r="C1144" s="1" t="s">
        <v>4854</v>
      </c>
      <c r="D1144" s="1" t="s">
        <v>4752</v>
      </c>
      <c r="E1144" s="3">
        <v>1.0</v>
      </c>
      <c r="F1144" s="3">
        <v>0.0</v>
      </c>
    </row>
    <row r="1145" ht="12.75" customHeight="1">
      <c r="A1145" s="1">
        <v>0.0</v>
      </c>
      <c r="B1145" s="2" t="s">
        <v>4855</v>
      </c>
      <c r="C1145" s="1" t="s">
        <v>4856</v>
      </c>
      <c r="D1145" s="1" t="s">
        <v>4857</v>
      </c>
      <c r="E1145" s="3">
        <v>1.0</v>
      </c>
      <c r="F1145" s="3">
        <v>0.0</v>
      </c>
    </row>
    <row r="1146" ht="12.75" customHeight="1">
      <c r="A1146" s="1">
        <v>0.0</v>
      </c>
      <c r="B1146" s="2" t="s">
        <v>3355</v>
      </c>
      <c r="C1146" s="1" t="s">
        <v>3356</v>
      </c>
      <c r="D1146" s="1" t="s">
        <v>3357</v>
      </c>
      <c r="E1146" s="3">
        <v>1.0</v>
      </c>
      <c r="F1146" s="3">
        <v>0.0</v>
      </c>
    </row>
    <row r="1147" ht="12.75" customHeight="1">
      <c r="A1147" s="1">
        <v>0.0</v>
      </c>
      <c r="B1147" s="2" t="s">
        <v>3789</v>
      </c>
      <c r="C1147" s="1" t="s">
        <v>3790</v>
      </c>
      <c r="D1147" s="1" t="s">
        <v>3791</v>
      </c>
      <c r="E1147" s="3">
        <v>1.0</v>
      </c>
      <c r="F1147" s="3">
        <v>0.0</v>
      </c>
    </row>
    <row r="1148" ht="12.75" customHeight="1">
      <c r="A1148" s="1">
        <v>0.0</v>
      </c>
      <c r="B1148" s="2" t="s">
        <v>2328</v>
      </c>
      <c r="C1148" s="1" t="s">
        <v>2329</v>
      </c>
      <c r="D1148" s="1" t="s">
        <v>854</v>
      </c>
      <c r="E1148" s="3">
        <v>1.0</v>
      </c>
      <c r="F1148" s="3">
        <v>0.0</v>
      </c>
    </row>
    <row r="1149" ht="12.75" customHeight="1">
      <c r="A1149" s="1">
        <v>0.0</v>
      </c>
      <c r="B1149" s="2" t="s">
        <v>3271</v>
      </c>
      <c r="C1149" s="1" t="s">
        <v>3272</v>
      </c>
      <c r="D1149" s="1" t="s">
        <v>3256</v>
      </c>
      <c r="E1149" s="3">
        <v>1.0</v>
      </c>
      <c r="F1149" s="3">
        <v>0.0</v>
      </c>
    </row>
    <row r="1150" ht="12.75" customHeight="1">
      <c r="A1150" s="1">
        <v>0.0</v>
      </c>
      <c r="B1150" s="2" t="s">
        <v>2330</v>
      </c>
      <c r="C1150" s="1" t="s">
        <v>2331</v>
      </c>
      <c r="D1150" s="1" t="s">
        <v>854</v>
      </c>
      <c r="E1150" s="3">
        <v>1.0</v>
      </c>
      <c r="F1150" s="3">
        <v>0.0</v>
      </c>
    </row>
    <row r="1151" ht="12.75" customHeight="1">
      <c r="A1151" s="1">
        <v>0.0</v>
      </c>
      <c r="B1151" s="2" t="s">
        <v>4858</v>
      </c>
      <c r="C1151" s="1" t="s">
        <v>4859</v>
      </c>
      <c r="D1151" s="1" t="s">
        <v>4860</v>
      </c>
      <c r="E1151" s="3">
        <v>1.0</v>
      </c>
      <c r="F1151" s="3">
        <v>0.0</v>
      </c>
    </row>
    <row r="1152" ht="12.75" customHeight="1">
      <c r="A1152" s="1">
        <v>0.0</v>
      </c>
      <c r="B1152" s="2" t="s">
        <v>3347</v>
      </c>
      <c r="C1152" s="1" t="s">
        <v>3348</v>
      </c>
      <c r="D1152" s="1" t="s">
        <v>3349</v>
      </c>
      <c r="E1152" s="3">
        <v>1.0</v>
      </c>
      <c r="F1152" s="3">
        <v>0.0</v>
      </c>
    </row>
    <row r="1153" ht="12.75" customHeight="1">
      <c r="A1153" s="1">
        <v>0.0</v>
      </c>
      <c r="B1153" s="2" t="s">
        <v>3505</v>
      </c>
      <c r="C1153" s="1" t="s">
        <v>3506</v>
      </c>
      <c r="D1153" s="1" t="s">
        <v>3507</v>
      </c>
      <c r="E1153" s="3">
        <v>1.0</v>
      </c>
      <c r="F1153" s="3">
        <v>0.0</v>
      </c>
    </row>
    <row r="1154" ht="12.75" customHeight="1">
      <c r="A1154" s="1">
        <v>0.0</v>
      </c>
      <c r="B1154" s="2" t="s">
        <v>4861</v>
      </c>
      <c r="C1154" s="1" t="s">
        <v>4862</v>
      </c>
      <c r="D1154" s="1" t="s">
        <v>3256</v>
      </c>
      <c r="E1154" s="3">
        <v>1.0</v>
      </c>
      <c r="F1154" s="3">
        <v>0.0</v>
      </c>
    </row>
    <row r="1155" ht="12.75" customHeight="1">
      <c r="A1155" s="1">
        <v>0.0</v>
      </c>
      <c r="B1155" s="2" t="s">
        <v>4863</v>
      </c>
      <c r="C1155" s="1" t="s">
        <v>4864</v>
      </c>
      <c r="D1155" s="1" t="s">
        <v>3368</v>
      </c>
      <c r="E1155" s="3">
        <v>1.0</v>
      </c>
      <c r="F1155" s="3">
        <v>0.0</v>
      </c>
    </row>
    <row r="1156" ht="12.75" customHeight="1">
      <c r="A1156" s="1">
        <v>0.0</v>
      </c>
      <c r="B1156" s="2" t="s">
        <v>3273</v>
      </c>
      <c r="C1156" s="1" t="s">
        <v>3274</v>
      </c>
      <c r="D1156" s="1" t="s">
        <v>3256</v>
      </c>
      <c r="E1156" s="3">
        <v>1.0</v>
      </c>
      <c r="F1156" s="3">
        <v>0.0</v>
      </c>
    </row>
    <row r="1157" ht="12.75" customHeight="1">
      <c r="A1157" s="1">
        <v>0.0</v>
      </c>
      <c r="B1157" s="2" t="s">
        <v>4865</v>
      </c>
      <c r="C1157" s="1" t="s">
        <v>4866</v>
      </c>
      <c r="D1157" s="1" t="s">
        <v>4867</v>
      </c>
      <c r="E1157" s="3">
        <v>1.0</v>
      </c>
      <c r="F1157" s="3">
        <v>0.0</v>
      </c>
    </row>
    <row r="1158" ht="12.75" customHeight="1">
      <c r="A1158" s="1">
        <v>0.0</v>
      </c>
      <c r="B1158" s="2" t="s">
        <v>3622</v>
      </c>
      <c r="C1158" s="1" t="s">
        <v>3623</v>
      </c>
      <c r="D1158" s="1" t="s">
        <v>3621</v>
      </c>
      <c r="E1158" s="3">
        <v>1.0</v>
      </c>
      <c r="F1158" s="3">
        <v>0.0</v>
      </c>
    </row>
    <row r="1159" ht="12.75" customHeight="1">
      <c r="A1159" s="1">
        <v>0.0</v>
      </c>
      <c r="B1159" s="2" t="s">
        <v>3333</v>
      </c>
      <c r="C1159" s="1" t="s">
        <v>3334</v>
      </c>
      <c r="D1159" s="1" t="s">
        <v>3335</v>
      </c>
      <c r="E1159" s="3">
        <v>1.0</v>
      </c>
      <c r="F1159" s="3">
        <v>0.0</v>
      </c>
    </row>
    <row r="1160" ht="12.75" customHeight="1">
      <c r="A1160" s="1">
        <v>0.0</v>
      </c>
      <c r="B1160" s="2" t="s">
        <v>4868</v>
      </c>
      <c r="C1160" s="1" t="s">
        <v>4869</v>
      </c>
      <c r="D1160" s="1" t="s">
        <v>4800</v>
      </c>
      <c r="E1160" s="3">
        <v>1.0</v>
      </c>
      <c r="F1160" s="3">
        <v>0.0</v>
      </c>
    </row>
    <row r="1161" ht="12.75" customHeight="1">
      <c r="A1161" s="1">
        <v>0.0</v>
      </c>
      <c r="B1161" s="2" t="s">
        <v>2829</v>
      </c>
      <c r="C1161" s="1" t="s">
        <v>2830</v>
      </c>
      <c r="D1161" s="1" t="s">
        <v>2828</v>
      </c>
      <c r="E1161" s="3">
        <v>1.0</v>
      </c>
      <c r="F1161" s="3">
        <v>0.0</v>
      </c>
    </row>
    <row r="1162" ht="12.75" customHeight="1">
      <c r="A1162" s="1">
        <v>0.0</v>
      </c>
      <c r="B1162" s="2" t="s">
        <v>3462</v>
      </c>
      <c r="C1162" s="1" t="s">
        <v>3463</v>
      </c>
      <c r="D1162" s="1" t="s">
        <v>3461</v>
      </c>
      <c r="E1162" s="3">
        <v>1.0</v>
      </c>
      <c r="F1162" s="3">
        <v>0.0</v>
      </c>
    </row>
    <row r="1163" ht="12.75" customHeight="1">
      <c r="A1163" s="1">
        <v>0.0</v>
      </c>
      <c r="B1163" s="2" t="s">
        <v>3275</v>
      </c>
      <c r="C1163" s="1" t="s">
        <v>3276</v>
      </c>
      <c r="D1163" s="1" t="s">
        <v>3256</v>
      </c>
      <c r="E1163" s="3">
        <v>1.0</v>
      </c>
      <c r="F1163" s="3">
        <v>0.0</v>
      </c>
    </row>
    <row r="1164" ht="12.75" customHeight="1">
      <c r="A1164" s="1">
        <v>0.0</v>
      </c>
      <c r="B1164" s="2" t="s">
        <v>2831</v>
      </c>
      <c r="C1164" s="1" t="s">
        <v>2832</v>
      </c>
      <c r="D1164" s="1" t="s">
        <v>2828</v>
      </c>
      <c r="E1164" s="3">
        <v>1.0</v>
      </c>
      <c r="F1164" s="3">
        <v>0.0</v>
      </c>
    </row>
    <row r="1165" ht="12.75" customHeight="1">
      <c r="A1165" s="1">
        <v>0.0</v>
      </c>
      <c r="B1165" s="2" t="s">
        <v>4870</v>
      </c>
      <c r="C1165" s="1" t="s">
        <v>4871</v>
      </c>
      <c r="D1165" s="1" t="s">
        <v>4752</v>
      </c>
      <c r="E1165" s="3">
        <v>1.0</v>
      </c>
      <c r="F1165" s="3">
        <v>0.0</v>
      </c>
    </row>
    <row r="1166" ht="12.75" customHeight="1">
      <c r="A1166" s="1">
        <v>0.0</v>
      </c>
      <c r="B1166" s="2" t="s">
        <v>4872</v>
      </c>
      <c r="C1166" s="1" t="s">
        <v>4873</v>
      </c>
      <c r="D1166" s="1" t="s">
        <v>4874</v>
      </c>
      <c r="E1166" s="3">
        <v>1.0</v>
      </c>
      <c r="F1166" s="3">
        <v>0.0</v>
      </c>
    </row>
    <row r="1167" ht="12.75" customHeight="1">
      <c r="A1167" s="1">
        <v>0.0</v>
      </c>
      <c r="B1167" s="2" t="s">
        <v>2671</v>
      </c>
      <c r="C1167" s="1" t="s">
        <v>2672</v>
      </c>
      <c r="D1167" s="1" t="s">
        <v>2673</v>
      </c>
      <c r="E1167" s="3">
        <v>1.0</v>
      </c>
      <c r="F1167" s="3">
        <v>0.0</v>
      </c>
    </row>
    <row r="1168" ht="12.75" customHeight="1">
      <c r="A1168" s="1">
        <v>0.0</v>
      </c>
      <c r="B1168" s="2" t="s">
        <v>3436</v>
      </c>
      <c r="C1168" s="1" t="s">
        <v>3437</v>
      </c>
      <c r="D1168" s="1" t="s">
        <v>3438</v>
      </c>
      <c r="E1168" s="3">
        <v>1.0</v>
      </c>
      <c r="F1168" s="3">
        <v>0.0</v>
      </c>
    </row>
    <row r="1169" ht="12.75" customHeight="1">
      <c r="A1169" s="1">
        <v>0.0</v>
      </c>
      <c r="B1169" s="2" t="s">
        <v>1653</v>
      </c>
      <c r="C1169" s="1" t="s">
        <v>1654</v>
      </c>
      <c r="D1169" s="1">
        <v>278.0</v>
      </c>
      <c r="E1169" s="3">
        <v>1.0</v>
      </c>
      <c r="F1169" s="3">
        <v>0.0</v>
      </c>
    </row>
    <row r="1170" ht="12.75" customHeight="1">
      <c r="A1170" s="1">
        <v>0.0</v>
      </c>
      <c r="B1170" s="2" t="s">
        <v>3564</v>
      </c>
      <c r="C1170" s="1" t="s">
        <v>3565</v>
      </c>
      <c r="D1170" s="1" t="s">
        <v>3566</v>
      </c>
      <c r="E1170" s="3">
        <v>1.0</v>
      </c>
      <c r="F1170" s="3">
        <v>0.0</v>
      </c>
    </row>
    <row r="1171" ht="12.75" customHeight="1">
      <c r="A1171" s="1">
        <v>0.0</v>
      </c>
      <c r="B1171" s="2" t="s">
        <v>2274</v>
      </c>
      <c r="C1171" s="1" t="s">
        <v>2275</v>
      </c>
      <c r="D1171" s="1" t="s">
        <v>2273</v>
      </c>
      <c r="E1171" s="3">
        <v>1.0</v>
      </c>
      <c r="F1171" s="3">
        <v>0.0</v>
      </c>
    </row>
    <row r="1172" ht="12.75" customHeight="1">
      <c r="A1172" s="1">
        <v>0.0</v>
      </c>
      <c r="B1172" s="2" t="s">
        <v>3352</v>
      </c>
      <c r="C1172" s="1" t="s">
        <v>3353</v>
      </c>
      <c r="D1172" s="1" t="s">
        <v>3354</v>
      </c>
      <c r="E1172" s="3">
        <v>1.0</v>
      </c>
      <c r="F1172" s="3">
        <v>0.0</v>
      </c>
    </row>
    <row r="1173" ht="12.75" customHeight="1">
      <c r="A1173" s="1">
        <v>0.0</v>
      </c>
      <c r="B1173" s="2" t="s">
        <v>1678</v>
      </c>
      <c r="C1173" s="1" t="s">
        <v>1679</v>
      </c>
      <c r="D1173" s="1" t="s">
        <v>1680</v>
      </c>
      <c r="E1173" s="3">
        <v>1.0</v>
      </c>
      <c r="F1173" s="3">
        <v>0.0</v>
      </c>
    </row>
    <row r="1174" ht="12.75" customHeight="1">
      <c r="A1174" s="1">
        <v>0.0</v>
      </c>
      <c r="B1174" s="2" t="s">
        <v>1656</v>
      </c>
      <c r="C1174" s="1" t="s">
        <v>1657</v>
      </c>
      <c r="D1174" s="1" t="s">
        <v>1658</v>
      </c>
      <c r="E1174" s="3">
        <v>1.0</v>
      </c>
      <c r="F1174" s="3">
        <v>0.0</v>
      </c>
    </row>
    <row r="1175" ht="12.75" customHeight="1">
      <c r="A1175" s="1">
        <v>0.0</v>
      </c>
      <c r="B1175" s="2" t="s">
        <v>3795</v>
      </c>
      <c r="C1175" s="1" t="s">
        <v>3796</v>
      </c>
      <c r="D1175" s="1" t="s">
        <v>3797</v>
      </c>
      <c r="E1175" s="3">
        <v>1.0</v>
      </c>
      <c r="F1175" s="3">
        <v>0.0</v>
      </c>
    </row>
    <row r="1176" ht="12.75" customHeight="1">
      <c r="A1176" s="1">
        <v>0.0</v>
      </c>
      <c r="B1176" s="2" t="s">
        <v>3371</v>
      </c>
      <c r="C1176" s="1" t="s">
        <v>3372</v>
      </c>
      <c r="D1176" s="1" t="s">
        <v>3373</v>
      </c>
      <c r="E1176" s="3">
        <v>1.0</v>
      </c>
      <c r="F1176" s="3">
        <v>0.0</v>
      </c>
    </row>
    <row r="1177" ht="12.75" customHeight="1">
      <c r="A1177" s="1">
        <v>0.0</v>
      </c>
      <c r="B1177" s="2" t="s">
        <v>3374</v>
      </c>
      <c r="C1177" s="1" t="s">
        <v>1192</v>
      </c>
      <c r="D1177" s="1" t="s">
        <v>3375</v>
      </c>
      <c r="E1177" s="3">
        <v>1.0</v>
      </c>
      <c r="F1177" s="3">
        <v>0.0</v>
      </c>
    </row>
    <row r="1178" ht="12.75" customHeight="1">
      <c r="A1178" s="1">
        <v>0.0</v>
      </c>
      <c r="B1178" s="2" t="s">
        <v>4875</v>
      </c>
      <c r="C1178" s="1" t="s">
        <v>4876</v>
      </c>
      <c r="D1178" s="1" t="s">
        <v>4877</v>
      </c>
      <c r="E1178" s="3">
        <v>1.0</v>
      </c>
      <c r="F1178" s="3">
        <v>0.0</v>
      </c>
    </row>
    <row r="1179" ht="12.75" customHeight="1">
      <c r="A1179" s="1">
        <v>0.0</v>
      </c>
      <c r="B1179" s="2" t="s">
        <v>2332</v>
      </c>
      <c r="C1179" s="1" t="s">
        <v>2333</v>
      </c>
      <c r="D1179" s="1" t="s">
        <v>854</v>
      </c>
      <c r="E1179" s="3">
        <v>1.0</v>
      </c>
      <c r="F1179" s="3">
        <v>0.0</v>
      </c>
    </row>
    <row r="1180" ht="12.75" customHeight="1">
      <c r="A1180" s="1">
        <v>0.0</v>
      </c>
      <c r="B1180" s="2" t="s">
        <v>4878</v>
      </c>
      <c r="C1180" s="1" t="s">
        <v>4879</v>
      </c>
      <c r="D1180" s="1" t="s">
        <v>3256</v>
      </c>
      <c r="E1180" s="3">
        <v>1.0</v>
      </c>
      <c r="F1180" s="3">
        <v>0.0</v>
      </c>
    </row>
    <row r="1181" ht="12.75" customHeight="1">
      <c r="A1181" s="1">
        <v>0.0</v>
      </c>
      <c r="B1181" s="2" t="s">
        <v>2783</v>
      </c>
      <c r="C1181" s="1" t="s">
        <v>2784</v>
      </c>
      <c r="D1181" s="1" t="s">
        <v>2785</v>
      </c>
      <c r="E1181" s="3">
        <v>1.0</v>
      </c>
      <c r="F1181" s="3">
        <v>0.0</v>
      </c>
    </row>
    <row r="1182" ht="12.75" customHeight="1">
      <c r="A1182" s="1">
        <v>0.0</v>
      </c>
      <c r="B1182" s="2" t="s">
        <v>3920</v>
      </c>
      <c r="C1182" s="1" t="s">
        <v>3921</v>
      </c>
      <c r="D1182" s="1" t="s">
        <v>3922</v>
      </c>
      <c r="E1182" s="3">
        <v>1.0</v>
      </c>
      <c r="F1182" s="3">
        <v>0.0</v>
      </c>
    </row>
    <row r="1183" ht="12.75" customHeight="1">
      <c r="A1183" s="1">
        <v>0.0</v>
      </c>
      <c r="B1183" s="2" t="s">
        <v>3169</v>
      </c>
      <c r="C1183" s="1" t="s">
        <v>3170</v>
      </c>
      <c r="D1183" s="1" t="s">
        <v>3171</v>
      </c>
      <c r="E1183" s="3">
        <v>1.0</v>
      </c>
      <c r="F1183" s="3">
        <v>0.0</v>
      </c>
    </row>
    <row r="1184" ht="12.75" customHeight="1">
      <c r="A1184" s="1">
        <v>0.0</v>
      </c>
      <c r="B1184" s="2" t="s">
        <v>4880</v>
      </c>
      <c r="C1184" s="1" t="s">
        <v>4881</v>
      </c>
      <c r="D1184" s="1" t="s">
        <v>1689</v>
      </c>
      <c r="E1184" s="3">
        <v>1.0</v>
      </c>
      <c r="F1184" s="3">
        <v>0.0</v>
      </c>
    </row>
    <row r="1185" ht="12.75" customHeight="1">
      <c r="A1185" s="1">
        <v>0.0</v>
      </c>
      <c r="B1185" s="2" t="s">
        <v>3415</v>
      </c>
      <c r="C1185" s="1" t="s">
        <v>3416</v>
      </c>
      <c r="D1185" s="1" t="s">
        <v>3417</v>
      </c>
      <c r="E1185" s="3">
        <v>1.0</v>
      </c>
      <c r="F1185" s="3">
        <v>0.0</v>
      </c>
    </row>
    <row r="1186" ht="12.75" customHeight="1">
      <c r="A1186" s="1">
        <v>0.0</v>
      </c>
      <c r="B1186" s="2" t="s">
        <v>2662</v>
      </c>
      <c r="C1186" s="1" t="s">
        <v>2663</v>
      </c>
      <c r="D1186" s="1" t="s">
        <v>2664</v>
      </c>
      <c r="E1186" s="3">
        <v>1.0</v>
      </c>
      <c r="F1186" s="3">
        <v>0.0</v>
      </c>
    </row>
    <row r="1187" ht="12.75" customHeight="1">
      <c r="A1187" s="1">
        <v>0.0</v>
      </c>
      <c r="B1187" s="2" t="s">
        <v>2674</v>
      </c>
      <c r="C1187" s="1" t="s">
        <v>2675</v>
      </c>
      <c r="D1187" s="1" t="s">
        <v>2676</v>
      </c>
      <c r="E1187" s="3">
        <v>1.0</v>
      </c>
      <c r="F1187" s="3">
        <v>0.0</v>
      </c>
    </row>
    <row r="1188" ht="12.75" customHeight="1">
      <c r="A1188" s="1">
        <v>0.0</v>
      </c>
      <c r="B1188" s="2" t="s">
        <v>4882</v>
      </c>
      <c r="C1188" s="1" t="s">
        <v>4883</v>
      </c>
      <c r="D1188" s="1" t="s">
        <v>4884</v>
      </c>
      <c r="E1188" s="3">
        <v>1.0</v>
      </c>
      <c r="F1188" s="3">
        <v>0.0</v>
      </c>
    </row>
    <row r="1189" ht="12.75" customHeight="1">
      <c r="A1189" s="1">
        <v>0.0</v>
      </c>
      <c r="B1189" s="2" t="s">
        <v>4885</v>
      </c>
      <c r="C1189" s="1" t="s">
        <v>4886</v>
      </c>
      <c r="D1189" s="1" t="s">
        <v>4887</v>
      </c>
      <c r="E1189" s="3">
        <v>1.0</v>
      </c>
      <c r="F1189" s="3">
        <v>0.0</v>
      </c>
    </row>
    <row r="1190" ht="12.75" customHeight="1">
      <c r="A1190" s="1">
        <v>0.0</v>
      </c>
      <c r="B1190" s="2" t="s">
        <v>3277</v>
      </c>
      <c r="C1190" s="1" t="s">
        <v>3278</v>
      </c>
      <c r="D1190" s="1" t="s">
        <v>3256</v>
      </c>
      <c r="E1190" s="3">
        <v>1.0</v>
      </c>
      <c r="F1190" s="3">
        <v>0.0</v>
      </c>
    </row>
    <row r="1191" ht="12.75" customHeight="1">
      <c r="A1191" s="1">
        <v>0.0</v>
      </c>
      <c r="B1191" s="2" t="s">
        <v>4888</v>
      </c>
      <c r="C1191" s="1" t="s">
        <v>4889</v>
      </c>
      <c r="D1191" s="1" t="s">
        <v>4890</v>
      </c>
      <c r="E1191" s="3">
        <v>1.0</v>
      </c>
      <c r="F1191" s="3">
        <v>0.0</v>
      </c>
    </row>
    <row r="1192" ht="12.75" customHeight="1">
      <c r="A1192" s="1">
        <v>0.0</v>
      </c>
      <c r="B1192" s="2" t="s">
        <v>3521</v>
      </c>
      <c r="C1192" s="1" t="s">
        <v>3522</v>
      </c>
      <c r="D1192" s="1" t="s">
        <v>916</v>
      </c>
      <c r="E1192" s="3">
        <v>1.0</v>
      </c>
      <c r="F1192" s="3">
        <v>0.0</v>
      </c>
    </row>
    <row r="1193" ht="12.75" customHeight="1">
      <c r="A1193" s="1">
        <v>0.0</v>
      </c>
      <c r="B1193" s="2" t="s">
        <v>3439</v>
      </c>
      <c r="C1193" s="1" t="s">
        <v>3440</v>
      </c>
      <c r="D1193" s="1" t="s">
        <v>3441</v>
      </c>
      <c r="E1193" s="3">
        <v>1.0</v>
      </c>
      <c r="F1193" s="3">
        <v>0.0</v>
      </c>
    </row>
    <row r="1194" ht="12.75" customHeight="1">
      <c r="A1194" s="1">
        <v>0.0</v>
      </c>
      <c r="B1194" s="2" t="s">
        <v>2210</v>
      </c>
      <c r="C1194" s="1" t="s">
        <v>2211</v>
      </c>
      <c r="D1194" s="1" t="s">
        <v>2212</v>
      </c>
      <c r="E1194" s="3">
        <v>1.0</v>
      </c>
      <c r="F1194" s="3">
        <v>0.0</v>
      </c>
    </row>
    <row r="1195" ht="12.75" customHeight="1">
      <c r="A1195" s="1">
        <v>0.0</v>
      </c>
      <c r="B1195" s="2" t="s">
        <v>3369</v>
      </c>
      <c r="C1195" s="1" t="s">
        <v>3370</v>
      </c>
      <c r="D1195" s="1" t="s">
        <v>3368</v>
      </c>
      <c r="E1195" s="3">
        <v>1.0</v>
      </c>
      <c r="F1195" s="3">
        <v>0.0</v>
      </c>
    </row>
    <row r="1196" ht="12.75" customHeight="1">
      <c r="A1196" s="1">
        <v>0.0</v>
      </c>
      <c r="B1196" s="2" t="s">
        <v>3427</v>
      </c>
      <c r="C1196" s="1" t="s">
        <v>3428</v>
      </c>
      <c r="D1196" s="1" t="s">
        <v>3429</v>
      </c>
      <c r="E1196" s="3">
        <v>1.0</v>
      </c>
      <c r="F1196" s="3">
        <v>0.0</v>
      </c>
    </row>
    <row r="1197" ht="12.75" customHeight="1">
      <c r="A1197" s="1">
        <v>0.0</v>
      </c>
      <c r="B1197" s="2" t="s">
        <v>4891</v>
      </c>
      <c r="C1197" s="1" t="s">
        <v>4892</v>
      </c>
      <c r="D1197" s="1" t="s">
        <v>4893</v>
      </c>
      <c r="E1197" s="3">
        <v>1.0</v>
      </c>
      <c r="F1197" s="3">
        <v>0.0</v>
      </c>
    </row>
    <row r="1198" ht="12.75" customHeight="1">
      <c r="A1198" s="1">
        <v>0.0</v>
      </c>
      <c r="B1198" s="2" t="s">
        <v>3669</v>
      </c>
      <c r="C1198" s="1" t="s">
        <v>3670</v>
      </c>
      <c r="D1198" s="1" t="s">
        <v>3671</v>
      </c>
      <c r="E1198" s="3">
        <v>1.0</v>
      </c>
      <c r="F1198" s="3">
        <v>0.0</v>
      </c>
    </row>
    <row r="1199" ht="12.75" customHeight="1">
      <c r="A1199" s="1">
        <v>0.0</v>
      </c>
      <c r="B1199" s="2" t="s">
        <v>2334</v>
      </c>
      <c r="C1199" s="1" t="s">
        <v>2335</v>
      </c>
      <c r="D1199" s="1" t="s">
        <v>854</v>
      </c>
      <c r="E1199" s="3">
        <v>1.0</v>
      </c>
      <c r="F1199" s="3">
        <v>0.0</v>
      </c>
    </row>
    <row r="1200" ht="12.75" customHeight="1">
      <c r="A1200" s="1">
        <v>0.0</v>
      </c>
      <c r="B1200" s="2" t="s">
        <v>4894</v>
      </c>
      <c r="C1200" s="1" t="s">
        <v>4895</v>
      </c>
      <c r="D1200" s="1" t="s">
        <v>4896</v>
      </c>
      <c r="E1200" s="3">
        <v>1.0</v>
      </c>
      <c r="F1200" s="3">
        <v>0.0</v>
      </c>
    </row>
    <row r="1201" ht="12.75" customHeight="1">
      <c r="A1201" s="1">
        <v>0.0</v>
      </c>
      <c r="B1201" s="2" t="s">
        <v>4897</v>
      </c>
      <c r="C1201" s="1" t="s">
        <v>4898</v>
      </c>
      <c r="D1201" s="1" t="s">
        <v>4899</v>
      </c>
      <c r="E1201" s="3">
        <v>1.0</v>
      </c>
      <c r="F1201" s="3">
        <v>0.0</v>
      </c>
    </row>
    <row r="1202" ht="12.75" customHeight="1">
      <c r="A1202" s="1">
        <v>0.0</v>
      </c>
      <c r="B1202" s="2" t="s">
        <v>2336</v>
      </c>
      <c r="C1202" s="1" t="s">
        <v>2337</v>
      </c>
      <c r="D1202" s="1" t="s">
        <v>854</v>
      </c>
      <c r="E1202" s="3">
        <v>1.0</v>
      </c>
      <c r="F1202" s="3">
        <v>0.0</v>
      </c>
    </row>
    <row r="1203" ht="12.75" customHeight="1">
      <c r="A1203" s="1">
        <v>0.0</v>
      </c>
      <c r="B1203" s="2" t="s">
        <v>3384</v>
      </c>
      <c r="C1203" s="1" t="s">
        <v>3385</v>
      </c>
      <c r="D1203" s="1" t="s">
        <v>3386</v>
      </c>
      <c r="E1203" s="3">
        <v>1.0</v>
      </c>
      <c r="F1203" s="3">
        <v>0.0</v>
      </c>
    </row>
    <row r="1204" ht="12.75" customHeight="1">
      <c r="A1204" s="1">
        <v>0.0</v>
      </c>
      <c r="B1204" s="2" t="s">
        <v>3933</v>
      </c>
      <c r="C1204" s="1" t="s">
        <v>3934</v>
      </c>
      <c r="D1204" s="1" t="s">
        <v>3935</v>
      </c>
      <c r="E1204" s="3">
        <v>1.0</v>
      </c>
      <c r="F1204" s="3">
        <v>0.0</v>
      </c>
    </row>
    <row r="1205" ht="12.75" customHeight="1">
      <c r="A1205" s="1">
        <v>0.0</v>
      </c>
      <c r="B1205" s="2" t="s">
        <v>3101</v>
      </c>
      <c r="C1205" s="1" t="s">
        <v>3102</v>
      </c>
      <c r="D1205" s="1" t="s">
        <v>3103</v>
      </c>
      <c r="E1205" s="3">
        <v>1.0</v>
      </c>
      <c r="F1205" s="3">
        <v>0.0</v>
      </c>
    </row>
    <row r="1206" ht="12.75" customHeight="1">
      <c r="A1206" s="1">
        <v>0.0</v>
      </c>
      <c r="B1206" s="2" t="s">
        <v>3279</v>
      </c>
      <c r="C1206" s="1" t="s">
        <v>3280</v>
      </c>
      <c r="D1206" s="1" t="s">
        <v>3256</v>
      </c>
      <c r="E1206" s="3">
        <v>1.0</v>
      </c>
      <c r="F1206" s="3">
        <v>0.0</v>
      </c>
    </row>
    <row r="1207" ht="12.75" customHeight="1">
      <c r="A1207" s="1">
        <v>0.0</v>
      </c>
      <c r="B1207" s="2" t="s">
        <v>4900</v>
      </c>
      <c r="C1207" s="1" t="s">
        <v>4901</v>
      </c>
      <c r="D1207" s="1" t="s">
        <v>4902</v>
      </c>
      <c r="E1207" s="3">
        <v>1.0</v>
      </c>
      <c r="F1207" s="3">
        <v>0.0</v>
      </c>
    </row>
    <row r="1208" ht="12.75" customHeight="1">
      <c r="A1208" s="1">
        <v>0.0</v>
      </c>
      <c r="B1208" s="2" t="s">
        <v>3770</v>
      </c>
      <c r="C1208" s="1" t="s">
        <v>3771</v>
      </c>
      <c r="D1208" s="1" t="s">
        <v>3772</v>
      </c>
      <c r="E1208" s="3">
        <v>1.0</v>
      </c>
      <c r="F1208" s="3">
        <v>0.0</v>
      </c>
    </row>
    <row r="1209" ht="12.75" customHeight="1">
      <c r="A1209" s="1">
        <v>0.0</v>
      </c>
      <c r="B1209" s="2" t="s">
        <v>4903</v>
      </c>
      <c r="C1209" s="1" t="s">
        <v>4904</v>
      </c>
      <c r="D1209" s="1" t="s">
        <v>4905</v>
      </c>
      <c r="E1209" s="3">
        <v>1.0</v>
      </c>
      <c r="F1209" s="3">
        <v>0.0</v>
      </c>
    </row>
    <row r="1210" ht="12.75" customHeight="1">
      <c r="A1210" s="1">
        <v>0.0</v>
      </c>
      <c r="B1210" s="2" t="s">
        <v>3710</v>
      </c>
      <c r="C1210" s="1" t="s">
        <v>3711</v>
      </c>
      <c r="D1210" s="1" t="s">
        <v>3712</v>
      </c>
      <c r="E1210" s="3">
        <v>1.0</v>
      </c>
      <c r="F1210" s="3">
        <v>0.0</v>
      </c>
    </row>
    <row r="1211" ht="12.75" customHeight="1">
      <c r="A1211" s="1">
        <v>0.0</v>
      </c>
      <c r="B1211" s="2" t="s">
        <v>3249</v>
      </c>
      <c r="C1211" s="1" t="s">
        <v>3250</v>
      </c>
      <c r="D1211" s="1" t="s">
        <v>1184</v>
      </c>
      <c r="E1211" s="3">
        <v>1.0</v>
      </c>
      <c r="F1211" s="3">
        <v>0.0</v>
      </c>
    </row>
    <row r="1212" ht="12.75" customHeight="1">
      <c r="A1212" s="1">
        <v>0.0</v>
      </c>
      <c r="B1212" s="2" t="s">
        <v>4906</v>
      </c>
      <c r="C1212" s="1" t="s">
        <v>4907</v>
      </c>
      <c r="D1212" s="1" t="s">
        <v>3151</v>
      </c>
      <c r="E1212" s="3">
        <v>1.0</v>
      </c>
      <c r="F1212" s="3">
        <v>0.0</v>
      </c>
    </row>
    <row r="1213" ht="12.75" customHeight="1">
      <c r="A1213" s="1">
        <v>0.0</v>
      </c>
      <c r="B1213" s="2" t="s">
        <v>3452</v>
      </c>
      <c r="C1213" s="1" t="s">
        <v>3453</v>
      </c>
      <c r="D1213" s="1" t="s">
        <v>3454</v>
      </c>
      <c r="E1213" s="3">
        <v>1.0</v>
      </c>
      <c r="F1213" s="3">
        <v>0.0</v>
      </c>
    </row>
    <row r="1214" ht="12.75" customHeight="1">
      <c r="A1214" s="1">
        <v>0.0</v>
      </c>
      <c r="B1214" s="2" t="s">
        <v>3936</v>
      </c>
      <c r="C1214" s="1" t="s">
        <v>3937</v>
      </c>
      <c r="D1214" s="1" t="s">
        <v>3938</v>
      </c>
      <c r="E1214" s="3">
        <v>1.0</v>
      </c>
      <c r="F1214" s="3">
        <v>0.0</v>
      </c>
    </row>
    <row r="1215" ht="12.75" customHeight="1">
      <c r="A1215" s="1">
        <v>0.0</v>
      </c>
      <c r="B1215" s="2" t="s">
        <v>4908</v>
      </c>
      <c r="C1215" s="1" t="s">
        <v>4909</v>
      </c>
      <c r="D1215" s="1" t="s">
        <v>4752</v>
      </c>
      <c r="E1215" s="3">
        <v>1.0</v>
      </c>
      <c r="F1215" s="3">
        <v>0.0</v>
      </c>
    </row>
    <row r="1216" ht="12.75" customHeight="1">
      <c r="A1216" s="1">
        <v>0.0</v>
      </c>
      <c r="B1216" s="2" t="s">
        <v>2176</v>
      </c>
      <c r="C1216" s="1" t="s">
        <v>2177</v>
      </c>
      <c r="D1216" s="1" t="s">
        <v>2178</v>
      </c>
      <c r="E1216" s="3">
        <v>1.0</v>
      </c>
      <c r="F1216" s="3">
        <v>0.0</v>
      </c>
    </row>
    <row r="1217" ht="12.75" customHeight="1">
      <c r="A1217" s="1">
        <v>0.0</v>
      </c>
      <c r="B1217" s="2" t="s">
        <v>4910</v>
      </c>
      <c r="C1217" s="1" t="s">
        <v>4911</v>
      </c>
      <c r="D1217" s="1" t="s">
        <v>4694</v>
      </c>
      <c r="E1217" s="3">
        <v>1.0</v>
      </c>
      <c r="F1217" s="3">
        <v>0.0</v>
      </c>
    </row>
    <row r="1218" ht="12.75" customHeight="1">
      <c r="A1218" s="1">
        <v>0.0</v>
      </c>
      <c r="B1218" s="2" t="s">
        <v>4058</v>
      </c>
      <c r="C1218" s="1" t="s">
        <v>4059</v>
      </c>
      <c r="D1218" s="1" t="s">
        <v>4060</v>
      </c>
      <c r="E1218" s="3">
        <v>1.0</v>
      </c>
      <c r="F1218" s="3">
        <v>0.0</v>
      </c>
    </row>
    <row r="1219" ht="12.75" customHeight="1">
      <c r="A1219" s="1">
        <v>0.0</v>
      </c>
      <c r="B1219" s="2" t="s">
        <v>3455</v>
      </c>
      <c r="C1219" s="1" t="s">
        <v>3456</v>
      </c>
      <c r="D1219" s="1" t="s">
        <v>3454</v>
      </c>
      <c r="E1219" s="3">
        <v>1.0</v>
      </c>
      <c r="F1219" s="3">
        <v>0.0</v>
      </c>
    </row>
    <row r="1220" ht="12.75" customHeight="1">
      <c r="A1220" s="1">
        <v>0.0</v>
      </c>
      <c r="B1220" s="2" t="s">
        <v>2338</v>
      </c>
      <c r="C1220" s="1" t="s">
        <v>2339</v>
      </c>
      <c r="D1220" s="1" t="s">
        <v>854</v>
      </c>
      <c r="E1220" s="3">
        <v>1.0</v>
      </c>
      <c r="F1220" s="3">
        <v>0.0</v>
      </c>
    </row>
    <row r="1221" ht="12.75" customHeight="1">
      <c r="A1221" s="1">
        <v>0.0</v>
      </c>
      <c r="B1221" s="2" t="s">
        <v>3885</v>
      </c>
      <c r="C1221" s="1" t="s">
        <v>3886</v>
      </c>
      <c r="D1221" s="1" t="s">
        <v>3887</v>
      </c>
      <c r="E1221" s="3">
        <v>1.0</v>
      </c>
      <c r="F1221" s="3">
        <v>0.0</v>
      </c>
    </row>
    <row r="1222" ht="12.75" customHeight="1">
      <c r="A1222" s="1">
        <v>0.0</v>
      </c>
      <c r="B1222" s="2" t="s">
        <v>4912</v>
      </c>
      <c r="C1222" s="1" t="s">
        <v>4913</v>
      </c>
      <c r="D1222" s="1" t="s">
        <v>4914</v>
      </c>
      <c r="E1222" s="3">
        <v>1.0</v>
      </c>
      <c r="F1222" s="3">
        <v>0.0</v>
      </c>
    </row>
    <row r="1223" ht="12.75" customHeight="1">
      <c r="A1223" s="1">
        <v>0.0</v>
      </c>
      <c r="B1223" s="2" t="s">
        <v>1687</v>
      </c>
      <c r="C1223" s="1" t="s">
        <v>1688</v>
      </c>
      <c r="D1223" s="1" t="s">
        <v>1689</v>
      </c>
      <c r="E1223" s="3">
        <v>1.0</v>
      </c>
      <c r="F1223" s="3">
        <v>0.0</v>
      </c>
    </row>
    <row r="1224" ht="12.75" customHeight="1">
      <c r="A1224" s="1">
        <v>0.0</v>
      </c>
      <c r="B1224" s="2" t="s">
        <v>3358</v>
      </c>
      <c r="C1224" s="1" t="s">
        <v>3359</v>
      </c>
      <c r="D1224" s="1" t="s">
        <v>3357</v>
      </c>
      <c r="E1224" s="3">
        <v>1.0</v>
      </c>
      <c r="F1224" s="3">
        <v>0.0</v>
      </c>
    </row>
    <row r="1225" ht="12.75" customHeight="1">
      <c r="A1225" s="1">
        <v>0.0</v>
      </c>
      <c r="B1225" s="2" t="s">
        <v>3917</v>
      </c>
      <c r="C1225" s="1" t="s">
        <v>3918</v>
      </c>
      <c r="D1225" s="1" t="s">
        <v>3919</v>
      </c>
      <c r="E1225" s="3">
        <v>1.0</v>
      </c>
      <c r="F1225" s="3">
        <v>0.0</v>
      </c>
    </row>
    <row r="1226" ht="12.75" customHeight="1">
      <c r="A1226" s="1">
        <v>0.0</v>
      </c>
      <c r="B1226" s="2" t="s">
        <v>2340</v>
      </c>
      <c r="C1226" s="1" t="s">
        <v>2341</v>
      </c>
      <c r="D1226" s="1" t="s">
        <v>854</v>
      </c>
      <c r="E1226" s="3">
        <v>1.0</v>
      </c>
      <c r="F1226" s="3">
        <v>0.0</v>
      </c>
    </row>
    <row r="1227" ht="12.75" customHeight="1">
      <c r="A1227" s="1">
        <v>0.0</v>
      </c>
      <c r="B1227" s="2" t="s">
        <v>2256</v>
      </c>
      <c r="C1227" s="1" t="s">
        <v>2257</v>
      </c>
      <c r="D1227" s="1" t="s">
        <v>2258</v>
      </c>
      <c r="E1227" s="3">
        <v>1.0</v>
      </c>
      <c r="F1227" s="3">
        <v>0.0</v>
      </c>
    </row>
    <row r="1228" ht="12.75" customHeight="1">
      <c r="A1228" s="1">
        <v>0.0</v>
      </c>
      <c r="B1228" s="2" t="s">
        <v>3281</v>
      </c>
      <c r="C1228" s="1" t="s">
        <v>3282</v>
      </c>
      <c r="D1228" s="1" t="s">
        <v>3256</v>
      </c>
      <c r="E1228" s="3">
        <v>1.0</v>
      </c>
      <c r="F1228" s="3">
        <v>0.0</v>
      </c>
    </row>
    <row r="1229" ht="12.75" customHeight="1">
      <c r="A1229" s="1">
        <v>0.0</v>
      </c>
      <c r="B1229" s="2" t="s">
        <v>4915</v>
      </c>
      <c r="C1229" s="1" t="s">
        <v>4809</v>
      </c>
      <c r="D1229" s="1" t="s">
        <v>3373</v>
      </c>
      <c r="E1229" s="3">
        <v>1.0</v>
      </c>
      <c r="F1229" s="3">
        <v>0.0</v>
      </c>
    </row>
    <row r="1230" ht="12.75" customHeight="1">
      <c r="A1230" s="1">
        <v>0.0</v>
      </c>
      <c r="B1230" s="2" t="s">
        <v>4916</v>
      </c>
      <c r="C1230" s="1" t="s">
        <v>4917</v>
      </c>
      <c r="D1230" s="1" t="s">
        <v>4918</v>
      </c>
      <c r="E1230" s="3">
        <v>1.0</v>
      </c>
      <c r="F1230" s="3">
        <v>0.0</v>
      </c>
    </row>
    <row r="1231" ht="12.75" customHeight="1">
      <c r="A1231" s="1">
        <v>0.0</v>
      </c>
      <c r="B1231" s="2" t="s">
        <v>4919</v>
      </c>
      <c r="C1231" s="1" t="s">
        <v>4920</v>
      </c>
      <c r="D1231" s="1" t="s">
        <v>3890</v>
      </c>
      <c r="E1231" s="3">
        <v>1.0</v>
      </c>
      <c r="F1231" s="3">
        <v>0.0</v>
      </c>
    </row>
    <row r="1232" ht="12.75" customHeight="1">
      <c r="A1232" s="1">
        <v>0.0</v>
      </c>
      <c r="B1232" s="2" t="s">
        <v>3845</v>
      </c>
      <c r="C1232" s="1" t="s">
        <v>3846</v>
      </c>
      <c r="D1232" s="1" t="s">
        <v>3847</v>
      </c>
      <c r="E1232" s="3">
        <v>1.0</v>
      </c>
      <c r="F1232" s="3">
        <v>0.0</v>
      </c>
    </row>
    <row r="1233" ht="12.75" customHeight="1">
      <c r="A1233" s="1">
        <v>0.0</v>
      </c>
      <c r="B1233" s="2" t="s">
        <v>2430</v>
      </c>
      <c r="C1233" s="1" t="s">
        <v>2431</v>
      </c>
      <c r="D1233" s="1" t="s">
        <v>2432</v>
      </c>
      <c r="E1233" s="3">
        <v>1.0</v>
      </c>
      <c r="F1233" s="3">
        <v>0.0</v>
      </c>
    </row>
    <row r="1234" ht="12.75" customHeight="1">
      <c r="A1234" s="1">
        <v>0.0</v>
      </c>
      <c r="B1234" s="2" t="s">
        <v>4921</v>
      </c>
      <c r="C1234" s="1" t="s">
        <v>4922</v>
      </c>
      <c r="D1234" s="1" t="s">
        <v>3368</v>
      </c>
      <c r="E1234" s="3">
        <v>1.0</v>
      </c>
      <c r="F1234" s="3">
        <v>0.0</v>
      </c>
    </row>
    <row r="1235" ht="12.75" customHeight="1">
      <c r="A1235" s="1">
        <v>0.0</v>
      </c>
      <c r="B1235" s="2" t="s">
        <v>3834</v>
      </c>
      <c r="C1235" s="1" t="s">
        <v>3835</v>
      </c>
      <c r="D1235" s="1" t="s">
        <v>3836</v>
      </c>
      <c r="E1235" s="3">
        <v>1.0</v>
      </c>
      <c r="F1235" s="3">
        <v>0.0</v>
      </c>
    </row>
    <row r="1236" ht="12.75" customHeight="1">
      <c r="A1236" s="1">
        <v>0.0</v>
      </c>
      <c r="B1236" s="2" t="s">
        <v>3177</v>
      </c>
      <c r="C1236" s="1" t="s">
        <v>3178</v>
      </c>
      <c r="D1236" s="1" t="s">
        <v>3179</v>
      </c>
      <c r="E1236" s="3">
        <v>1.0</v>
      </c>
      <c r="F1236" s="3">
        <v>0.0</v>
      </c>
    </row>
    <row r="1237" ht="12.75" customHeight="1">
      <c r="A1237" s="1">
        <v>0.0</v>
      </c>
      <c r="B1237" s="2" t="s">
        <v>3180</v>
      </c>
      <c r="C1237" s="1" t="s">
        <v>3178</v>
      </c>
      <c r="D1237" s="1" t="s">
        <v>3181</v>
      </c>
      <c r="E1237" s="3">
        <v>1.0</v>
      </c>
      <c r="F1237" s="3">
        <v>0.0</v>
      </c>
    </row>
    <row r="1238" ht="12.75" customHeight="1">
      <c r="A1238" s="1">
        <v>0.0</v>
      </c>
      <c r="B1238" s="2" t="s">
        <v>3283</v>
      </c>
      <c r="C1238" s="1" t="s">
        <v>3284</v>
      </c>
      <c r="D1238" s="1" t="s">
        <v>3256</v>
      </c>
      <c r="E1238" s="3">
        <v>1.0</v>
      </c>
      <c r="F1238" s="3">
        <v>0.0</v>
      </c>
    </row>
    <row r="1239" ht="12.75" customHeight="1">
      <c r="A1239" s="1">
        <v>0.0</v>
      </c>
      <c r="B1239" s="2" t="s">
        <v>3285</v>
      </c>
      <c r="C1239" s="1" t="s">
        <v>3286</v>
      </c>
      <c r="D1239" s="1" t="s">
        <v>3256</v>
      </c>
      <c r="E1239" s="3">
        <v>1.0</v>
      </c>
      <c r="F1239" s="3">
        <v>0.0</v>
      </c>
    </row>
    <row r="1240" ht="12.75" customHeight="1">
      <c r="A1240" s="1">
        <v>0.0</v>
      </c>
      <c r="B1240" s="2" t="s">
        <v>2698</v>
      </c>
      <c r="C1240" s="1" t="s">
        <v>2699</v>
      </c>
      <c r="D1240" s="1" t="s">
        <v>2700</v>
      </c>
      <c r="E1240" s="3">
        <v>1.0</v>
      </c>
      <c r="F1240" s="3">
        <v>0.0</v>
      </c>
    </row>
    <row r="1241" ht="12.75" customHeight="1">
      <c r="A1241" s="1">
        <v>0.0</v>
      </c>
      <c r="B1241" s="2" t="s">
        <v>3433</v>
      </c>
      <c r="C1241" s="1" t="s">
        <v>3434</v>
      </c>
      <c r="D1241" s="1" t="s">
        <v>3435</v>
      </c>
      <c r="E1241" s="3">
        <v>1.0</v>
      </c>
      <c r="F1241" s="3">
        <v>0.0</v>
      </c>
    </row>
    <row r="1242" ht="12.75" customHeight="1">
      <c r="A1242" s="1">
        <v>0.0</v>
      </c>
      <c r="B1242" s="2" t="s">
        <v>3624</v>
      </c>
      <c r="C1242" s="1" t="s">
        <v>3625</v>
      </c>
      <c r="D1242" s="1" t="s">
        <v>3621</v>
      </c>
      <c r="E1242" s="3">
        <v>1.0</v>
      </c>
      <c r="F1242" s="3">
        <v>0.0</v>
      </c>
    </row>
    <row r="1243" ht="12.75" customHeight="1">
      <c r="A1243" s="1">
        <v>0.0</v>
      </c>
      <c r="B1243" s="2" t="s">
        <v>3287</v>
      </c>
      <c r="C1243" s="1" t="s">
        <v>3288</v>
      </c>
      <c r="D1243" s="1" t="s">
        <v>3256</v>
      </c>
      <c r="E1243" s="3">
        <v>1.0</v>
      </c>
      <c r="F1243" s="3">
        <v>0.0</v>
      </c>
    </row>
    <row r="1244" ht="12.75" customHeight="1">
      <c r="A1244" s="1">
        <v>0.0</v>
      </c>
      <c r="B1244" s="2" t="s">
        <v>4923</v>
      </c>
      <c r="C1244" s="1" t="s">
        <v>4924</v>
      </c>
      <c r="D1244" s="1" t="s">
        <v>3357</v>
      </c>
      <c r="E1244" s="3">
        <v>1.0</v>
      </c>
      <c r="F1244" s="3">
        <v>0.0</v>
      </c>
    </row>
    <row r="1245" ht="12.75" customHeight="1">
      <c r="A1245" s="1">
        <v>0.0</v>
      </c>
      <c r="B1245" s="2" t="s">
        <v>2712</v>
      </c>
      <c r="C1245" s="1" t="s">
        <v>2713</v>
      </c>
      <c r="D1245" s="1" t="s">
        <v>2714</v>
      </c>
      <c r="E1245" s="3">
        <v>1.0</v>
      </c>
      <c r="F1245" s="3">
        <v>0.0</v>
      </c>
    </row>
    <row r="1246" ht="12.75" customHeight="1">
      <c r="A1246" s="1">
        <v>0.0</v>
      </c>
      <c r="B1246" s="2" t="s">
        <v>3162</v>
      </c>
      <c r="C1246" s="1" t="s">
        <v>3163</v>
      </c>
      <c r="D1246" s="1" t="s">
        <v>3161</v>
      </c>
      <c r="E1246" s="3">
        <v>1.0</v>
      </c>
      <c r="F1246" s="3">
        <v>0.0</v>
      </c>
    </row>
    <row r="1247" ht="12.75" customHeight="1">
      <c r="A1247" s="1">
        <v>0.0</v>
      </c>
      <c r="B1247" s="2" t="s">
        <v>3728</v>
      </c>
      <c r="C1247" s="1" t="s">
        <v>3729</v>
      </c>
      <c r="D1247" s="1" t="s">
        <v>3730</v>
      </c>
      <c r="E1247" s="3">
        <v>1.0</v>
      </c>
      <c r="F1247" s="3">
        <v>0.0</v>
      </c>
    </row>
    <row r="1248" ht="12.75" customHeight="1">
      <c r="A1248" s="1">
        <v>0.0</v>
      </c>
      <c r="B1248" s="2" t="s">
        <v>4925</v>
      </c>
      <c r="C1248" s="1" t="s">
        <v>4926</v>
      </c>
      <c r="D1248" s="1" t="s">
        <v>4927</v>
      </c>
      <c r="E1248" s="3">
        <v>1.0</v>
      </c>
      <c r="F1248" s="3">
        <v>0.0</v>
      </c>
    </row>
    <row r="1249" ht="12.75" customHeight="1">
      <c r="A1249" s="1">
        <v>0.0</v>
      </c>
      <c r="B1249" s="2" t="s">
        <v>3109</v>
      </c>
      <c r="C1249" s="1" t="s">
        <v>3110</v>
      </c>
      <c r="D1249" s="1" t="s">
        <v>3111</v>
      </c>
      <c r="E1249" s="3">
        <v>1.0</v>
      </c>
      <c r="F1249" s="3">
        <v>0.0</v>
      </c>
    </row>
    <row r="1250" ht="12.75" customHeight="1">
      <c r="A1250" s="1">
        <v>0.0</v>
      </c>
      <c r="B1250" s="2" t="s">
        <v>4928</v>
      </c>
      <c r="C1250" s="1" t="s">
        <v>4929</v>
      </c>
      <c r="D1250" s="1" t="s">
        <v>4930</v>
      </c>
      <c r="E1250" s="3">
        <v>1.0</v>
      </c>
      <c r="F1250" s="3">
        <v>0.0</v>
      </c>
    </row>
    <row r="1251" ht="12.75" customHeight="1">
      <c r="A1251" s="1">
        <v>0.0</v>
      </c>
      <c r="B1251" s="2" t="s">
        <v>4931</v>
      </c>
      <c r="C1251" s="1" t="s">
        <v>4932</v>
      </c>
      <c r="D1251" s="1" t="s">
        <v>4933</v>
      </c>
      <c r="E1251" s="3">
        <v>1.0</v>
      </c>
      <c r="F1251" s="3">
        <v>0.0</v>
      </c>
    </row>
    <row r="1252" ht="12.75" customHeight="1">
      <c r="A1252" s="1">
        <v>0.0</v>
      </c>
      <c r="B1252" s="2" t="s">
        <v>4934</v>
      </c>
      <c r="C1252" s="1" t="s">
        <v>4935</v>
      </c>
      <c r="D1252" s="1" t="s">
        <v>4936</v>
      </c>
      <c r="E1252" s="3">
        <v>1.0</v>
      </c>
      <c r="F1252" s="3">
        <v>0.0</v>
      </c>
    </row>
    <row r="1253" ht="12.75" customHeight="1">
      <c r="A1253" s="1">
        <v>0.0</v>
      </c>
      <c r="B1253" s="2" t="s">
        <v>1772</v>
      </c>
      <c r="C1253" s="1" t="s">
        <v>1773</v>
      </c>
      <c r="D1253" s="1" t="s">
        <v>1774</v>
      </c>
      <c r="E1253" s="3">
        <v>1.0</v>
      </c>
      <c r="F1253" s="3">
        <v>0.0</v>
      </c>
    </row>
    <row r="1254" ht="12.75" customHeight="1">
      <c r="A1254" s="1">
        <v>0.0</v>
      </c>
      <c r="B1254" s="2" t="s">
        <v>3467</v>
      </c>
      <c r="C1254" s="1" t="s">
        <v>3468</v>
      </c>
      <c r="D1254" s="1" t="s">
        <v>3469</v>
      </c>
      <c r="E1254" s="3">
        <v>1.0</v>
      </c>
      <c r="F1254" s="3">
        <v>0.0</v>
      </c>
    </row>
    <row r="1255" ht="12.75" customHeight="1">
      <c r="A1255" s="1">
        <v>0.0</v>
      </c>
      <c r="B1255" s="2" t="s">
        <v>2748</v>
      </c>
      <c r="C1255" s="1" t="s">
        <v>2749</v>
      </c>
      <c r="D1255" s="1" t="s">
        <v>2750</v>
      </c>
      <c r="E1255" s="3">
        <v>1.0</v>
      </c>
      <c r="F1255" s="3">
        <v>0.0</v>
      </c>
    </row>
    <row r="1256" ht="12.75" customHeight="1">
      <c r="A1256" s="1">
        <v>0.0</v>
      </c>
      <c r="B1256" s="2" t="s">
        <v>2768</v>
      </c>
      <c r="C1256" s="1" t="s">
        <v>2769</v>
      </c>
      <c r="D1256" s="1" t="s">
        <v>2770</v>
      </c>
      <c r="E1256" s="3">
        <v>1.0</v>
      </c>
      <c r="F1256" s="3">
        <v>0.0</v>
      </c>
    </row>
    <row r="1257" ht="12.75" customHeight="1">
      <c r="A1257" s="1">
        <v>0.0</v>
      </c>
      <c r="B1257" s="2" t="s">
        <v>1646</v>
      </c>
      <c r="C1257" s="1" t="s">
        <v>1647</v>
      </c>
      <c r="D1257" s="1">
        <v>19.0</v>
      </c>
      <c r="E1257" s="3">
        <v>1.0</v>
      </c>
      <c r="F1257" s="3">
        <v>0.0</v>
      </c>
    </row>
    <row r="1258" ht="12.75" customHeight="1">
      <c r="A1258" s="1">
        <v>0.0</v>
      </c>
      <c r="B1258" s="2" t="s">
        <v>4937</v>
      </c>
      <c r="C1258" s="1" t="s">
        <v>4938</v>
      </c>
      <c r="D1258" s="1" t="s">
        <v>4939</v>
      </c>
      <c r="E1258" s="3">
        <v>1.0</v>
      </c>
      <c r="F1258" s="3">
        <v>0.0</v>
      </c>
    </row>
    <row r="1259" ht="12.75" customHeight="1">
      <c r="A1259" s="1">
        <v>0.0</v>
      </c>
      <c r="B1259" s="2" t="s">
        <v>2650</v>
      </c>
      <c r="C1259" s="1" t="s">
        <v>2651</v>
      </c>
      <c r="D1259" s="1" t="s">
        <v>2652</v>
      </c>
      <c r="E1259" s="3">
        <v>1.0</v>
      </c>
      <c r="F1259" s="3">
        <v>0.0</v>
      </c>
    </row>
    <row r="1260" ht="12.75" customHeight="1">
      <c r="A1260" s="1">
        <v>0.0</v>
      </c>
      <c r="B1260" s="2" t="s">
        <v>4940</v>
      </c>
      <c r="C1260" s="1" t="s">
        <v>4941</v>
      </c>
      <c r="D1260" s="1" t="s">
        <v>854</v>
      </c>
      <c r="E1260" s="3">
        <v>1.0</v>
      </c>
      <c r="F1260" s="3">
        <v>0.0</v>
      </c>
    </row>
    <row r="1261" ht="12.75" customHeight="1">
      <c r="A1261" s="1">
        <v>0.0</v>
      </c>
      <c r="B1261" s="2" t="s">
        <v>4942</v>
      </c>
      <c r="C1261" s="1" t="s">
        <v>4943</v>
      </c>
      <c r="D1261" s="1" t="s">
        <v>4944</v>
      </c>
      <c r="E1261" s="3">
        <v>1.0</v>
      </c>
      <c r="F1261" s="3">
        <v>0.0</v>
      </c>
    </row>
    <row r="1262" ht="12.75" customHeight="1">
      <c r="A1262" s="1">
        <v>0.0</v>
      </c>
      <c r="B1262" s="2" t="s">
        <v>3147</v>
      </c>
      <c r="C1262" s="1" t="s">
        <v>3148</v>
      </c>
      <c r="D1262" s="1" t="s">
        <v>3149</v>
      </c>
      <c r="E1262" s="3">
        <v>1.0</v>
      </c>
      <c r="F1262" s="3">
        <v>0.0</v>
      </c>
    </row>
    <row r="1263" ht="12.75" customHeight="1">
      <c r="A1263" s="1">
        <v>0.0</v>
      </c>
      <c r="B1263" s="2" t="s">
        <v>2288</v>
      </c>
      <c r="C1263" s="1" t="s">
        <v>2289</v>
      </c>
      <c r="D1263" s="1" t="s">
        <v>2290</v>
      </c>
      <c r="E1263" s="3">
        <v>1.0</v>
      </c>
      <c r="F1263" s="3">
        <v>0.0</v>
      </c>
    </row>
    <row r="1264" ht="12.75" customHeight="1">
      <c r="A1264" s="1">
        <v>0.0</v>
      </c>
      <c r="B1264" s="2" t="s">
        <v>3289</v>
      </c>
      <c r="C1264" s="1" t="s">
        <v>3290</v>
      </c>
      <c r="D1264" s="1" t="s">
        <v>3256</v>
      </c>
      <c r="E1264" s="3">
        <v>1.0</v>
      </c>
      <c r="F1264" s="3">
        <v>0.0</v>
      </c>
    </row>
    <row r="1265" ht="12.75" customHeight="1">
      <c r="A1265" s="1">
        <v>0.0</v>
      </c>
      <c r="B1265" s="2" t="s">
        <v>2342</v>
      </c>
      <c r="C1265" s="1" t="s">
        <v>2343</v>
      </c>
      <c r="D1265" s="1" t="s">
        <v>854</v>
      </c>
      <c r="E1265" s="3">
        <v>1.0</v>
      </c>
      <c r="F1265" s="3">
        <v>0.0</v>
      </c>
    </row>
    <row r="1266" ht="12.75" customHeight="1">
      <c r="A1266" s="1">
        <v>0.0</v>
      </c>
      <c r="B1266" s="2" t="s">
        <v>3698</v>
      </c>
      <c r="C1266" s="1" t="s">
        <v>3699</v>
      </c>
      <c r="D1266" s="1" t="s">
        <v>3700</v>
      </c>
      <c r="E1266" s="3">
        <v>1.0</v>
      </c>
      <c r="F1266" s="3">
        <v>0.0</v>
      </c>
    </row>
    <row r="1267" ht="12.75" customHeight="1">
      <c r="A1267" s="1">
        <v>0.0</v>
      </c>
      <c r="B1267" s="2" t="s">
        <v>3152</v>
      </c>
      <c r="C1267" s="1" t="s">
        <v>3153</v>
      </c>
      <c r="D1267" s="1" t="s">
        <v>3151</v>
      </c>
      <c r="E1267" s="3">
        <v>1.0</v>
      </c>
      <c r="F1267" s="3">
        <v>0.0</v>
      </c>
    </row>
    <row r="1268" ht="12.75" customHeight="1">
      <c r="A1268" s="1">
        <v>0.0</v>
      </c>
      <c r="B1268" s="2" t="s">
        <v>3626</v>
      </c>
      <c r="C1268" s="1" t="s">
        <v>3627</v>
      </c>
      <c r="D1268" s="1" t="s">
        <v>3621</v>
      </c>
      <c r="E1268" s="3">
        <v>1.0</v>
      </c>
      <c r="F1268" s="3">
        <v>0.0</v>
      </c>
    </row>
    <row r="1269" ht="12.75" customHeight="1">
      <c r="A1269" s="1">
        <v>0.0</v>
      </c>
      <c r="B1269" s="2" t="s">
        <v>4945</v>
      </c>
      <c r="C1269" s="1" t="s">
        <v>4946</v>
      </c>
      <c r="D1269" s="1" t="s">
        <v>3256</v>
      </c>
      <c r="E1269" s="3">
        <v>1.0</v>
      </c>
      <c r="F1269" s="3">
        <v>0.0</v>
      </c>
    </row>
    <row r="1270" ht="12.75" customHeight="1">
      <c r="A1270" s="1">
        <v>0.0</v>
      </c>
      <c r="B1270" s="2" t="s">
        <v>2825</v>
      </c>
      <c r="C1270" s="1" t="s">
        <v>2821</v>
      </c>
      <c r="D1270" s="1" t="s">
        <v>2826</v>
      </c>
      <c r="E1270" s="3">
        <v>1.0</v>
      </c>
      <c r="F1270" s="3">
        <v>0.0</v>
      </c>
    </row>
    <row r="1271" ht="12.75" customHeight="1">
      <c r="A1271" s="1">
        <v>0.0</v>
      </c>
      <c r="B1271" s="2" t="s">
        <v>2823</v>
      </c>
      <c r="C1271" s="1" t="s">
        <v>2821</v>
      </c>
      <c r="D1271" s="1" t="s">
        <v>2824</v>
      </c>
      <c r="E1271" s="3">
        <v>1.0</v>
      </c>
      <c r="F1271" s="3">
        <v>0.0</v>
      </c>
    </row>
    <row r="1272" ht="12.75" customHeight="1">
      <c r="A1272" s="1">
        <v>0.0</v>
      </c>
      <c r="B1272" s="2" t="s">
        <v>4947</v>
      </c>
      <c r="C1272" s="1" t="s">
        <v>4948</v>
      </c>
      <c r="D1272" s="1" t="s">
        <v>4949</v>
      </c>
      <c r="E1272" s="3">
        <v>1.0</v>
      </c>
      <c r="F1272" s="3">
        <v>0.0</v>
      </c>
    </row>
    <row r="1273" ht="12.75" customHeight="1">
      <c r="A1273" s="1">
        <v>0.0</v>
      </c>
      <c r="B1273" s="2" t="s">
        <v>3291</v>
      </c>
      <c r="C1273" s="1" t="s">
        <v>3292</v>
      </c>
      <c r="D1273" s="1" t="s">
        <v>3256</v>
      </c>
      <c r="E1273" s="3">
        <v>1.0</v>
      </c>
      <c r="F1273" s="3">
        <v>0.0</v>
      </c>
    </row>
    <row r="1274" ht="12.75" customHeight="1">
      <c r="A1274" s="1">
        <v>0.0</v>
      </c>
      <c r="B1274" s="2" t="s">
        <v>3928</v>
      </c>
      <c r="C1274" s="1" t="s">
        <v>3929</v>
      </c>
      <c r="D1274" s="1" t="s">
        <v>3930</v>
      </c>
      <c r="E1274" s="3">
        <v>1.0</v>
      </c>
      <c r="F1274" s="3">
        <v>0.0</v>
      </c>
    </row>
    <row r="1275" ht="12.75" customHeight="1">
      <c r="A1275" s="1">
        <v>0.0</v>
      </c>
      <c r="B1275" s="2" t="s">
        <v>2276</v>
      </c>
      <c r="C1275" s="1" t="s">
        <v>2277</v>
      </c>
      <c r="D1275" s="1" t="s">
        <v>2278</v>
      </c>
      <c r="E1275" s="3">
        <v>1.0</v>
      </c>
      <c r="F1275" s="3">
        <v>0.0</v>
      </c>
    </row>
    <row r="1276" ht="12.75" customHeight="1">
      <c r="A1276" s="1">
        <v>0.0</v>
      </c>
      <c r="B1276" s="2" t="s">
        <v>2389</v>
      </c>
      <c r="C1276" s="1" t="s">
        <v>2390</v>
      </c>
      <c r="D1276" s="1" t="s">
        <v>2391</v>
      </c>
      <c r="E1276" s="3">
        <v>1.0</v>
      </c>
      <c r="F1276" s="3">
        <v>0.0</v>
      </c>
    </row>
    <row r="1277" ht="12.75" customHeight="1">
      <c r="A1277" s="1">
        <v>0.0</v>
      </c>
      <c r="B1277" s="2" t="s">
        <v>4950</v>
      </c>
      <c r="C1277" s="1" t="s">
        <v>4951</v>
      </c>
      <c r="D1277" s="1" t="s">
        <v>3256</v>
      </c>
      <c r="E1277" s="3">
        <v>1.0</v>
      </c>
      <c r="F1277" s="3">
        <v>0.0</v>
      </c>
    </row>
    <row r="1278" ht="12.75" customHeight="1">
      <c r="A1278" s="1">
        <v>0.0</v>
      </c>
      <c r="B1278" s="2" t="s">
        <v>3973</v>
      </c>
      <c r="C1278" s="1" t="s">
        <v>3974</v>
      </c>
      <c r="D1278" s="1" t="s">
        <v>3975</v>
      </c>
      <c r="E1278" s="3">
        <v>1.0</v>
      </c>
      <c r="F1278" s="3">
        <v>0.0</v>
      </c>
    </row>
    <row r="1279" ht="12.75" customHeight="1">
      <c r="A1279" s="1">
        <v>0.0</v>
      </c>
      <c r="B1279" s="2" t="s">
        <v>3293</v>
      </c>
      <c r="C1279" s="1" t="s">
        <v>3294</v>
      </c>
      <c r="D1279" s="1" t="s">
        <v>3256</v>
      </c>
      <c r="E1279" s="3">
        <v>1.0</v>
      </c>
      <c r="F1279" s="3">
        <v>0.0</v>
      </c>
    </row>
    <row r="1280" ht="12.75" customHeight="1">
      <c r="A1280" s="1">
        <v>0.0</v>
      </c>
      <c r="B1280" s="2" t="s">
        <v>3511</v>
      </c>
      <c r="C1280" s="1" t="s">
        <v>3512</v>
      </c>
      <c r="D1280" s="1" t="s">
        <v>3513</v>
      </c>
      <c r="E1280" s="3">
        <v>1.0</v>
      </c>
      <c r="F1280" s="3">
        <v>0.0</v>
      </c>
    </row>
    <row r="1281" ht="12.75" customHeight="1">
      <c r="A1281" s="1">
        <v>0.0</v>
      </c>
      <c r="B1281" s="2" t="s">
        <v>2668</v>
      </c>
      <c r="C1281" s="1" t="s">
        <v>2669</v>
      </c>
      <c r="D1281" s="1" t="s">
        <v>2670</v>
      </c>
      <c r="E1281" s="3">
        <v>1.0</v>
      </c>
      <c r="F1281" s="3">
        <v>0.0</v>
      </c>
    </row>
    <row r="1282" ht="12.75" customHeight="1">
      <c r="A1282" s="1">
        <v>0.0</v>
      </c>
      <c r="B1282" s="2" t="s">
        <v>2362</v>
      </c>
      <c r="C1282" s="1" t="s">
        <v>838</v>
      </c>
      <c r="D1282" s="1" t="s">
        <v>2363</v>
      </c>
      <c r="E1282" s="3">
        <v>1.0</v>
      </c>
      <c r="F1282" s="3">
        <v>0.0</v>
      </c>
    </row>
    <row r="1283" ht="12.75" customHeight="1">
      <c r="A1283" s="1">
        <v>0.0</v>
      </c>
      <c r="B1283" s="2" t="s">
        <v>4952</v>
      </c>
      <c r="C1283" s="1" t="s">
        <v>4953</v>
      </c>
      <c r="D1283" s="1" t="s">
        <v>1676</v>
      </c>
      <c r="E1283" s="3">
        <v>1.0</v>
      </c>
      <c r="F1283" s="3">
        <v>0.0</v>
      </c>
    </row>
    <row r="1284" ht="12.75" customHeight="1">
      <c r="A1284" s="1">
        <v>0.0</v>
      </c>
      <c r="B1284" s="2" t="s">
        <v>3610</v>
      </c>
      <c r="C1284" s="1" t="s">
        <v>3611</v>
      </c>
      <c r="D1284" s="1" t="s">
        <v>3612</v>
      </c>
      <c r="E1284" s="3">
        <v>1.0</v>
      </c>
      <c r="F1284" s="3">
        <v>0.0</v>
      </c>
    </row>
    <row r="1285" ht="12.75" customHeight="1">
      <c r="A1285" s="1">
        <v>0.0</v>
      </c>
      <c r="B1285" s="2" t="s">
        <v>4954</v>
      </c>
      <c r="C1285" s="1" t="s">
        <v>4955</v>
      </c>
      <c r="D1285" s="1" t="s">
        <v>4956</v>
      </c>
      <c r="E1285" s="3">
        <v>1.0</v>
      </c>
      <c r="F1285" s="3">
        <v>0.0</v>
      </c>
    </row>
    <row r="1286" ht="12.75" customHeight="1">
      <c r="A1286" s="1">
        <v>0.0</v>
      </c>
      <c r="B1286" s="2" t="s">
        <v>4067</v>
      </c>
      <c r="C1286" s="1" t="s">
        <v>4068</v>
      </c>
      <c r="D1286" s="1" t="s">
        <v>3294</v>
      </c>
      <c r="E1286" s="3">
        <v>1.0</v>
      </c>
      <c r="F1286" s="3">
        <v>0.0</v>
      </c>
    </row>
    <row r="1287" ht="12.75" customHeight="1">
      <c r="A1287" s="1">
        <v>0.0</v>
      </c>
      <c r="B1287" s="2" t="s">
        <v>2213</v>
      </c>
      <c r="C1287" s="1" t="s">
        <v>2214</v>
      </c>
      <c r="D1287" s="1" t="s">
        <v>2215</v>
      </c>
      <c r="E1287" s="3">
        <v>1.0</v>
      </c>
      <c r="F1287" s="3">
        <v>0.0</v>
      </c>
    </row>
    <row r="1288" ht="12.75" customHeight="1">
      <c r="A1288" s="1">
        <v>0.0</v>
      </c>
      <c r="B1288" s="2" t="s">
        <v>2279</v>
      </c>
      <c r="C1288" s="1" t="s">
        <v>2280</v>
      </c>
      <c r="D1288" s="1" t="s">
        <v>2278</v>
      </c>
      <c r="E1288" s="3">
        <v>1.0</v>
      </c>
      <c r="F1288" s="3">
        <v>0.0</v>
      </c>
    </row>
    <row r="1289" ht="12.75" customHeight="1">
      <c r="A1289" s="1">
        <v>0.0</v>
      </c>
      <c r="B1289" s="2" t="s">
        <v>4957</v>
      </c>
      <c r="C1289" s="1" t="s">
        <v>4958</v>
      </c>
      <c r="D1289" s="1" t="s">
        <v>854</v>
      </c>
      <c r="E1289" s="3">
        <v>1.0</v>
      </c>
      <c r="F1289" s="3">
        <v>0.0</v>
      </c>
    </row>
    <row r="1290" ht="12.75" customHeight="1">
      <c r="A1290" s="1">
        <v>0.0</v>
      </c>
      <c r="B1290" s="2" t="s">
        <v>3758</v>
      </c>
      <c r="C1290" s="1" t="s">
        <v>3759</v>
      </c>
      <c r="D1290" s="1" t="s">
        <v>3760</v>
      </c>
      <c r="E1290" s="3">
        <v>1.0</v>
      </c>
      <c r="F1290" s="3">
        <v>0.0</v>
      </c>
    </row>
    <row r="1291" ht="12.75" customHeight="1">
      <c r="A1291" s="1">
        <v>0.0</v>
      </c>
      <c r="B1291" s="2" t="s">
        <v>3888</v>
      </c>
      <c r="C1291" s="1" t="s">
        <v>3889</v>
      </c>
      <c r="D1291" s="1" t="s">
        <v>3890</v>
      </c>
      <c r="E1291" s="3">
        <v>1.0</v>
      </c>
      <c r="F1291" s="3">
        <v>0.0</v>
      </c>
    </row>
    <row r="1292" ht="12.75" customHeight="1">
      <c r="A1292" s="1">
        <v>0.0</v>
      </c>
      <c r="B1292" s="2" t="s">
        <v>4959</v>
      </c>
      <c r="C1292" s="1" t="s">
        <v>4960</v>
      </c>
      <c r="D1292" s="1" t="s">
        <v>4961</v>
      </c>
      <c r="E1292" s="3">
        <v>1.0</v>
      </c>
      <c r="F1292" s="3">
        <v>0.0</v>
      </c>
    </row>
    <row r="1293" ht="12.75" customHeight="1">
      <c r="A1293" s="1">
        <v>0.0</v>
      </c>
      <c r="B1293" s="2" t="s">
        <v>4962</v>
      </c>
      <c r="C1293" s="1" t="s">
        <v>4963</v>
      </c>
      <c r="D1293" s="1" t="s">
        <v>4964</v>
      </c>
      <c r="E1293" s="3">
        <v>1.0</v>
      </c>
      <c r="F1293" s="3">
        <v>0.0</v>
      </c>
    </row>
    <row r="1294" ht="12.75" customHeight="1">
      <c r="A1294" s="1">
        <v>0.0</v>
      </c>
      <c r="B1294" s="2" t="s">
        <v>4965</v>
      </c>
      <c r="C1294" s="1" t="s">
        <v>4966</v>
      </c>
      <c r="D1294" s="1" t="s">
        <v>4967</v>
      </c>
      <c r="E1294" s="3">
        <v>1.0</v>
      </c>
      <c r="F1294" s="3">
        <v>0.0</v>
      </c>
    </row>
    <row r="1295" ht="12.75" customHeight="1">
      <c r="A1295" s="1">
        <v>0.0</v>
      </c>
      <c r="B1295" s="2" t="s">
        <v>2364</v>
      </c>
      <c r="C1295" s="1" t="s">
        <v>2365</v>
      </c>
      <c r="D1295" s="1" t="s">
        <v>2366</v>
      </c>
      <c r="E1295" s="3">
        <v>1.0</v>
      </c>
      <c r="F1295" s="3">
        <v>0.0</v>
      </c>
    </row>
    <row r="1296" ht="12.75" customHeight="1">
      <c r="A1296" s="1">
        <v>0.0</v>
      </c>
      <c r="B1296" s="2" t="s">
        <v>3154</v>
      </c>
      <c r="C1296" s="1" t="s">
        <v>3155</v>
      </c>
      <c r="D1296" s="1" t="s">
        <v>3151</v>
      </c>
      <c r="E1296" s="3">
        <v>1.0</v>
      </c>
      <c r="F1296" s="3">
        <v>0.0</v>
      </c>
    </row>
    <row r="1297" ht="12.75" customHeight="1">
      <c r="A1297" s="1">
        <v>0.0</v>
      </c>
      <c r="B1297" s="2" t="s">
        <v>2259</v>
      </c>
      <c r="C1297" s="1" t="s">
        <v>2260</v>
      </c>
      <c r="D1297" s="1" t="s">
        <v>2261</v>
      </c>
      <c r="E1297" s="3">
        <v>1.0</v>
      </c>
      <c r="F1297" s="3">
        <v>0.0</v>
      </c>
    </row>
    <row r="1298" ht="12.75" customHeight="1">
      <c r="A1298" s="1">
        <v>0.0</v>
      </c>
      <c r="B1298" s="2" t="s">
        <v>1701</v>
      </c>
      <c r="C1298" s="1" t="s">
        <v>1702</v>
      </c>
      <c r="D1298" s="1" t="s">
        <v>1703</v>
      </c>
      <c r="E1298" s="3">
        <v>1.0</v>
      </c>
      <c r="F1298" s="3">
        <v>0.0</v>
      </c>
    </row>
    <row r="1299" ht="12.75" customHeight="1">
      <c r="A1299" s="1">
        <v>0.0</v>
      </c>
      <c r="B1299" s="2" t="s">
        <v>4968</v>
      </c>
      <c r="C1299" s="1" t="s">
        <v>4955</v>
      </c>
      <c r="D1299" s="1" t="s">
        <v>4969</v>
      </c>
      <c r="E1299" s="3">
        <v>1.0</v>
      </c>
      <c r="F1299" s="3">
        <v>0.0</v>
      </c>
    </row>
    <row r="1300" ht="12.75" customHeight="1">
      <c r="A1300" s="1">
        <v>0.0</v>
      </c>
      <c r="B1300" s="2" t="s">
        <v>3979</v>
      </c>
      <c r="C1300" s="1" t="s">
        <v>3980</v>
      </c>
      <c r="D1300" s="1" t="s">
        <v>3981</v>
      </c>
      <c r="E1300" s="3">
        <v>1.0</v>
      </c>
      <c r="F1300" s="3">
        <v>0.0</v>
      </c>
    </row>
    <row r="1301" ht="12.75" customHeight="1">
      <c r="A1301" s="1">
        <v>0.0</v>
      </c>
      <c r="B1301" s="2" t="s">
        <v>4970</v>
      </c>
      <c r="C1301" s="1" t="s">
        <v>4971</v>
      </c>
      <c r="D1301" s="1" t="s">
        <v>4972</v>
      </c>
      <c r="E1301" s="3">
        <v>1.0</v>
      </c>
      <c r="F1301" s="3">
        <v>0.0</v>
      </c>
    </row>
    <row r="1302" ht="12.75" customHeight="1">
      <c r="A1302" s="1">
        <v>0.0</v>
      </c>
      <c r="B1302" s="2" t="s">
        <v>3295</v>
      </c>
      <c r="C1302" s="1" t="s">
        <v>3296</v>
      </c>
      <c r="D1302" s="1" t="s">
        <v>3256</v>
      </c>
      <c r="E1302" s="3">
        <v>1.0</v>
      </c>
      <c r="F1302" s="3">
        <v>0.0</v>
      </c>
    </row>
    <row r="1303" ht="12.75" customHeight="1">
      <c r="A1303" s="1">
        <v>0.0</v>
      </c>
      <c r="B1303" s="2" t="s">
        <v>3174</v>
      </c>
      <c r="C1303" s="1" t="s">
        <v>3175</v>
      </c>
      <c r="D1303" s="1" t="s">
        <v>3176</v>
      </c>
      <c r="E1303" s="3">
        <v>1.0</v>
      </c>
      <c r="F1303" s="3">
        <v>0.0</v>
      </c>
    </row>
    <row r="1304" ht="12.75" customHeight="1">
      <c r="A1304" s="1">
        <v>0.0</v>
      </c>
      <c r="B1304" s="2" t="s">
        <v>3297</v>
      </c>
      <c r="C1304" s="1" t="s">
        <v>3298</v>
      </c>
      <c r="D1304" s="1" t="s">
        <v>3256</v>
      </c>
      <c r="E1304" s="3">
        <v>1.0</v>
      </c>
      <c r="F1304" s="3">
        <v>0.0</v>
      </c>
    </row>
    <row r="1305" ht="12.75" customHeight="1">
      <c r="A1305" s="1">
        <v>0.0</v>
      </c>
      <c r="B1305" s="2" t="s">
        <v>3523</v>
      </c>
      <c r="C1305" s="1" t="s">
        <v>3524</v>
      </c>
      <c r="D1305" s="1" t="s">
        <v>916</v>
      </c>
      <c r="E1305" s="3">
        <v>1.0</v>
      </c>
      <c r="F1305" s="3">
        <v>0.0</v>
      </c>
    </row>
    <row r="1306" ht="12.75" customHeight="1">
      <c r="A1306" s="1">
        <v>0.0</v>
      </c>
      <c r="B1306" s="2" t="s">
        <v>4973</v>
      </c>
      <c r="C1306" s="1" t="s">
        <v>4974</v>
      </c>
      <c r="D1306" s="1">
        <v>1.0</v>
      </c>
      <c r="E1306" s="3">
        <v>1.0</v>
      </c>
      <c r="F1306" s="3">
        <v>0.0</v>
      </c>
    </row>
    <row r="1307" ht="12.75" customHeight="1">
      <c r="A1307" s="1">
        <v>0.0</v>
      </c>
      <c r="B1307" s="2" t="s">
        <v>1936</v>
      </c>
      <c r="C1307" s="1" t="s">
        <v>1937</v>
      </c>
      <c r="D1307" s="1" t="s">
        <v>1938</v>
      </c>
      <c r="E1307" s="3">
        <v>1.0</v>
      </c>
      <c r="F1307" s="3">
        <v>0.0</v>
      </c>
    </row>
    <row r="1308" ht="12.75" customHeight="1">
      <c r="A1308" s="1">
        <v>0.0</v>
      </c>
      <c r="B1308" s="2" t="s">
        <v>2448</v>
      </c>
      <c r="C1308" s="1" t="s">
        <v>2449</v>
      </c>
      <c r="D1308" s="1" t="s">
        <v>2450</v>
      </c>
      <c r="E1308" s="3">
        <v>1.0</v>
      </c>
      <c r="F1308" s="3">
        <v>0.0</v>
      </c>
    </row>
    <row r="1309" ht="12.75" customHeight="1">
      <c r="A1309" s="1">
        <v>0.0</v>
      </c>
      <c r="B1309" s="2" t="s">
        <v>2415</v>
      </c>
      <c r="C1309" s="1" t="s">
        <v>2416</v>
      </c>
      <c r="D1309" s="1" t="s">
        <v>2417</v>
      </c>
      <c r="E1309" s="3">
        <v>1.0</v>
      </c>
      <c r="F1309" s="3">
        <v>0.0</v>
      </c>
    </row>
    <row r="1310" ht="12.75" customHeight="1">
      <c r="A1310" s="1">
        <v>0.0</v>
      </c>
      <c r="B1310" s="2" t="s">
        <v>4975</v>
      </c>
      <c r="C1310" s="1" t="s">
        <v>4976</v>
      </c>
      <c r="D1310" s="1" t="s">
        <v>4977</v>
      </c>
      <c r="E1310" s="3">
        <v>1.0</v>
      </c>
      <c r="F1310" s="3">
        <v>0.0</v>
      </c>
    </row>
    <row r="1311" ht="12.75" customHeight="1">
      <c r="A1311" s="1">
        <v>0.0</v>
      </c>
      <c r="B1311" s="2" t="s">
        <v>4978</v>
      </c>
      <c r="C1311" s="1" t="s">
        <v>4979</v>
      </c>
      <c r="D1311" s="1" t="s">
        <v>4980</v>
      </c>
      <c r="E1311" s="3">
        <v>1.0</v>
      </c>
      <c r="F1311" s="3">
        <v>0.0</v>
      </c>
    </row>
    <row r="1312" ht="12.75" customHeight="1">
      <c r="A1312" s="1">
        <v>0.0</v>
      </c>
      <c r="B1312" s="2" t="s">
        <v>4981</v>
      </c>
      <c r="C1312" s="1" t="s">
        <v>4982</v>
      </c>
      <c r="D1312" s="1" t="s">
        <v>4983</v>
      </c>
      <c r="E1312" s="3">
        <v>1.0</v>
      </c>
      <c r="F1312" s="3">
        <v>0.0</v>
      </c>
    </row>
    <row r="1313" ht="12.75" customHeight="1">
      <c r="A1313" s="1">
        <v>0.0</v>
      </c>
      <c r="B1313" s="2" t="s">
        <v>4984</v>
      </c>
      <c r="C1313" s="1" t="s">
        <v>4985</v>
      </c>
      <c r="D1313" s="1" t="s">
        <v>4972</v>
      </c>
      <c r="E1313" s="3">
        <v>1.0</v>
      </c>
      <c r="F1313" s="3">
        <v>0.0</v>
      </c>
    </row>
    <row r="1314" ht="12.75" customHeight="1">
      <c r="A1314" s="1">
        <v>0.0</v>
      </c>
      <c r="B1314" s="2" t="s">
        <v>2401</v>
      </c>
      <c r="C1314" s="1" t="s">
        <v>2402</v>
      </c>
      <c r="D1314" s="1" t="s">
        <v>2403</v>
      </c>
      <c r="E1314" s="3">
        <v>1.0</v>
      </c>
      <c r="F1314" s="3">
        <v>0.0</v>
      </c>
    </row>
    <row r="1315" ht="12.75" customHeight="1">
      <c r="A1315" s="1">
        <v>0.0</v>
      </c>
      <c r="B1315" s="2" t="s">
        <v>3722</v>
      </c>
      <c r="C1315" s="1" t="s">
        <v>3723</v>
      </c>
      <c r="D1315" s="1" t="s">
        <v>3724</v>
      </c>
      <c r="E1315" s="3">
        <v>1.0</v>
      </c>
      <c r="F1315" s="3">
        <v>0.0</v>
      </c>
    </row>
    <row r="1316" ht="12.75" customHeight="1">
      <c r="A1316" s="1">
        <v>0.0</v>
      </c>
      <c r="B1316" s="2" t="s">
        <v>2383</v>
      </c>
      <c r="C1316" s="1" t="s">
        <v>2384</v>
      </c>
      <c r="D1316" s="1" t="s">
        <v>2385</v>
      </c>
      <c r="E1316" s="3">
        <v>1.0</v>
      </c>
      <c r="F1316" s="3">
        <v>0.0</v>
      </c>
    </row>
    <row r="1317" ht="12.75" customHeight="1">
      <c r="A1317" s="1">
        <v>0.0</v>
      </c>
      <c r="B1317" s="2" t="s">
        <v>4986</v>
      </c>
      <c r="C1317" s="1" t="s">
        <v>4987</v>
      </c>
      <c r="D1317" s="1" t="s">
        <v>4988</v>
      </c>
      <c r="E1317" s="3">
        <v>1.0</v>
      </c>
      <c r="F1317" s="3">
        <v>0.0</v>
      </c>
    </row>
    <row r="1318" ht="12.75" customHeight="1">
      <c r="A1318" s="1">
        <v>0.0</v>
      </c>
      <c r="B1318" s="2" t="s">
        <v>3299</v>
      </c>
      <c r="C1318" s="1" t="s">
        <v>3300</v>
      </c>
      <c r="D1318" s="1" t="s">
        <v>3256</v>
      </c>
      <c r="E1318" s="3">
        <v>1.0</v>
      </c>
      <c r="F1318" s="3">
        <v>0.0</v>
      </c>
    </row>
    <row r="1319" ht="12.75" customHeight="1">
      <c r="A1319" s="1">
        <v>0.0</v>
      </c>
      <c r="B1319" s="2" t="s">
        <v>3628</v>
      </c>
      <c r="C1319" s="1" t="s">
        <v>3629</v>
      </c>
      <c r="D1319" s="1" t="s">
        <v>3621</v>
      </c>
      <c r="E1319" s="3">
        <v>1.0</v>
      </c>
      <c r="F1319" s="3">
        <v>0.0</v>
      </c>
    </row>
    <row r="1320" ht="12.75" customHeight="1">
      <c r="A1320" s="1">
        <v>0.0</v>
      </c>
      <c r="B1320" s="2" t="s">
        <v>4989</v>
      </c>
      <c r="C1320" s="1" t="s">
        <v>4990</v>
      </c>
      <c r="D1320" s="1" t="s">
        <v>4991</v>
      </c>
      <c r="E1320" s="3">
        <v>1.0</v>
      </c>
      <c r="F1320" s="3">
        <v>0.0</v>
      </c>
    </row>
    <row r="1321" ht="12.75" customHeight="1">
      <c r="A1321" s="1">
        <v>0.0</v>
      </c>
      <c r="B1321" s="2" t="s">
        <v>3360</v>
      </c>
      <c r="C1321" s="1" t="s">
        <v>3361</v>
      </c>
      <c r="D1321" s="1" t="s">
        <v>3357</v>
      </c>
      <c r="E1321" s="3">
        <v>1.0</v>
      </c>
      <c r="F1321" s="3">
        <v>0.0</v>
      </c>
    </row>
    <row r="1322" ht="12.75" customHeight="1">
      <c r="A1322" s="1">
        <v>0.0</v>
      </c>
      <c r="B1322" s="2" t="s">
        <v>4992</v>
      </c>
      <c r="C1322" s="1" t="s">
        <v>3282</v>
      </c>
      <c r="D1322" s="1" t="s">
        <v>4993</v>
      </c>
      <c r="E1322" s="3">
        <v>1.0</v>
      </c>
      <c r="F1322" s="3">
        <v>0.0</v>
      </c>
    </row>
    <row r="1323" ht="12.75" customHeight="1">
      <c r="A1323" s="1">
        <v>0.0</v>
      </c>
      <c r="B1323" s="2" t="s">
        <v>2752</v>
      </c>
      <c r="C1323" s="1" t="s">
        <v>2753</v>
      </c>
      <c r="D1323" s="1" t="s">
        <v>2754</v>
      </c>
      <c r="E1323" s="3">
        <v>1.0</v>
      </c>
      <c r="F1323" s="3">
        <v>0.0</v>
      </c>
    </row>
    <row r="1324" ht="12.75" customHeight="1">
      <c r="A1324" s="1">
        <v>0.0</v>
      </c>
      <c r="B1324" s="2" t="s">
        <v>3301</v>
      </c>
      <c r="C1324" s="1" t="s">
        <v>3302</v>
      </c>
      <c r="D1324" s="1" t="s">
        <v>3256</v>
      </c>
      <c r="E1324" s="3">
        <v>1.0</v>
      </c>
      <c r="F1324" s="3">
        <v>0.0</v>
      </c>
    </row>
    <row r="1325" ht="12.75" customHeight="1">
      <c r="A1325" s="1">
        <v>0.0</v>
      </c>
      <c r="B1325" s="2" t="s">
        <v>3303</v>
      </c>
      <c r="C1325" s="1" t="s">
        <v>3304</v>
      </c>
      <c r="D1325" s="1" t="s">
        <v>3256</v>
      </c>
      <c r="E1325" s="3">
        <v>1.0</v>
      </c>
      <c r="F1325" s="3">
        <v>0.0</v>
      </c>
    </row>
    <row r="1326" ht="12.75" customHeight="1">
      <c r="A1326" s="1">
        <v>0.0</v>
      </c>
      <c r="B1326" s="2" t="s">
        <v>2820</v>
      </c>
      <c r="C1326" s="1" t="s">
        <v>2821</v>
      </c>
      <c r="D1326" s="1" t="s">
        <v>2822</v>
      </c>
      <c r="E1326" s="3">
        <v>1.0</v>
      </c>
      <c r="F1326" s="3">
        <v>0.0</v>
      </c>
    </row>
    <row r="1327" ht="12.75" customHeight="1">
      <c r="A1327" s="1">
        <v>0.0</v>
      </c>
      <c r="B1327" s="2" t="s">
        <v>2171</v>
      </c>
      <c r="C1327" s="1" t="s">
        <v>2172</v>
      </c>
      <c r="D1327" s="1" t="s">
        <v>2173</v>
      </c>
      <c r="E1327" s="3">
        <v>1.0</v>
      </c>
      <c r="F1327" s="3">
        <v>0.0</v>
      </c>
    </row>
    <row r="1328" ht="12.75" customHeight="1">
      <c r="A1328" s="1">
        <v>0.0</v>
      </c>
      <c r="B1328" s="2" t="s">
        <v>3305</v>
      </c>
      <c r="C1328" s="1" t="s">
        <v>3306</v>
      </c>
      <c r="D1328" s="1" t="s">
        <v>3256</v>
      </c>
      <c r="E1328" s="3">
        <v>1.0</v>
      </c>
      <c r="F1328" s="3">
        <v>0.0</v>
      </c>
    </row>
    <row r="1329" ht="12.75" customHeight="1">
      <c r="A1329" s="1">
        <v>0.0</v>
      </c>
      <c r="B1329" s="2" t="s">
        <v>4994</v>
      </c>
      <c r="C1329" s="1" t="s">
        <v>4995</v>
      </c>
      <c r="D1329" s="1" t="s">
        <v>3256</v>
      </c>
      <c r="E1329" s="3">
        <v>1.0</v>
      </c>
      <c r="F1329" s="3">
        <v>0.0</v>
      </c>
    </row>
    <row r="1330" ht="12.75" customHeight="1">
      <c r="A1330" s="1">
        <v>0.0</v>
      </c>
      <c r="B1330" s="2" t="s">
        <v>3185</v>
      </c>
      <c r="C1330" s="1" t="s">
        <v>3186</v>
      </c>
      <c r="D1330" s="1" t="s">
        <v>3187</v>
      </c>
      <c r="E1330" s="3">
        <v>1.0</v>
      </c>
      <c r="F1330" s="3">
        <v>0.0</v>
      </c>
    </row>
    <row r="1331" ht="12.75" customHeight="1">
      <c r="A1331" s="1">
        <v>0.0</v>
      </c>
      <c r="B1331" s="2" t="s">
        <v>3993</v>
      </c>
      <c r="C1331" s="1" t="s">
        <v>3994</v>
      </c>
      <c r="D1331" s="1" t="s">
        <v>3995</v>
      </c>
      <c r="E1331" s="3">
        <v>1.0</v>
      </c>
      <c r="F1331" s="3">
        <v>0.0</v>
      </c>
    </row>
    <row r="1332" ht="12.75" customHeight="1">
      <c r="A1332" s="1">
        <v>0.0</v>
      </c>
      <c r="B1332" s="2" t="s">
        <v>4996</v>
      </c>
      <c r="C1332" s="1" t="s">
        <v>4997</v>
      </c>
      <c r="D1332" s="1" t="s">
        <v>4998</v>
      </c>
      <c r="E1332" s="3">
        <v>1.0</v>
      </c>
      <c r="F1332" s="3">
        <v>0.0</v>
      </c>
    </row>
    <row r="1333" ht="12.75" customHeight="1">
      <c r="A1333" s="1">
        <v>0.0</v>
      </c>
      <c r="B1333" s="2" t="s">
        <v>4999</v>
      </c>
      <c r="C1333" s="1" t="s">
        <v>5000</v>
      </c>
      <c r="D1333" s="1" t="s">
        <v>4914</v>
      </c>
      <c r="E1333" s="3">
        <v>1.0</v>
      </c>
      <c r="F1333" s="3">
        <v>0.0</v>
      </c>
    </row>
    <row r="1334" ht="12.75" customHeight="1">
      <c r="A1334" s="1">
        <v>0.0</v>
      </c>
      <c r="B1334" s="2" t="s">
        <v>3470</v>
      </c>
      <c r="C1334" s="1" t="s">
        <v>3471</v>
      </c>
      <c r="D1334" s="1" t="s">
        <v>3472</v>
      </c>
      <c r="E1334" s="3">
        <v>1.0</v>
      </c>
      <c r="F1334" s="3">
        <v>0.0</v>
      </c>
    </row>
    <row r="1335" ht="12.75" customHeight="1">
      <c r="A1335" s="1">
        <v>0.0</v>
      </c>
      <c r="B1335" s="2" t="s">
        <v>5001</v>
      </c>
      <c r="C1335" s="1" t="s">
        <v>5002</v>
      </c>
      <c r="D1335" s="1" t="s">
        <v>3256</v>
      </c>
      <c r="E1335" s="3">
        <v>1.0</v>
      </c>
      <c r="F1335" s="3">
        <v>0.0</v>
      </c>
    </row>
    <row r="1336" ht="12.75" customHeight="1">
      <c r="A1336" s="1">
        <v>0.0</v>
      </c>
      <c r="B1336" s="2" t="s">
        <v>2348</v>
      </c>
      <c r="C1336" s="1" t="s">
        <v>2349</v>
      </c>
      <c r="D1336" s="1" t="s">
        <v>2350</v>
      </c>
      <c r="E1336" s="3">
        <v>1.0</v>
      </c>
      <c r="F1336" s="3">
        <v>0.0</v>
      </c>
    </row>
    <row r="1337" ht="12.75" customHeight="1">
      <c r="A1337" s="1">
        <v>0.0</v>
      </c>
      <c r="B1337" s="2" t="s">
        <v>3692</v>
      </c>
      <c r="C1337" s="1" t="s">
        <v>3693</v>
      </c>
      <c r="D1337" s="1" t="s">
        <v>3694</v>
      </c>
      <c r="E1337" s="3">
        <v>1.0</v>
      </c>
      <c r="F1337" s="3">
        <v>0.0</v>
      </c>
    </row>
    <row r="1338" ht="12.75" customHeight="1">
      <c r="A1338" s="1">
        <v>0.0</v>
      </c>
      <c r="B1338" s="2" t="s">
        <v>3965</v>
      </c>
      <c r="C1338" s="1" t="s">
        <v>3966</v>
      </c>
      <c r="D1338" s="1" t="s">
        <v>3967</v>
      </c>
      <c r="E1338" s="3">
        <v>1.0</v>
      </c>
      <c r="F1338" s="3">
        <v>0.0</v>
      </c>
    </row>
    <row r="1339" ht="12.75" customHeight="1">
      <c r="A1339" s="1">
        <v>0.0</v>
      </c>
      <c r="B1339" s="2" t="s">
        <v>5003</v>
      </c>
      <c r="C1339" s="1" t="s">
        <v>5004</v>
      </c>
      <c r="D1339" s="1" t="s">
        <v>4752</v>
      </c>
      <c r="E1339" s="3">
        <v>1.0</v>
      </c>
      <c r="F1339" s="3">
        <v>0.0</v>
      </c>
    </row>
    <row r="1340" ht="12.75" customHeight="1">
      <c r="A1340" s="1">
        <v>0.0</v>
      </c>
      <c r="B1340" s="2" t="s">
        <v>2679</v>
      </c>
      <c r="C1340" s="1" t="s">
        <v>2680</v>
      </c>
      <c r="D1340" s="1" t="s">
        <v>2681</v>
      </c>
      <c r="E1340" s="3">
        <v>1.0</v>
      </c>
      <c r="F1340" s="3">
        <v>0.0</v>
      </c>
    </row>
    <row r="1341" ht="12.75" customHeight="1">
      <c r="A1341" s="1">
        <v>0.0</v>
      </c>
      <c r="B1341" s="2" t="s">
        <v>2351</v>
      </c>
      <c r="C1341" s="1" t="s">
        <v>2349</v>
      </c>
      <c r="D1341" s="1" t="s">
        <v>2352</v>
      </c>
      <c r="E1341" s="3">
        <v>1.0</v>
      </c>
      <c r="F1341" s="3">
        <v>0.0</v>
      </c>
    </row>
    <row r="1342" ht="12.75" customHeight="1">
      <c r="A1342" s="1">
        <v>0.0</v>
      </c>
      <c r="B1342" s="2" t="s">
        <v>1690</v>
      </c>
      <c r="C1342" s="1" t="s">
        <v>363</v>
      </c>
      <c r="D1342" s="1" t="s">
        <v>1691</v>
      </c>
      <c r="E1342" s="3">
        <v>1.0</v>
      </c>
      <c r="F1342" s="3">
        <v>0.0</v>
      </c>
    </row>
    <row r="1343" ht="12.75" customHeight="1">
      <c r="A1343" s="1">
        <v>0.0</v>
      </c>
      <c r="B1343" s="2" t="s">
        <v>5005</v>
      </c>
      <c r="C1343" s="1" t="s">
        <v>5006</v>
      </c>
      <c r="D1343" s="1" t="s">
        <v>3256</v>
      </c>
      <c r="E1343" s="3">
        <v>1.0</v>
      </c>
      <c r="F1343" s="3">
        <v>0.0</v>
      </c>
    </row>
    <row r="1344" ht="12.75" customHeight="1">
      <c r="A1344" s="1">
        <v>0.0</v>
      </c>
      <c r="B1344" s="2" t="s">
        <v>5007</v>
      </c>
      <c r="C1344" s="1" t="s">
        <v>5008</v>
      </c>
      <c r="D1344" s="1" t="s">
        <v>5009</v>
      </c>
      <c r="E1344" s="3">
        <v>1.0</v>
      </c>
      <c r="F1344" s="3">
        <v>0.0</v>
      </c>
    </row>
    <row r="1345" ht="12.75" customHeight="1">
      <c r="A1345" s="1">
        <v>0.0</v>
      </c>
      <c r="B1345" s="2" t="s">
        <v>3307</v>
      </c>
      <c r="C1345" s="1" t="s">
        <v>3308</v>
      </c>
      <c r="D1345" s="1" t="s">
        <v>3256</v>
      </c>
      <c r="E1345" s="3">
        <v>1.0</v>
      </c>
      <c r="F1345" s="3">
        <v>0.0</v>
      </c>
    </row>
    <row r="1346" ht="12.75" customHeight="1">
      <c r="A1346" s="1">
        <v>0.0</v>
      </c>
      <c r="B1346" s="2" t="s">
        <v>5010</v>
      </c>
      <c r="C1346" s="1" t="s">
        <v>5011</v>
      </c>
      <c r="D1346" s="1" t="s">
        <v>4752</v>
      </c>
      <c r="E1346" s="3">
        <v>1.0</v>
      </c>
      <c r="F1346" s="3">
        <v>0.0</v>
      </c>
    </row>
    <row r="1347" ht="12.75" customHeight="1">
      <c r="A1347" s="1">
        <v>0.0</v>
      </c>
      <c r="B1347" s="2" t="s">
        <v>5012</v>
      </c>
      <c r="C1347" s="1" t="s">
        <v>5013</v>
      </c>
      <c r="D1347" s="1" t="s">
        <v>3454</v>
      </c>
      <c r="E1347" s="3">
        <v>1.0</v>
      </c>
      <c r="F1347" s="3">
        <v>0.0</v>
      </c>
    </row>
    <row r="1348" ht="12.75" customHeight="1">
      <c r="A1348" s="1">
        <v>0.0</v>
      </c>
      <c r="B1348" s="2" t="s">
        <v>3457</v>
      </c>
      <c r="C1348" s="1" t="s">
        <v>3458</v>
      </c>
      <c r="D1348" s="1" t="s">
        <v>3454</v>
      </c>
      <c r="E1348" s="3">
        <v>1.0</v>
      </c>
      <c r="F1348" s="3">
        <v>0.0</v>
      </c>
    </row>
    <row r="1349" ht="12.75" customHeight="1">
      <c r="A1349" s="1">
        <v>0.0</v>
      </c>
      <c r="B1349" s="2" t="s">
        <v>4052</v>
      </c>
      <c r="C1349" s="1" t="s">
        <v>4053</v>
      </c>
      <c r="D1349" s="1" t="s">
        <v>4054</v>
      </c>
      <c r="E1349" s="3">
        <v>1.0</v>
      </c>
      <c r="F1349" s="3">
        <v>0.0</v>
      </c>
    </row>
    <row r="1350" ht="12.75" customHeight="1">
      <c r="A1350" s="1">
        <v>0.0</v>
      </c>
      <c r="B1350" s="2" t="s">
        <v>5014</v>
      </c>
      <c r="C1350" s="1" t="s">
        <v>4987</v>
      </c>
      <c r="D1350" s="1" t="s">
        <v>5015</v>
      </c>
      <c r="E1350" s="3">
        <v>1.0</v>
      </c>
      <c r="F1350" s="3">
        <v>0.0</v>
      </c>
    </row>
    <row r="1351" ht="12.75" customHeight="1">
      <c r="A1351" s="1">
        <v>0.0</v>
      </c>
      <c r="B1351" s="2" t="s">
        <v>5016</v>
      </c>
      <c r="C1351" s="1" t="s">
        <v>5017</v>
      </c>
      <c r="D1351" s="1" t="s">
        <v>5018</v>
      </c>
      <c r="E1351" s="3">
        <v>1.0</v>
      </c>
      <c r="F1351" s="3">
        <v>0.0</v>
      </c>
    </row>
    <row r="1352" ht="12.75" customHeight="1">
      <c r="A1352" s="1">
        <v>0.0</v>
      </c>
      <c r="B1352" s="2" t="s">
        <v>5019</v>
      </c>
      <c r="C1352" s="1" t="s">
        <v>5020</v>
      </c>
      <c r="D1352" s="1" t="s">
        <v>5021</v>
      </c>
      <c r="E1352" s="3">
        <v>1.0</v>
      </c>
      <c r="F1352" s="3">
        <v>0.0</v>
      </c>
    </row>
    <row r="1353" ht="12.75" customHeight="1">
      <c r="A1353" s="1">
        <v>0.0</v>
      </c>
      <c r="B1353" s="2" t="s">
        <v>3630</v>
      </c>
      <c r="C1353" s="1" t="s">
        <v>3631</v>
      </c>
      <c r="D1353" s="1" t="s">
        <v>3621</v>
      </c>
      <c r="E1353" s="3">
        <v>1.0</v>
      </c>
      <c r="F1353" s="3">
        <v>0.0</v>
      </c>
    </row>
    <row r="1354" ht="12.75" customHeight="1">
      <c r="A1354" s="1">
        <v>0.0</v>
      </c>
      <c r="B1354" s="2" t="s">
        <v>5022</v>
      </c>
      <c r="C1354" s="1" t="s">
        <v>5023</v>
      </c>
      <c r="D1354" s="1" t="s">
        <v>5024</v>
      </c>
      <c r="E1354" s="3">
        <v>1.0</v>
      </c>
      <c r="F1354" s="3">
        <v>0.0</v>
      </c>
    </row>
    <row r="1355" ht="12.75" customHeight="1">
      <c r="A1355" s="1">
        <v>0.0</v>
      </c>
      <c r="B1355" s="2" t="s">
        <v>3654</v>
      </c>
      <c r="C1355" s="1" t="s">
        <v>3655</v>
      </c>
      <c r="D1355" s="1" t="s">
        <v>3656</v>
      </c>
      <c r="E1355" s="3">
        <v>1.0</v>
      </c>
      <c r="F1355" s="3">
        <v>0.0</v>
      </c>
    </row>
    <row r="1356" ht="12.75" customHeight="1">
      <c r="A1356" s="1">
        <v>0.0</v>
      </c>
      <c r="B1356" s="2" t="s">
        <v>3632</v>
      </c>
      <c r="C1356" s="1" t="s">
        <v>3633</v>
      </c>
      <c r="D1356" s="1" t="s">
        <v>3621</v>
      </c>
      <c r="E1356" s="3">
        <v>1.0</v>
      </c>
      <c r="F1356" s="3">
        <v>0.0</v>
      </c>
    </row>
    <row r="1357" ht="12.75" customHeight="1">
      <c r="A1357" s="1">
        <v>0.0</v>
      </c>
      <c r="B1357" s="2" t="s">
        <v>2812</v>
      </c>
      <c r="C1357" s="1" t="s">
        <v>2813</v>
      </c>
      <c r="D1357" s="1" t="s">
        <v>2814</v>
      </c>
      <c r="E1357" s="3">
        <v>1.0</v>
      </c>
      <c r="F1357" s="3">
        <v>0.0</v>
      </c>
    </row>
    <row r="1358" ht="12.75" customHeight="1">
      <c r="A1358" s="1">
        <v>0.0</v>
      </c>
      <c r="B1358" s="2" t="s">
        <v>3309</v>
      </c>
      <c r="C1358" s="1" t="s">
        <v>3310</v>
      </c>
      <c r="D1358" s="1" t="s">
        <v>3256</v>
      </c>
      <c r="E1358" s="3">
        <v>1.0</v>
      </c>
      <c r="F1358" s="3">
        <v>0.0</v>
      </c>
    </row>
    <row r="1359" ht="12.75" customHeight="1">
      <c r="A1359" s="1">
        <v>0.0</v>
      </c>
      <c r="B1359" s="2" t="s">
        <v>5025</v>
      </c>
      <c r="C1359" s="1" t="s">
        <v>5026</v>
      </c>
      <c r="D1359" s="1" t="s">
        <v>3256</v>
      </c>
      <c r="E1359" s="3">
        <v>1.0</v>
      </c>
      <c r="F1359" s="3">
        <v>0.0</v>
      </c>
    </row>
    <row r="1360" ht="12.75" customHeight="1">
      <c r="A1360" s="1">
        <v>0.0</v>
      </c>
      <c r="B1360" s="2" t="s">
        <v>5027</v>
      </c>
      <c r="C1360" s="1" t="s">
        <v>5028</v>
      </c>
      <c r="D1360" s="1" t="s">
        <v>5029</v>
      </c>
      <c r="E1360" s="3">
        <v>1.0</v>
      </c>
      <c r="F1360" s="3">
        <v>0.0</v>
      </c>
    </row>
    <row r="1361" ht="12.75" customHeight="1">
      <c r="A1361" s="1">
        <v>0.0</v>
      </c>
      <c r="B1361" s="2" t="s">
        <v>5030</v>
      </c>
      <c r="C1361" s="1" t="s">
        <v>5031</v>
      </c>
      <c r="D1361" s="1" t="s">
        <v>5032</v>
      </c>
      <c r="E1361" s="3">
        <v>1.0</v>
      </c>
      <c r="F1361" s="3">
        <v>0.0</v>
      </c>
    </row>
    <row r="1362" ht="12.75" customHeight="1">
      <c r="A1362" s="1">
        <v>0.0</v>
      </c>
      <c r="B1362" s="2" t="s">
        <v>5033</v>
      </c>
      <c r="C1362" s="1" t="s">
        <v>5034</v>
      </c>
      <c r="D1362" s="1" t="s">
        <v>5035</v>
      </c>
      <c r="E1362" s="3">
        <v>1.0</v>
      </c>
      <c r="F1362" s="3">
        <v>0.0</v>
      </c>
    </row>
    <row r="1363" ht="12.75" customHeight="1">
      <c r="A1363" s="1">
        <v>0.0</v>
      </c>
      <c r="B1363" s="2" t="s">
        <v>3634</v>
      </c>
      <c r="C1363" s="1" t="s">
        <v>3635</v>
      </c>
      <c r="D1363" s="1" t="s">
        <v>3621</v>
      </c>
      <c r="E1363" s="3">
        <v>1.0</v>
      </c>
      <c r="F1363" s="3">
        <v>0.0</v>
      </c>
    </row>
    <row r="1364" ht="12.75" customHeight="1">
      <c r="A1364" s="1">
        <v>0.0</v>
      </c>
      <c r="B1364" s="2" t="s">
        <v>5036</v>
      </c>
      <c r="C1364" s="1" t="s">
        <v>5037</v>
      </c>
      <c r="D1364" s="1" t="s">
        <v>5038</v>
      </c>
      <c r="E1364" s="3">
        <v>1.0</v>
      </c>
      <c r="F1364" s="3">
        <v>0.0</v>
      </c>
    </row>
    <row r="1365" ht="12.75" customHeight="1">
      <c r="A1365" s="1">
        <v>0.0</v>
      </c>
      <c r="B1365" s="2" t="s">
        <v>3540</v>
      </c>
      <c r="C1365" s="1" t="s">
        <v>3541</v>
      </c>
      <c r="D1365" s="1" t="s">
        <v>3537</v>
      </c>
      <c r="E1365" s="3">
        <v>1.0</v>
      </c>
      <c r="F1365" s="3">
        <v>0.0</v>
      </c>
    </row>
    <row r="1366" ht="12.75" customHeight="1">
      <c r="A1366" s="1">
        <v>0.0</v>
      </c>
      <c r="B1366" s="2" t="s">
        <v>5039</v>
      </c>
      <c r="C1366" s="1" t="s">
        <v>5040</v>
      </c>
      <c r="D1366" s="1" t="s">
        <v>5041</v>
      </c>
      <c r="E1366" s="3">
        <v>1.0</v>
      </c>
      <c r="F1366" s="3">
        <v>0.0</v>
      </c>
    </row>
    <row r="1367" ht="12.75" customHeight="1">
      <c r="A1367" s="1">
        <v>0.0</v>
      </c>
      <c r="B1367" s="2" t="s">
        <v>3636</v>
      </c>
      <c r="C1367" s="1" t="s">
        <v>3637</v>
      </c>
      <c r="D1367" s="1" t="s">
        <v>3621</v>
      </c>
      <c r="E1367" s="3">
        <v>1.0</v>
      </c>
      <c r="F1367" s="3">
        <v>0.0</v>
      </c>
    </row>
    <row r="1368" ht="12.75" customHeight="1">
      <c r="A1368" s="1">
        <v>0.0</v>
      </c>
      <c r="B1368" s="2" t="s">
        <v>3311</v>
      </c>
      <c r="C1368" s="1" t="s">
        <v>3312</v>
      </c>
      <c r="D1368" s="1" t="s">
        <v>3256</v>
      </c>
      <c r="E1368" s="3">
        <v>1.0</v>
      </c>
      <c r="F1368" s="3">
        <v>0.0</v>
      </c>
    </row>
    <row r="1369" ht="12.75" customHeight="1">
      <c r="A1369" s="1">
        <v>0.0</v>
      </c>
      <c r="B1369" s="2" t="s">
        <v>3638</v>
      </c>
      <c r="C1369" s="1" t="s">
        <v>3639</v>
      </c>
      <c r="D1369" s="1" t="s">
        <v>3621</v>
      </c>
      <c r="E1369" s="3">
        <v>1.0</v>
      </c>
      <c r="F1369" s="3">
        <v>0.0</v>
      </c>
    </row>
    <row r="1370" ht="12.75" customHeight="1">
      <c r="A1370" s="1">
        <v>0.0</v>
      </c>
      <c r="B1370" s="2" t="s">
        <v>3313</v>
      </c>
      <c r="C1370" s="1" t="s">
        <v>3314</v>
      </c>
      <c r="D1370" s="1" t="s">
        <v>3256</v>
      </c>
      <c r="E1370" s="3">
        <v>1.0</v>
      </c>
      <c r="F1370" s="3">
        <v>0.0</v>
      </c>
    </row>
    <row r="1371" ht="12.75" customHeight="1">
      <c r="A1371" s="1">
        <v>0.0</v>
      </c>
      <c r="B1371" s="2" t="s">
        <v>3640</v>
      </c>
      <c r="C1371" s="1" t="s">
        <v>3641</v>
      </c>
      <c r="D1371" s="1" t="s">
        <v>3621</v>
      </c>
      <c r="E1371" s="3">
        <v>1.0</v>
      </c>
      <c r="F1371" s="3">
        <v>0.0</v>
      </c>
    </row>
    <row r="1372" ht="12.75" customHeight="1">
      <c r="A1372" s="1">
        <v>0.0</v>
      </c>
      <c r="B1372" s="2" t="s">
        <v>3315</v>
      </c>
      <c r="C1372" s="1" t="s">
        <v>3316</v>
      </c>
      <c r="D1372" s="1" t="s">
        <v>3256</v>
      </c>
      <c r="E1372" s="3">
        <v>1.0</v>
      </c>
      <c r="F1372" s="3">
        <v>0.0</v>
      </c>
    </row>
    <row r="1373" ht="12.75" customHeight="1">
      <c r="A1373" s="1">
        <v>0.0</v>
      </c>
      <c r="B1373" s="2" t="s">
        <v>3317</v>
      </c>
      <c r="C1373" s="1" t="s">
        <v>3318</v>
      </c>
      <c r="D1373" s="1" t="s">
        <v>3256</v>
      </c>
      <c r="E1373" s="3">
        <v>1.0</v>
      </c>
      <c r="F1373" s="3">
        <v>0.0</v>
      </c>
    </row>
    <row r="1374" ht="12.75" customHeight="1">
      <c r="A1374" s="1">
        <v>0.0</v>
      </c>
      <c r="B1374" s="2" t="s">
        <v>5042</v>
      </c>
      <c r="C1374" s="1" t="s">
        <v>5043</v>
      </c>
      <c r="D1374" s="1" t="s">
        <v>3621</v>
      </c>
      <c r="E1374" s="3">
        <v>1.0</v>
      </c>
      <c r="F1374" s="3">
        <v>0.0</v>
      </c>
    </row>
    <row r="1375" ht="12.75" customHeight="1">
      <c r="A1375" s="1">
        <v>0.0</v>
      </c>
      <c r="B1375" s="2" t="s">
        <v>3196</v>
      </c>
      <c r="C1375" s="1" t="s">
        <v>2214</v>
      </c>
      <c r="D1375" s="1" t="s">
        <v>3197</v>
      </c>
      <c r="E1375" s="3">
        <v>1.0</v>
      </c>
      <c r="F1375" s="3">
        <v>0.0</v>
      </c>
    </row>
    <row r="1376" ht="12.75" customHeight="1">
      <c r="A1376" s="1">
        <v>0.0</v>
      </c>
      <c r="B1376" s="2" t="s">
        <v>2105</v>
      </c>
      <c r="C1376" s="1" t="s">
        <v>2106</v>
      </c>
      <c r="D1376" s="1" t="s">
        <v>2107</v>
      </c>
      <c r="E1376" s="3">
        <v>1.0</v>
      </c>
      <c r="F1376" s="3">
        <v>0.0</v>
      </c>
    </row>
    <row r="1377" ht="12.75" customHeight="1">
      <c r="A1377" s="1">
        <v>0.0</v>
      </c>
      <c r="B1377" s="2" t="s">
        <v>3616</v>
      </c>
      <c r="C1377" s="1" t="s">
        <v>3617</v>
      </c>
      <c r="D1377" s="1" t="s">
        <v>3618</v>
      </c>
      <c r="E1377" s="3">
        <v>1.0</v>
      </c>
      <c r="F1377" s="3">
        <v>0.0</v>
      </c>
    </row>
    <row r="1378" ht="12.75" customHeight="1">
      <c r="A1378" s="1">
        <v>0.0</v>
      </c>
      <c r="B1378" s="2" t="s">
        <v>2093</v>
      </c>
      <c r="C1378" s="1" t="s">
        <v>2094</v>
      </c>
      <c r="D1378" s="1" t="s">
        <v>2095</v>
      </c>
      <c r="E1378" s="3">
        <v>1.0</v>
      </c>
      <c r="F1378" s="3">
        <v>0.0</v>
      </c>
    </row>
    <row r="1379" ht="12.75" customHeight="1">
      <c r="A1379" s="1">
        <v>0.0</v>
      </c>
      <c r="B1379" s="2" t="s">
        <v>3891</v>
      </c>
      <c r="C1379" s="1" t="s">
        <v>3892</v>
      </c>
      <c r="D1379" s="1" t="s">
        <v>3890</v>
      </c>
      <c r="E1379" s="3">
        <v>1.0</v>
      </c>
      <c r="F1379" s="3">
        <v>0.0</v>
      </c>
    </row>
    <row r="1380" ht="12.75" customHeight="1">
      <c r="A1380" s="1">
        <v>0.0</v>
      </c>
      <c r="B1380" s="2" t="s">
        <v>4013</v>
      </c>
      <c r="C1380" s="1" t="s">
        <v>4014</v>
      </c>
      <c r="D1380" s="1" t="s">
        <v>1353</v>
      </c>
      <c r="E1380" s="3">
        <v>1.0</v>
      </c>
      <c r="F1380" s="3">
        <v>0.0</v>
      </c>
    </row>
    <row r="1381" ht="12.75" customHeight="1">
      <c r="A1381" s="1">
        <v>0.0</v>
      </c>
      <c r="B1381" s="2" t="s">
        <v>1737</v>
      </c>
      <c r="C1381" s="1" t="s">
        <v>1738</v>
      </c>
      <c r="D1381" s="1" t="s">
        <v>1739</v>
      </c>
      <c r="E1381" s="3">
        <v>1.0</v>
      </c>
      <c r="F1381" s="3">
        <v>0.0</v>
      </c>
    </row>
    <row r="1382" ht="12.75" customHeight="1">
      <c r="A1382" s="1">
        <v>0.0</v>
      </c>
      <c r="B1382" s="2" t="s">
        <v>3982</v>
      </c>
      <c r="C1382" s="1" t="s">
        <v>3983</v>
      </c>
      <c r="D1382" s="1" t="s">
        <v>3984</v>
      </c>
      <c r="E1382" s="3">
        <v>1.0</v>
      </c>
      <c r="F1382" s="3">
        <v>0.0</v>
      </c>
    </row>
    <row r="1383" ht="12.75" customHeight="1">
      <c r="A1383" s="1">
        <v>0.0</v>
      </c>
      <c r="B1383" s="2" t="s">
        <v>4069</v>
      </c>
      <c r="C1383" s="1" t="s">
        <v>4070</v>
      </c>
      <c r="D1383" s="1" t="s">
        <v>3294</v>
      </c>
      <c r="E1383" s="3">
        <v>1.0</v>
      </c>
      <c r="F1383" s="3">
        <v>0.0</v>
      </c>
    </row>
    <row r="1384" ht="12.75" customHeight="1">
      <c r="A1384" s="1">
        <v>0.0</v>
      </c>
      <c r="B1384" s="2" t="s">
        <v>3319</v>
      </c>
      <c r="C1384" s="1" t="s">
        <v>3320</v>
      </c>
      <c r="D1384" s="1" t="s">
        <v>3256</v>
      </c>
      <c r="E1384" s="3">
        <v>1.0</v>
      </c>
      <c r="F1384" s="3">
        <v>0.0</v>
      </c>
    </row>
    <row r="1385" ht="12.75" customHeight="1">
      <c r="A1385" s="1">
        <v>0.0</v>
      </c>
      <c r="B1385" s="2" t="s">
        <v>3800</v>
      </c>
      <c r="C1385" s="1" t="s">
        <v>3801</v>
      </c>
      <c r="D1385" s="1" t="s">
        <v>3802</v>
      </c>
      <c r="E1385" s="3">
        <v>1.0</v>
      </c>
      <c r="F1385" s="3">
        <v>0.0</v>
      </c>
    </row>
    <row r="1386" ht="12.75" customHeight="1">
      <c r="A1386" s="1">
        <v>0.0</v>
      </c>
      <c r="B1386" s="2">
        <v>563864.0</v>
      </c>
      <c r="C1386" s="1" t="s">
        <v>1978</v>
      </c>
      <c r="D1386" s="1" t="s">
        <v>1829</v>
      </c>
      <c r="E1386" s="3">
        <v>1.0</v>
      </c>
      <c r="F1386" s="3">
        <v>0.0</v>
      </c>
    </row>
    <row r="1387" ht="12.75" customHeight="1">
      <c r="A1387" s="1">
        <v>0.0</v>
      </c>
      <c r="B1387" s="2">
        <v>563865.0</v>
      </c>
      <c r="C1387" s="1" t="s">
        <v>5044</v>
      </c>
      <c r="D1387" s="1" t="s">
        <v>5045</v>
      </c>
      <c r="E1387" s="3">
        <v>1.0</v>
      </c>
      <c r="F1387" s="3">
        <v>0.0</v>
      </c>
    </row>
    <row r="1388" ht="12.75" customHeight="1">
      <c r="A1388" s="1">
        <v>0.0</v>
      </c>
      <c r="B1388" s="2">
        <v>563866.0</v>
      </c>
      <c r="C1388" s="1" t="s">
        <v>5046</v>
      </c>
      <c r="D1388" s="1" t="s">
        <v>5047</v>
      </c>
      <c r="E1388" s="3">
        <v>1.0</v>
      </c>
      <c r="F1388" s="3">
        <v>0.0</v>
      </c>
    </row>
    <row r="1389" ht="12.75" customHeight="1">
      <c r="A1389" s="1">
        <v>0.0</v>
      </c>
      <c r="B1389" s="2">
        <v>563869.0</v>
      </c>
      <c r="C1389" s="1" t="s">
        <v>5048</v>
      </c>
      <c r="D1389" s="1" t="s">
        <v>5049</v>
      </c>
      <c r="E1389" s="3">
        <v>1.0</v>
      </c>
      <c r="F1389" s="3">
        <v>0.0</v>
      </c>
    </row>
    <row r="1390" ht="12.75" customHeight="1">
      <c r="A1390" s="1">
        <v>0.0</v>
      </c>
      <c r="B1390" s="2" t="s">
        <v>5050</v>
      </c>
      <c r="C1390" s="1" t="s">
        <v>5051</v>
      </c>
      <c r="D1390" s="1" t="s">
        <v>5052</v>
      </c>
      <c r="E1390" s="3">
        <v>1.0</v>
      </c>
      <c r="F1390" s="3">
        <v>0.0</v>
      </c>
    </row>
    <row r="1391" ht="12.75" customHeight="1">
      <c r="A1391" s="1">
        <v>0.0</v>
      </c>
      <c r="B1391" s="2" t="s">
        <v>5053</v>
      </c>
      <c r="C1391" s="1" t="s">
        <v>5054</v>
      </c>
      <c r="D1391" s="1" t="s">
        <v>3256</v>
      </c>
      <c r="E1391" s="3">
        <v>1.0</v>
      </c>
      <c r="F1391" s="3">
        <v>0.0</v>
      </c>
    </row>
    <row r="1392" ht="12.75" customHeight="1">
      <c r="A1392" s="1">
        <v>0.0</v>
      </c>
      <c r="B1392" s="2" t="s">
        <v>2122</v>
      </c>
      <c r="C1392" s="1" t="s">
        <v>2123</v>
      </c>
      <c r="D1392" s="1" t="s">
        <v>2124</v>
      </c>
      <c r="E1392" s="3">
        <v>1.0</v>
      </c>
      <c r="F1392" s="3">
        <v>0.0</v>
      </c>
    </row>
    <row r="1393" ht="12.75" customHeight="1">
      <c r="A1393" s="1">
        <v>0.0</v>
      </c>
      <c r="B1393" s="2" t="s">
        <v>5055</v>
      </c>
      <c r="C1393" s="1" t="s">
        <v>5056</v>
      </c>
      <c r="D1393" s="1" t="s">
        <v>916</v>
      </c>
      <c r="E1393" s="3">
        <v>1.0</v>
      </c>
      <c r="F1393" s="3">
        <v>0.0</v>
      </c>
    </row>
    <row r="1394" ht="12.75" customHeight="1">
      <c r="A1394" s="1">
        <v>0.0</v>
      </c>
      <c r="B1394" s="2" t="s">
        <v>5057</v>
      </c>
      <c r="C1394" s="1" t="s">
        <v>5058</v>
      </c>
      <c r="D1394" s="1" t="s">
        <v>5059</v>
      </c>
      <c r="E1394" s="3">
        <v>1.0</v>
      </c>
      <c r="F1394" s="3">
        <v>0.0</v>
      </c>
    </row>
    <row r="1395" ht="12.75" customHeight="1">
      <c r="A1395" s="1">
        <v>0.0</v>
      </c>
      <c r="B1395" s="2" t="s">
        <v>1930</v>
      </c>
      <c r="C1395" s="1" t="s">
        <v>1931</v>
      </c>
      <c r="D1395" s="1" t="s">
        <v>1932</v>
      </c>
      <c r="E1395" s="3">
        <v>1.0</v>
      </c>
      <c r="F1395" s="3">
        <v>0.0</v>
      </c>
    </row>
    <row r="1396" ht="12.75" customHeight="1">
      <c r="A1396" s="1">
        <v>0.0</v>
      </c>
      <c r="B1396" s="2" t="s">
        <v>3792</v>
      </c>
      <c r="C1396" s="1" t="s">
        <v>3793</v>
      </c>
      <c r="D1396" s="1" t="s">
        <v>3794</v>
      </c>
      <c r="E1396" s="3">
        <v>1.0</v>
      </c>
      <c r="F1396" s="3">
        <v>0.0</v>
      </c>
    </row>
    <row r="1397" ht="12.75" customHeight="1">
      <c r="A1397" s="1">
        <v>0.0</v>
      </c>
      <c r="B1397" s="2" t="s">
        <v>2418</v>
      </c>
      <c r="C1397" s="1" t="s">
        <v>2419</v>
      </c>
      <c r="D1397" s="1" t="s">
        <v>2420</v>
      </c>
      <c r="E1397" s="3">
        <v>1.0</v>
      </c>
      <c r="F1397" s="3">
        <v>0.0</v>
      </c>
    </row>
    <row r="1398" ht="12.75" customHeight="1">
      <c r="A1398" s="1">
        <v>0.0</v>
      </c>
      <c r="B1398" s="2" t="s">
        <v>2684</v>
      </c>
      <c r="C1398" s="1" t="s">
        <v>143</v>
      </c>
      <c r="D1398" s="1" t="s">
        <v>2685</v>
      </c>
      <c r="E1398" s="3">
        <v>1.0</v>
      </c>
      <c r="F1398" s="3">
        <v>0.0</v>
      </c>
    </row>
    <row r="1399" ht="12.75" customHeight="1">
      <c r="A1399" s="1">
        <v>0.0</v>
      </c>
      <c r="B1399" s="2" t="s">
        <v>1694</v>
      </c>
      <c r="C1399" s="1" t="s">
        <v>94</v>
      </c>
      <c r="D1399" s="1" t="s">
        <v>291</v>
      </c>
      <c r="E1399" s="3">
        <v>1.0</v>
      </c>
      <c r="F1399" s="3">
        <v>0.0</v>
      </c>
    </row>
    <row r="1400" ht="12.75" customHeight="1">
      <c r="A1400" s="1">
        <v>0.0</v>
      </c>
      <c r="B1400" s="2">
        <v>563900.0</v>
      </c>
      <c r="C1400" s="1" t="s">
        <v>5060</v>
      </c>
      <c r="D1400" s="1" t="s">
        <v>5061</v>
      </c>
      <c r="E1400" s="3">
        <v>1.0</v>
      </c>
      <c r="F1400" s="3">
        <v>0.0</v>
      </c>
    </row>
    <row r="1401" ht="12.75" customHeight="1">
      <c r="A1401" s="1">
        <v>0.0</v>
      </c>
      <c r="B1401" s="2" t="s">
        <v>5062</v>
      </c>
      <c r="C1401" s="1" t="s">
        <v>5063</v>
      </c>
      <c r="D1401" s="1" t="s">
        <v>5064</v>
      </c>
      <c r="E1401" s="3">
        <v>1.0</v>
      </c>
      <c r="F1401" s="3">
        <v>0.0</v>
      </c>
    </row>
    <row r="1402" ht="12.75" customHeight="1">
      <c r="A1402" s="1">
        <v>0.0</v>
      </c>
      <c r="B1402" s="2" t="s">
        <v>5065</v>
      </c>
      <c r="C1402" s="1" t="s">
        <v>5066</v>
      </c>
      <c r="D1402" s="1" t="s">
        <v>5067</v>
      </c>
      <c r="E1402" s="3">
        <v>1.0</v>
      </c>
      <c r="F1402" s="3">
        <v>0.0</v>
      </c>
    </row>
    <row r="1403" ht="12.75" customHeight="1">
      <c r="A1403" s="1">
        <v>0.0</v>
      </c>
      <c r="B1403" s="2" t="s">
        <v>5068</v>
      </c>
      <c r="C1403" s="1" t="s">
        <v>5069</v>
      </c>
      <c r="D1403" s="1" t="s">
        <v>5070</v>
      </c>
      <c r="E1403" s="3">
        <v>1.0</v>
      </c>
      <c r="F1403" s="3">
        <v>0.0</v>
      </c>
    </row>
    <row r="1404" ht="12.75" customHeight="1">
      <c r="A1404" s="1">
        <v>0.0</v>
      </c>
      <c r="B1404" s="2" t="s">
        <v>3780</v>
      </c>
      <c r="C1404" s="1" t="s">
        <v>3781</v>
      </c>
      <c r="D1404" s="1" t="s">
        <v>3782</v>
      </c>
      <c r="E1404" s="3">
        <v>1.0</v>
      </c>
      <c r="F1404" s="3">
        <v>0.0</v>
      </c>
    </row>
    <row r="1405" ht="12.75" customHeight="1">
      <c r="A1405" s="1">
        <v>0.0</v>
      </c>
      <c r="B1405" s="2" t="s">
        <v>3253</v>
      </c>
      <c r="C1405" s="1" t="s">
        <v>3254</v>
      </c>
      <c r="D1405" s="1" t="s">
        <v>3255</v>
      </c>
      <c r="E1405" s="3">
        <v>1.0</v>
      </c>
      <c r="F1405" s="3">
        <v>0.0</v>
      </c>
    </row>
    <row r="1406" ht="12.75" customHeight="1">
      <c r="A1406" s="1">
        <v>0.0</v>
      </c>
      <c r="B1406" s="2" t="s">
        <v>5071</v>
      </c>
      <c r="C1406" s="1" t="s">
        <v>5072</v>
      </c>
      <c r="D1406" s="1" t="s">
        <v>5073</v>
      </c>
      <c r="E1406" s="3">
        <v>1.0</v>
      </c>
      <c r="F1406" s="3">
        <v>0.0</v>
      </c>
    </row>
    <row r="1407" ht="12.75" customHeight="1">
      <c r="A1407" s="1">
        <v>0.0</v>
      </c>
      <c r="B1407" s="2" t="s">
        <v>3321</v>
      </c>
      <c r="C1407" s="1" t="s">
        <v>3322</v>
      </c>
      <c r="D1407" s="1" t="s">
        <v>3256</v>
      </c>
      <c r="E1407" s="3">
        <v>1.0</v>
      </c>
      <c r="F1407" s="3">
        <v>0.0</v>
      </c>
    </row>
    <row r="1408" ht="12.75" customHeight="1">
      <c r="A1408" s="1">
        <v>0.0</v>
      </c>
      <c r="B1408" s="2" t="s">
        <v>1763</v>
      </c>
      <c r="C1408" s="1" t="s">
        <v>1764</v>
      </c>
      <c r="D1408" s="1" t="s">
        <v>1765</v>
      </c>
      <c r="E1408" s="3">
        <v>1.0</v>
      </c>
      <c r="F1408" s="3">
        <v>0.0</v>
      </c>
    </row>
    <row r="1409" ht="12.75" customHeight="1">
      <c r="A1409" s="1">
        <v>0.0</v>
      </c>
      <c r="B1409" s="2" t="s">
        <v>3323</v>
      </c>
      <c r="C1409" s="1" t="s">
        <v>3324</v>
      </c>
      <c r="D1409" s="1" t="s">
        <v>3256</v>
      </c>
      <c r="E1409" s="3">
        <v>1.0</v>
      </c>
      <c r="F1409" s="3">
        <v>0.0</v>
      </c>
    </row>
    <row r="1410" ht="12.75" customHeight="1">
      <c r="A1410" s="1">
        <v>0.0</v>
      </c>
      <c r="B1410" s="2" t="s">
        <v>3642</v>
      </c>
      <c r="C1410" s="1" t="s">
        <v>3643</v>
      </c>
      <c r="D1410" s="1" t="s">
        <v>3621</v>
      </c>
      <c r="E1410" s="3">
        <v>1.0</v>
      </c>
      <c r="F1410" s="3">
        <v>0.0</v>
      </c>
    </row>
    <row r="1411" ht="12.75" customHeight="1">
      <c r="A1411" s="1">
        <v>0.0</v>
      </c>
      <c r="B1411" s="2">
        <v>563951.0</v>
      </c>
      <c r="C1411" s="1" t="s">
        <v>3363</v>
      </c>
      <c r="D1411" s="1" t="s">
        <v>3365</v>
      </c>
      <c r="E1411" s="3">
        <v>1.0</v>
      </c>
      <c r="F1411" s="3">
        <v>0.0</v>
      </c>
    </row>
    <row r="1412" ht="12.75" customHeight="1">
      <c r="A1412" s="1">
        <v>0.0</v>
      </c>
      <c r="B1412" s="2">
        <v>563952.0</v>
      </c>
      <c r="C1412" s="1" t="s">
        <v>3904</v>
      </c>
      <c r="D1412" s="1" t="s">
        <v>3905</v>
      </c>
      <c r="E1412" s="3">
        <v>1.0</v>
      </c>
      <c r="F1412" s="3">
        <v>0.0</v>
      </c>
    </row>
    <row r="1413" ht="12.75" customHeight="1">
      <c r="A1413" s="1">
        <v>0.0</v>
      </c>
      <c r="B1413" s="2">
        <v>563958.0</v>
      </c>
      <c r="C1413" s="1" t="s">
        <v>3207</v>
      </c>
      <c r="D1413" s="1" t="s">
        <v>3208</v>
      </c>
      <c r="E1413" s="3">
        <v>1.0</v>
      </c>
      <c r="F1413" s="3">
        <v>0.0</v>
      </c>
    </row>
    <row r="1414" ht="12.75" customHeight="1">
      <c r="A1414" s="1">
        <v>0.0</v>
      </c>
      <c r="B1414" s="2" t="s">
        <v>5074</v>
      </c>
      <c r="C1414" s="1" t="s">
        <v>5075</v>
      </c>
      <c r="D1414" s="1" t="s">
        <v>5076</v>
      </c>
      <c r="E1414" s="3">
        <v>1.0</v>
      </c>
      <c r="F1414" s="3">
        <v>0.0</v>
      </c>
    </row>
    <row r="1415" ht="12.75" customHeight="1">
      <c r="A1415" s="1">
        <v>0.0</v>
      </c>
      <c r="B1415" s="2" t="s">
        <v>5077</v>
      </c>
      <c r="C1415" s="1" t="s">
        <v>5078</v>
      </c>
      <c r="D1415" s="1" t="s">
        <v>916</v>
      </c>
      <c r="E1415" s="3">
        <v>1.0</v>
      </c>
      <c r="F1415" s="3">
        <v>0.0</v>
      </c>
    </row>
    <row r="1416" ht="12.75" customHeight="1">
      <c r="A1416" s="1">
        <v>0.0</v>
      </c>
      <c r="B1416" s="2" t="s">
        <v>2613</v>
      </c>
      <c r="C1416" s="1" t="s">
        <v>2614</v>
      </c>
      <c r="D1416" s="1" t="s">
        <v>2615</v>
      </c>
      <c r="E1416" s="3">
        <v>1.0</v>
      </c>
      <c r="F1416" s="3">
        <v>0.0</v>
      </c>
    </row>
    <row r="1417" ht="12.75" customHeight="1">
      <c r="A1417" s="1">
        <v>0.0</v>
      </c>
      <c r="B1417" s="2" t="s">
        <v>3644</v>
      </c>
      <c r="C1417" s="1" t="s">
        <v>3645</v>
      </c>
      <c r="D1417" s="1" t="s">
        <v>3621</v>
      </c>
      <c r="E1417" s="3">
        <v>1.0</v>
      </c>
      <c r="F1417" s="3">
        <v>0.0</v>
      </c>
    </row>
    <row r="1418" ht="12.75" customHeight="1">
      <c r="A1418" s="1">
        <v>0.0</v>
      </c>
      <c r="B1418" s="2" t="s">
        <v>3525</v>
      </c>
      <c r="C1418" s="1" t="s">
        <v>3526</v>
      </c>
      <c r="D1418" s="1" t="s">
        <v>916</v>
      </c>
      <c r="E1418" s="3">
        <v>1.0</v>
      </c>
      <c r="F1418" s="3">
        <v>0.0</v>
      </c>
    </row>
    <row r="1419" ht="12.75" customHeight="1">
      <c r="A1419" s="1">
        <v>0.0</v>
      </c>
      <c r="B1419" s="2" t="s">
        <v>5079</v>
      </c>
      <c r="C1419" s="1" t="s">
        <v>5080</v>
      </c>
      <c r="D1419" s="1" t="s">
        <v>5081</v>
      </c>
      <c r="E1419" s="3">
        <v>1.0</v>
      </c>
      <c r="F1419" s="3">
        <v>0.0</v>
      </c>
    </row>
    <row r="1420" ht="12.75" customHeight="1">
      <c r="A1420" s="1">
        <v>0.0</v>
      </c>
      <c r="B1420" s="2" t="s">
        <v>3646</v>
      </c>
      <c r="C1420" s="1" t="s">
        <v>3647</v>
      </c>
      <c r="D1420" s="1" t="s">
        <v>3621</v>
      </c>
      <c r="E1420" s="3">
        <v>1.0</v>
      </c>
      <c r="F1420" s="3">
        <v>0.0</v>
      </c>
    </row>
    <row r="1421" ht="12.75" customHeight="1">
      <c r="A1421" s="1">
        <v>0.0</v>
      </c>
      <c r="B1421" s="2" t="s">
        <v>5082</v>
      </c>
      <c r="C1421" s="1" t="s">
        <v>5083</v>
      </c>
      <c r="D1421" s="1" t="s">
        <v>854</v>
      </c>
      <c r="E1421" s="3">
        <v>1.0</v>
      </c>
      <c r="F1421" s="3">
        <v>0.0</v>
      </c>
    </row>
    <row r="1422" ht="12.75" customHeight="1">
      <c r="A1422" s="1">
        <v>0.0</v>
      </c>
      <c r="B1422" s="2" t="s">
        <v>3648</v>
      </c>
      <c r="C1422" s="1" t="s">
        <v>3649</v>
      </c>
      <c r="D1422" s="1" t="s">
        <v>3621</v>
      </c>
      <c r="E1422" s="3">
        <v>1.0</v>
      </c>
      <c r="F1422" s="3">
        <v>0.0</v>
      </c>
    </row>
    <row r="1423" ht="12.75" customHeight="1">
      <c r="A1423" s="1">
        <v>0.0</v>
      </c>
      <c r="B1423" s="2">
        <v>563993.0</v>
      </c>
      <c r="C1423" s="1" t="s">
        <v>5084</v>
      </c>
      <c r="D1423" s="1" t="s">
        <v>5085</v>
      </c>
      <c r="E1423" s="3">
        <v>1.0</v>
      </c>
      <c r="F1423" s="3">
        <v>0.0</v>
      </c>
    </row>
    <row r="1424" ht="12.75" customHeight="1">
      <c r="A1424" s="1">
        <v>0.0</v>
      </c>
      <c r="B1424" s="2" t="s">
        <v>2380</v>
      </c>
      <c r="C1424" s="1" t="s">
        <v>2381</v>
      </c>
      <c r="D1424" s="1" t="s">
        <v>2382</v>
      </c>
      <c r="E1424" s="3">
        <v>1.0</v>
      </c>
      <c r="F1424" s="3">
        <v>0.0</v>
      </c>
    </row>
    <row r="1425" ht="12.75" customHeight="1">
      <c r="A1425" s="1">
        <v>0.0</v>
      </c>
      <c r="B1425" s="2" t="s">
        <v>5086</v>
      </c>
      <c r="C1425" s="1" t="s">
        <v>5087</v>
      </c>
      <c r="D1425" s="1" t="s">
        <v>5088</v>
      </c>
      <c r="E1425" s="3">
        <v>1.0</v>
      </c>
      <c r="F1425" s="3">
        <v>0.0</v>
      </c>
    </row>
    <row r="1426" ht="12.75" customHeight="1">
      <c r="A1426" s="1">
        <v>0.0</v>
      </c>
      <c r="B1426" s="2" t="s">
        <v>5089</v>
      </c>
      <c r="C1426" s="1" t="s">
        <v>4809</v>
      </c>
      <c r="D1426" s="1" t="s">
        <v>5090</v>
      </c>
      <c r="E1426" s="3">
        <v>1.0</v>
      </c>
      <c r="F1426" s="3">
        <v>0.0</v>
      </c>
    </row>
    <row r="1427" ht="12.75" customHeight="1">
      <c r="A1427" s="1">
        <v>0.0</v>
      </c>
      <c r="B1427" s="2" t="s">
        <v>3999</v>
      </c>
      <c r="C1427" s="1" t="s">
        <v>4000</v>
      </c>
      <c r="D1427" s="1" t="s">
        <v>4001</v>
      </c>
      <c r="E1427" s="3">
        <v>1.0</v>
      </c>
      <c r="F1427" s="3">
        <v>0.0</v>
      </c>
    </row>
    <row r="1428" ht="12.75" customHeight="1">
      <c r="A1428" s="1">
        <v>0.0</v>
      </c>
      <c r="B1428" s="2" t="s">
        <v>3561</v>
      </c>
      <c r="C1428" s="1" t="s">
        <v>3562</v>
      </c>
      <c r="D1428" s="1" t="s">
        <v>3563</v>
      </c>
      <c r="E1428" s="3">
        <v>1.0</v>
      </c>
      <c r="F1428" s="3">
        <v>0.0</v>
      </c>
    </row>
    <row r="1429" ht="12.75" customHeight="1">
      <c r="A1429" s="1">
        <v>0.0</v>
      </c>
      <c r="B1429" s="2" t="s">
        <v>3719</v>
      </c>
      <c r="C1429" s="1" t="s">
        <v>3720</v>
      </c>
      <c r="D1429" s="1" t="s">
        <v>3721</v>
      </c>
      <c r="E1429" s="3">
        <v>1.0</v>
      </c>
      <c r="F1429" s="3">
        <v>0.0</v>
      </c>
    </row>
    <row r="1430" ht="12.75" customHeight="1">
      <c r="A1430" s="1">
        <v>0.0</v>
      </c>
      <c r="B1430" s="2" t="s">
        <v>2723</v>
      </c>
      <c r="C1430" s="1" t="s">
        <v>2724</v>
      </c>
      <c r="D1430" s="1" t="s">
        <v>2725</v>
      </c>
      <c r="E1430" s="3">
        <v>1.0</v>
      </c>
      <c r="F1430" s="3">
        <v>0.0</v>
      </c>
    </row>
    <row r="1431" ht="12.75" customHeight="1">
      <c r="A1431" s="1">
        <v>0.0</v>
      </c>
      <c r="B1431" s="2" t="s">
        <v>3701</v>
      </c>
      <c r="C1431" s="1" t="s">
        <v>3702</v>
      </c>
      <c r="D1431" s="1" t="s">
        <v>3703</v>
      </c>
      <c r="E1431" s="3">
        <v>1.0</v>
      </c>
      <c r="F1431" s="3">
        <v>0.0</v>
      </c>
    </row>
    <row r="1432" ht="12.75" customHeight="1">
      <c r="A1432" s="1">
        <v>0.0</v>
      </c>
      <c r="B1432" s="2" t="s">
        <v>1979</v>
      </c>
      <c r="C1432" s="1" t="s">
        <v>1980</v>
      </c>
      <c r="D1432" s="1" t="s">
        <v>1831</v>
      </c>
      <c r="E1432" s="3">
        <v>1.0</v>
      </c>
      <c r="F1432" s="3">
        <v>0.0</v>
      </c>
    </row>
    <row r="1433" ht="12.75" customHeight="1">
      <c r="A1433" s="1">
        <v>0.0</v>
      </c>
      <c r="B1433" s="2" t="s">
        <v>2466</v>
      </c>
      <c r="C1433" s="1" t="s">
        <v>2467</v>
      </c>
      <c r="D1433" s="1" t="s">
        <v>2468</v>
      </c>
      <c r="E1433" s="3">
        <v>1.0</v>
      </c>
      <c r="F1433" s="3">
        <v>0.0</v>
      </c>
    </row>
    <row r="1434" ht="12.75" customHeight="1">
      <c r="A1434" s="1">
        <v>0.0</v>
      </c>
      <c r="B1434" s="2" t="s">
        <v>3657</v>
      </c>
      <c r="C1434" s="1" t="s">
        <v>3658</v>
      </c>
      <c r="D1434" s="1" t="s">
        <v>3659</v>
      </c>
      <c r="E1434" s="3">
        <v>1.0</v>
      </c>
      <c r="F1434" s="3">
        <v>0.0</v>
      </c>
    </row>
    <row r="1435" ht="12.75" customHeight="1">
      <c r="A1435" s="1">
        <v>0.0</v>
      </c>
      <c r="B1435" s="2" t="s">
        <v>1695</v>
      </c>
      <c r="C1435" s="1" t="s">
        <v>1696</v>
      </c>
      <c r="D1435" s="1" t="s">
        <v>1697</v>
      </c>
      <c r="E1435" s="3">
        <v>1.0</v>
      </c>
      <c r="F1435" s="3">
        <v>0.0</v>
      </c>
    </row>
    <row r="1436" ht="12.75" customHeight="1">
      <c r="A1436" s="1">
        <v>0.0</v>
      </c>
      <c r="B1436" s="2" t="s">
        <v>3122</v>
      </c>
      <c r="C1436" s="1" t="s">
        <v>3123</v>
      </c>
      <c r="D1436" s="1" t="s">
        <v>3124</v>
      </c>
      <c r="E1436" s="3">
        <v>1.0</v>
      </c>
      <c r="F1436" s="3">
        <v>0.0</v>
      </c>
    </row>
    <row r="1437" ht="12.75" customHeight="1">
      <c r="A1437" s="1">
        <v>0.0</v>
      </c>
      <c r="B1437" s="2" t="s">
        <v>5091</v>
      </c>
      <c r="C1437" s="1" t="s">
        <v>5092</v>
      </c>
      <c r="D1437" s="1" t="s">
        <v>5093</v>
      </c>
      <c r="E1437" s="3">
        <v>1.0</v>
      </c>
      <c r="F1437" s="3">
        <v>0.0</v>
      </c>
    </row>
    <row r="1438" ht="12.75" customHeight="1">
      <c r="A1438" s="1">
        <v>0.0</v>
      </c>
      <c r="B1438" s="2" t="s">
        <v>3923</v>
      </c>
      <c r="C1438" s="1" t="s">
        <v>3924</v>
      </c>
      <c r="D1438" s="1" t="s">
        <v>3922</v>
      </c>
      <c r="E1438" s="3">
        <v>1.0</v>
      </c>
      <c r="F1438" s="3">
        <v>0.0</v>
      </c>
    </row>
    <row r="1439" ht="12.75" customHeight="1">
      <c r="A1439" s="1">
        <v>0.0</v>
      </c>
      <c r="B1439" s="2" t="s">
        <v>2110</v>
      </c>
      <c r="C1439" s="1" t="s">
        <v>2111</v>
      </c>
      <c r="D1439" s="1" t="s">
        <v>2112</v>
      </c>
      <c r="E1439" s="3">
        <v>1.0</v>
      </c>
      <c r="F1439" s="3">
        <v>0.0</v>
      </c>
    </row>
    <row r="1440" ht="12.75" customHeight="1">
      <c r="A1440" s="1">
        <v>0.0</v>
      </c>
      <c r="B1440" s="2" t="s">
        <v>3325</v>
      </c>
      <c r="C1440" s="1" t="s">
        <v>3326</v>
      </c>
      <c r="D1440" s="1" t="s">
        <v>3256</v>
      </c>
      <c r="E1440" s="3">
        <v>1.0</v>
      </c>
      <c r="F1440" s="3">
        <v>0.0</v>
      </c>
    </row>
    <row r="1441" ht="12.75" customHeight="1">
      <c r="A1441" s="1">
        <v>0.0</v>
      </c>
      <c r="B1441" s="2" t="s">
        <v>5094</v>
      </c>
      <c r="C1441" s="1" t="s">
        <v>5095</v>
      </c>
      <c r="D1441" s="1" t="s">
        <v>5096</v>
      </c>
      <c r="E1441" s="3">
        <v>1.0</v>
      </c>
      <c r="F1441" s="3">
        <v>0.0</v>
      </c>
    </row>
    <row r="1442" ht="12.75" customHeight="1">
      <c r="A1442" s="1">
        <v>0.0</v>
      </c>
      <c r="B1442" s="2" t="s">
        <v>3734</v>
      </c>
      <c r="C1442" s="1" t="s">
        <v>3735</v>
      </c>
      <c r="D1442" s="1" t="s">
        <v>3736</v>
      </c>
      <c r="E1442" s="3">
        <v>1.0</v>
      </c>
      <c r="F1442" s="3">
        <v>0.0</v>
      </c>
    </row>
    <row r="1443" ht="12.75" customHeight="1">
      <c r="A1443" s="1">
        <v>0.0</v>
      </c>
      <c r="B1443" s="2" t="s">
        <v>3166</v>
      </c>
      <c r="C1443" s="1" t="s">
        <v>3167</v>
      </c>
      <c r="D1443" s="1" t="s">
        <v>3168</v>
      </c>
      <c r="E1443" s="3">
        <v>1.0</v>
      </c>
      <c r="F1443" s="3">
        <v>0.0</v>
      </c>
    </row>
    <row r="1444" ht="12.75" customHeight="1">
      <c r="A1444" s="1">
        <v>0.0</v>
      </c>
      <c r="B1444" s="2" t="s">
        <v>2125</v>
      </c>
      <c r="C1444" s="1" t="s">
        <v>2126</v>
      </c>
      <c r="D1444" s="1" t="s">
        <v>2127</v>
      </c>
      <c r="E1444" s="3">
        <v>1.0</v>
      </c>
      <c r="F1444" s="3">
        <v>0.0</v>
      </c>
    </row>
    <row r="1445" ht="12.75" customHeight="1">
      <c r="A1445" s="1">
        <v>0.0</v>
      </c>
      <c r="B1445" s="2" t="s">
        <v>2765</v>
      </c>
      <c r="C1445" s="1" t="s">
        <v>2766</v>
      </c>
      <c r="D1445" s="1" t="s">
        <v>2767</v>
      </c>
      <c r="E1445" s="3">
        <v>1.0</v>
      </c>
      <c r="F1445" s="3">
        <v>0.0</v>
      </c>
    </row>
    <row r="1446" ht="12.75" customHeight="1">
      <c r="A1446" s="1">
        <v>0.0</v>
      </c>
      <c r="B1446" s="2" t="s">
        <v>3650</v>
      </c>
      <c r="C1446" s="1" t="s">
        <v>3651</v>
      </c>
      <c r="D1446" s="1" t="s">
        <v>3621</v>
      </c>
      <c r="E1446" s="3">
        <v>1.0</v>
      </c>
      <c r="F1446" s="3">
        <v>0.0</v>
      </c>
    </row>
    <row r="1447" ht="12.75" customHeight="1">
      <c r="A1447" s="1">
        <v>0.0</v>
      </c>
      <c r="B1447" s="2" t="s">
        <v>5097</v>
      </c>
      <c r="C1447" s="1" t="s">
        <v>5098</v>
      </c>
      <c r="D1447" s="1" t="s">
        <v>5099</v>
      </c>
      <c r="E1447" s="3">
        <v>1.0</v>
      </c>
      <c r="F1447" s="3">
        <v>0.0</v>
      </c>
    </row>
    <row r="1448" ht="12.75" customHeight="1">
      <c r="A1448" s="1">
        <v>0.0</v>
      </c>
      <c r="B1448" s="2" t="s">
        <v>3773</v>
      </c>
      <c r="C1448" s="1" t="s">
        <v>3774</v>
      </c>
      <c r="D1448" s="1" t="s">
        <v>3775</v>
      </c>
      <c r="E1448" s="3">
        <v>1.0</v>
      </c>
      <c r="F1448" s="3">
        <v>0.0</v>
      </c>
    </row>
    <row r="1449" ht="12.75" customHeight="1">
      <c r="A1449" s="1">
        <v>0.0</v>
      </c>
      <c r="B1449" s="2" t="s">
        <v>5100</v>
      </c>
      <c r="C1449" s="1" t="s">
        <v>5101</v>
      </c>
      <c r="D1449" s="1" t="s">
        <v>5102</v>
      </c>
      <c r="E1449" s="3">
        <v>1.0</v>
      </c>
      <c r="F1449" s="3">
        <v>0.0</v>
      </c>
    </row>
    <row r="1450" ht="12.75" customHeight="1">
      <c r="A1450" s="1">
        <v>0.0</v>
      </c>
      <c r="B1450" s="2" t="s">
        <v>3925</v>
      </c>
      <c r="C1450" s="1" t="s">
        <v>3926</v>
      </c>
      <c r="D1450" s="1" t="s">
        <v>3927</v>
      </c>
      <c r="E1450" s="3">
        <v>1.0</v>
      </c>
      <c r="F1450" s="3">
        <v>0.0</v>
      </c>
    </row>
    <row r="1451" ht="12.75" customHeight="1">
      <c r="A1451" s="1">
        <v>0.0</v>
      </c>
      <c r="B1451" s="2" t="s">
        <v>3327</v>
      </c>
      <c r="C1451" s="1" t="s">
        <v>3328</v>
      </c>
      <c r="D1451" s="1" t="s">
        <v>3256</v>
      </c>
      <c r="E1451" s="3">
        <v>1.0</v>
      </c>
      <c r="F1451" s="3">
        <v>0.0</v>
      </c>
    </row>
    <row r="1452" ht="12.75" customHeight="1">
      <c r="A1452" s="1">
        <v>0.0</v>
      </c>
      <c r="B1452" s="2" t="s">
        <v>3096</v>
      </c>
      <c r="C1452" s="1" t="s">
        <v>3097</v>
      </c>
      <c r="D1452" s="1" t="s">
        <v>3098</v>
      </c>
      <c r="E1452" s="3">
        <v>1.0</v>
      </c>
      <c r="F1452" s="3">
        <v>0.0</v>
      </c>
    </row>
    <row r="1453" ht="12.75" customHeight="1">
      <c r="A1453" s="1">
        <v>0.0</v>
      </c>
      <c r="B1453" s="2" t="s">
        <v>3542</v>
      </c>
      <c r="C1453" s="1" t="s">
        <v>3543</v>
      </c>
      <c r="D1453" s="1" t="s">
        <v>3537</v>
      </c>
      <c r="E1453" s="3">
        <v>1.0</v>
      </c>
      <c r="F1453" s="3">
        <v>0.0</v>
      </c>
    </row>
    <row r="1454" ht="12.75" customHeight="1">
      <c r="A1454" s="1">
        <v>0.0</v>
      </c>
      <c r="B1454" s="2" t="s">
        <v>3527</v>
      </c>
      <c r="C1454" s="1" t="s">
        <v>3528</v>
      </c>
      <c r="D1454" s="1" t="s">
        <v>916</v>
      </c>
      <c r="E1454" s="3">
        <v>1.0</v>
      </c>
      <c r="F1454" s="3">
        <v>0.0</v>
      </c>
    </row>
    <row r="1455" ht="12.75" customHeight="1">
      <c r="A1455" s="1">
        <v>0.0</v>
      </c>
      <c r="B1455" s="2" t="s">
        <v>3893</v>
      </c>
      <c r="C1455" s="1" t="s">
        <v>3894</v>
      </c>
      <c r="D1455" s="1" t="s">
        <v>3890</v>
      </c>
      <c r="E1455" s="3">
        <v>1.0</v>
      </c>
      <c r="F1455" s="3">
        <v>0.0</v>
      </c>
    </row>
    <row r="1456" ht="12.75" customHeight="1">
      <c r="A1456" s="1">
        <v>0.0</v>
      </c>
      <c r="B1456" s="2" t="s">
        <v>3683</v>
      </c>
      <c r="C1456" s="1" t="s">
        <v>3684</v>
      </c>
      <c r="D1456" s="1" t="s">
        <v>3685</v>
      </c>
      <c r="E1456" s="3">
        <v>1.0</v>
      </c>
      <c r="F1456" s="3">
        <v>0.0</v>
      </c>
    </row>
    <row r="1457" ht="12.75" customHeight="1">
      <c r="A1457" s="1">
        <v>0.0</v>
      </c>
      <c r="B1457" s="2" t="s">
        <v>5103</v>
      </c>
      <c r="C1457" s="1" t="s">
        <v>5104</v>
      </c>
      <c r="D1457" s="1" t="s">
        <v>5105</v>
      </c>
      <c r="E1457" s="3">
        <v>1.0</v>
      </c>
      <c r="F1457" s="3">
        <v>0.0</v>
      </c>
    </row>
    <row r="1458" ht="12.75" customHeight="1">
      <c r="A1458" s="1">
        <v>0.0</v>
      </c>
      <c r="B1458" s="2" t="s">
        <v>5106</v>
      </c>
      <c r="C1458" s="1" t="s">
        <v>5107</v>
      </c>
      <c r="D1458" s="1" t="s">
        <v>5108</v>
      </c>
      <c r="E1458" s="3">
        <v>1.0</v>
      </c>
      <c r="F1458" s="3">
        <v>0.0</v>
      </c>
    </row>
    <row r="1459" ht="12.75" customHeight="1">
      <c r="A1459" s="1">
        <v>0.0</v>
      </c>
      <c r="B1459" s="2" t="s">
        <v>5109</v>
      </c>
      <c r="C1459" s="1" t="s">
        <v>5110</v>
      </c>
      <c r="D1459" s="1" t="s">
        <v>5111</v>
      </c>
      <c r="E1459" s="3">
        <v>1.0</v>
      </c>
      <c r="F1459" s="3">
        <v>0.0</v>
      </c>
    </row>
    <row r="1460" ht="12.75" customHeight="1">
      <c r="A1460" s="1">
        <v>0.0</v>
      </c>
      <c r="B1460" s="2" t="s">
        <v>3117</v>
      </c>
      <c r="C1460" s="1" t="s">
        <v>3118</v>
      </c>
      <c r="D1460" s="1" t="s">
        <v>3119</v>
      </c>
      <c r="E1460" s="3">
        <v>1.0</v>
      </c>
      <c r="F1460" s="3">
        <v>0.0</v>
      </c>
    </row>
    <row r="1461" ht="12.75" customHeight="1">
      <c r="A1461" s="1">
        <v>0.0</v>
      </c>
      <c r="B1461" s="2" t="s">
        <v>5112</v>
      </c>
      <c r="C1461" s="1" t="s">
        <v>5113</v>
      </c>
      <c r="D1461" s="1" t="s">
        <v>5114</v>
      </c>
      <c r="E1461" s="3">
        <v>1.0</v>
      </c>
      <c r="F1461" s="3">
        <v>0.0</v>
      </c>
    </row>
    <row r="1462" ht="12.75" customHeight="1">
      <c r="A1462" s="1">
        <v>0.0</v>
      </c>
      <c r="B1462" s="2" t="s">
        <v>5115</v>
      </c>
      <c r="C1462" s="1" t="s">
        <v>5116</v>
      </c>
      <c r="D1462" s="1" t="s">
        <v>5117</v>
      </c>
      <c r="E1462" s="3">
        <v>1.0</v>
      </c>
      <c r="F1462" s="3">
        <v>0.0</v>
      </c>
    </row>
    <row r="1463" ht="12.75" customHeight="1">
      <c r="A1463" s="1">
        <v>0.0</v>
      </c>
      <c r="B1463" s="2" t="s">
        <v>3099</v>
      </c>
      <c r="C1463" s="1" t="s">
        <v>2001</v>
      </c>
      <c r="D1463" s="1" t="s">
        <v>3100</v>
      </c>
      <c r="E1463" s="3">
        <v>1.0</v>
      </c>
      <c r="F1463" s="3">
        <v>0.0</v>
      </c>
    </row>
    <row r="1464" ht="12.75" customHeight="1">
      <c r="A1464" s="1">
        <v>0.0</v>
      </c>
      <c r="B1464" s="2" t="s">
        <v>2099</v>
      </c>
      <c r="C1464" s="1" t="s">
        <v>2100</v>
      </c>
      <c r="D1464" s="1" t="s">
        <v>2101</v>
      </c>
      <c r="E1464" s="3">
        <v>1.0</v>
      </c>
      <c r="F1464" s="3">
        <v>0.0</v>
      </c>
    </row>
    <row r="1465" ht="12.75" customHeight="1">
      <c r="A1465" s="1">
        <v>0.0</v>
      </c>
      <c r="B1465" s="2" t="s">
        <v>5118</v>
      </c>
      <c r="C1465" s="1" t="s">
        <v>5119</v>
      </c>
      <c r="D1465" s="1" t="s">
        <v>3621</v>
      </c>
      <c r="E1465" s="3">
        <v>1.0</v>
      </c>
      <c r="F1465" s="3">
        <v>0.0</v>
      </c>
    </row>
    <row r="1466" ht="12.75" customHeight="1">
      <c r="A1466" s="1">
        <v>0.0</v>
      </c>
      <c r="B1466" s="2" t="s">
        <v>3336</v>
      </c>
      <c r="C1466" s="1" t="s">
        <v>3337</v>
      </c>
      <c r="D1466" s="1" t="s">
        <v>3338</v>
      </c>
      <c r="E1466" s="3">
        <v>1.0</v>
      </c>
      <c r="F1466" s="3">
        <v>0.0</v>
      </c>
    </row>
    <row r="1467" ht="12.75" customHeight="1">
      <c r="A1467" s="1">
        <v>0.0</v>
      </c>
      <c r="B1467" s="2" t="s">
        <v>3695</v>
      </c>
      <c r="C1467" s="1" t="s">
        <v>3696</v>
      </c>
      <c r="D1467" s="1" t="s">
        <v>3697</v>
      </c>
      <c r="E1467" s="3">
        <v>1.0</v>
      </c>
      <c r="F1467" s="3">
        <v>0.0</v>
      </c>
    </row>
    <row r="1468" ht="12.75" customHeight="1">
      <c r="A1468" s="1">
        <v>0.0</v>
      </c>
      <c r="B1468" s="2" t="s">
        <v>5120</v>
      </c>
      <c r="C1468" s="1" t="s">
        <v>3543</v>
      </c>
      <c r="D1468" s="1" t="s">
        <v>5121</v>
      </c>
      <c r="E1468" s="3">
        <v>1.0</v>
      </c>
      <c r="F1468" s="3">
        <v>0.0</v>
      </c>
    </row>
    <row r="1469" ht="12.75" customHeight="1">
      <c r="A1469" s="1">
        <v>0.0</v>
      </c>
      <c r="B1469" s="2" t="s">
        <v>2265</v>
      </c>
      <c r="C1469" s="1" t="s">
        <v>2266</v>
      </c>
      <c r="D1469" s="1" t="s">
        <v>2267</v>
      </c>
      <c r="E1469" s="3">
        <v>1.0</v>
      </c>
      <c r="F1469" s="3">
        <v>0.0</v>
      </c>
    </row>
    <row r="1470" ht="12.75" customHeight="1">
      <c r="A1470" s="1">
        <v>0.0</v>
      </c>
      <c r="B1470" s="2" t="s">
        <v>2116</v>
      </c>
      <c r="C1470" s="1" t="s">
        <v>2117</v>
      </c>
      <c r="D1470" s="1" t="s">
        <v>2118</v>
      </c>
      <c r="E1470" s="3">
        <v>1.0</v>
      </c>
      <c r="F1470" s="3">
        <v>0.0</v>
      </c>
    </row>
    <row r="1471" ht="12.75" customHeight="1">
      <c r="A1471" s="1">
        <v>0.0</v>
      </c>
      <c r="B1471" s="2" t="s">
        <v>2128</v>
      </c>
      <c r="C1471" s="1" t="s">
        <v>2129</v>
      </c>
      <c r="D1471" s="1" t="s">
        <v>2130</v>
      </c>
      <c r="E1471" s="3">
        <v>1.0</v>
      </c>
      <c r="F1471" s="3">
        <v>0.0</v>
      </c>
    </row>
    <row r="1472" ht="12.75" customHeight="1">
      <c r="A1472" s="1">
        <v>0.0</v>
      </c>
      <c r="B1472" s="2" t="s">
        <v>5122</v>
      </c>
      <c r="C1472" s="1" t="s">
        <v>5123</v>
      </c>
      <c r="D1472" s="1" t="s">
        <v>854</v>
      </c>
      <c r="E1472" s="3">
        <v>1.0</v>
      </c>
      <c r="F1472" s="3">
        <v>0.0</v>
      </c>
    </row>
    <row r="1473" ht="12.75" customHeight="1">
      <c r="A1473" s="1">
        <v>0.0</v>
      </c>
      <c r="B1473" s="2" t="s">
        <v>2119</v>
      </c>
      <c r="C1473" s="1" t="s">
        <v>2120</v>
      </c>
      <c r="D1473" s="1" t="s">
        <v>2121</v>
      </c>
      <c r="E1473" s="3">
        <v>1.0</v>
      </c>
      <c r="F1473" s="3">
        <v>0.0</v>
      </c>
    </row>
    <row r="1474" ht="12.75" customHeight="1">
      <c r="A1474" s="1">
        <v>0.0</v>
      </c>
      <c r="B1474" s="2" t="s">
        <v>5124</v>
      </c>
      <c r="C1474" s="1" t="s">
        <v>5125</v>
      </c>
      <c r="D1474" s="1" t="s">
        <v>5032</v>
      </c>
      <c r="E1474" s="3">
        <v>1.0</v>
      </c>
      <c r="F1474" s="3">
        <v>0.0</v>
      </c>
    </row>
    <row r="1475" ht="12.75" customHeight="1">
      <c r="A1475" s="1">
        <v>0.0</v>
      </c>
      <c r="B1475" s="2" t="s">
        <v>2281</v>
      </c>
      <c r="C1475" s="1" t="s">
        <v>2282</v>
      </c>
      <c r="D1475" s="1" t="s">
        <v>2283</v>
      </c>
      <c r="E1475" s="3">
        <v>1.0</v>
      </c>
      <c r="F1475" s="3">
        <v>0.0</v>
      </c>
    </row>
    <row r="1476" ht="12.75" customHeight="1">
      <c r="A1476" s="1">
        <v>0.0</v>
      </c>
      <c r="B1476" s="2" t="s">
        <v>3104</v>
      </c>
      <c r="C1476" s="1" t="s">
        <v>3105</v>
      </c>
      <c r="D1476" s="1" t="s">
        <v>3106</v>
      </c>
      <c r="E1476" s="3">
        <v>1.0</v>
      </c>
      <c r="F1476" s="3">
        <v>0.0</v>
      </c>
    </row>
    <row r="1477" ht="12.75" customHeight="1">
      <c r="A1477" s="1">
        <v>0.0</v>
      </c>
      <c r="B1477" s="2" t="s">
        <v>2433</v>
      </c>
      <c r="C1477" s="1" t="s">
        <v>2434</v>
      </c>
      <c r="D1477" s="1" t="s">
        <v>2435</v>
      </c>
      <c r="E1477" s="3">
        <v>1.0</v>
      </c>
      <c r="F1477" s="3">
        <v>0.0</v>
      </c>
    </row>
    <row r="1478" ht="12.75" customHeight="1">
      <c r="A1478" s="1">
        <v>0.0</v>
      </c>
      <c r="B1478" s="2" t="s">
        <v>2644</v>
      </c>
      <c r="C1478" s="1" t="s">
        <v>2645</v>
      </c>
      <c r="D1478" s="1" t="s">
        <v>2646</v>
      </c>
      <c r="E1478" s="3">
        <v>1.0</v>
      </c>
      <c r="F1478" s="3">
        <v>0.0</v>
      </c>
    </row>
    <row r="1479" ht="12.75" customHeight="1">
      <c r="A1479" s="1">
        <v>0.0</v>
      </c>
      <c r="B1479" s="2" t="s">
        <v>2158</v>
      </c>
      <c r="C1479" s="1" t="s">
        <v>2159</v>
      </c>
      <c r="D1479" s="1" t="s">
        <v>2160</v>
      </c>
      <c r="E1479" s="3">
        <v>1.0</v>
      </c>
      <c r="F1479" s="3">
        <v>0.0</v>
      </c>
    </row>
    <row r="1480" ht="12.75" customHeight="1">
      <c r="A1480" s="1">
        <v>0.0</v>
      </c>
      <c r="B1480" s="2" t="s">
        <v>2307</v>
      </c>
      <c r="C1480" s="1" t="s">
        <v>848</v>
      </c>
      <c r="D1480" s="1" t="s">
        <v>1515</v>
      </c>
      <c r="E1480" s="3">
        <v>1.0</v>
      </c>
      <c r="F1480" s="3">
        <v>0.0</v>
      </c>
    </row>
    <row r="1481" ht="12.75" customHeight="1">
      <c r="A1481" s="1">
        <v>0.0</v>
      </c>
      <c r="B1481" s="2" t="s">
        <v>3968</v>
      </c>
      <c r="C1481" s="1" t="s">
        <v>3969</v>
      </c>
      <c r="D1481" s="1" t="s">
        <v>3970</v>
      </c>
      <c r="E1481" s="3">
        <v>1.0</v>
      </c>
      <c r="F1481" s="3">
        <v>0.0</v>
      </c>
    </row>
    <row r="1482" ht="12.75" customHeight="1">
      <c r="A1482" s="1">
        <v>0.0</v>
      </c>
      <c r="B1482" s="2" t="s">
        <v>3220</v>
      </c>
      <c r="C1482" s="1" t="s">
        <v>3221</v>
      </c>
      <c r="D1482" s="1" t="s">
        <v>3222</v>
      </c>
      <c r="E1482" s="3">
        <v>1.0</v>
      </c>
      <c r="F1482" s="3">
        <v>0.0</v>
      </c>
    </row>
    <row r="1483" ht="12.75" customHeight="1">
      <c r="A1483" s="1">
        <v>0.0</v>
      </c>
      <c r="B1483" s="2" t="s">
        <v>2610</v>
      </c>
      <c r="C1483" s="1" t="s">
        <v>2611</v>
      </c>
      <c r="D1483" s="1" t="s">
        <v>2612</v>
      </c>
      <c r="E1483" s="3">
        <v>1.0</v>
      </c>
      <c r="F1483" s="3">
        <v>0.0</v>
      </c>
    </row>
    <row r="1484" ht="12.75" customHeight="1">
      <c r="A1484" s="1">
        <v>0.0</v>
      </c>
      <c r="B1484" s="2" t="s">
        <v>3652</v>
      </c>
      <c r="C1484" s="1" t="s">
        <v>3653</v>
      </c>
      <c r="D1484" s="1" t="s">
        <v>3621</v>
      </c>
      <c r="E1484" s="3">
        <v>1.0</v>
      </c>
      <c r="F1484" s="3">
        <v>0.0</v>
      </c>
    </row>
    <row r="1485" ht="12.75" customHeight="1">
      <c r="A1485" s="1">
        <v>0.0</v>
      </c>
      <c r="B1485" s="2" t="s">
        <v>3495</v>
      </c>
      <c r="C1485" s="1" t="s">
        <v>3496</v>
      </c>
      <c r="D1485" s="1" t="s">
        <v>3497</v>
      </c>
      <c r="E1485" s="3">
        <v>1.0</v>
      </c>
      <c r="F1485" s="3">
        <v>0.0</v>
      </c>
    </row>
    <row r="1486" ht="12.75" customHeight="1">
      <c r="A1486" s="1">
        <v>0.0</v>
      </c>
      <c r="B1486" s="2" t="s">
        <v>2755</v>
      </c>
      <c r="C1486" s="1" t="s">
        <v>2756</v>
      </c>
      <c r="D1486" s="1" t="s">
        <v>2757</v>
      </c>
      <c r="E1486" s="3">
        <v>1.0</v>
      </c>
      <c r="F1486" s="3">
        <v>0.0</v>
      </c>
    </row>
    <row r="1487" ht="12.75" customHeight="1">
      <c r="A1487" s="1">
        <v>0.0</v>
      </c>
      <c r="B1487" s="2" t="s">
        <v>2741</v>
      </c>
      <c r="C1487" s="1" t="s">
        <v>2742</v>
      </c>
      <c r="D1487" s="1" t="s">
        <v>2743</v>
      </c>
      <c r="E1487" s="3">
        <v>1.0</v>
      </c>
      <c r="F1487" s="3">
        <v>0.0</v>
      </c>
    </row>
    <row r="1488" ht="12.75" customHeight="1">
      <c r="A1488" s="1">
        <v>0.0</v>
      </c>
      <c r="B1488" s="2" t="s">
        <v>2833</v>
      </c>
      <c r="C1488" s="1" t="s">
        <v>2821</v>
      </c>
      <c r="D1488" s="1" t="s">
        <v>2834</v>
      </c>
      <c r="E1488" s="3">
        <v>1.0</v>
      </c>
      <c r="F1488" s="3">
        <v>0.0</v>
      </c>
    </row>
    <row r="1489" ht="12.75" customHeight="1">
      <c r="A1489" s="1">
        <v>0.0</v>
      </c>
      <c r="B1489" s="2" t="s">
        <v>3740</v>
      </c>
      <c r="C1489" s="1" t="s">
        <v>3741</v>
      </c>
      <c r="D1489" s="1" t="s">
        <v>3742</v>
      </c>
      <c r="E1489" s="3">
        <v>1.0</v>
      </c>
      <c r="F1489" s="3">
        <v>0.0</v>
      </c>
    </row>
    <row r="1490" ht="12.75" customHeight="1">
      <c r="A1490" s="1">
        <v>0.0</v>
      </c>
      <c r="B1490" s="2" t="s">
        <v>2436</v>
      </c>
      <c r="C1490" s="1" t="s">
        <v>2437</v>
      </c>
      <c r="D1490" s="1" t="s">
        <v>2438</v>
      </c>
      <c r="E1490" s="3">
        <v>1.0</v>
      </c>
      <c r="F1490" s="3">
        <v>0.0</v>
      </c>
    </row>
    <row r="1491" ht="12.75" customHeight="1">
      <c r="A1491" s="1">
        <v>0.0</v>
      </c>
      <c r="B1491" s="2" t="s">
        <v>2445</v>
      </c>
      <c r="C1491" s="1" t="s">
        <v>2446</v>
      </c>
      <c r="D1491" s="1" t="s">
        <v>2447</v>
      </c>
      <c r="E1491" s="3">
        <v>1.0</v>
      </c>
      <c r="F1491" s="3">
        <v>0.0</v>
      </c>
    </row>
    <row r="1492" ht="12.75" customHeight="1">
      <c r="A1492" s="1">
        <v>0.0</v>
      </c>
      <c r="B1492" s="2" t="s">
        <v>3156</v>
      </c>
      <c r="C1492" s="1" t="s">
        <v>3157</v>
      </c>
      <c r="D1492" s="1" t="s">
        <v>3151</v>
      </c>
      <c r="E1492" s="3">
        <v>1.0</v>
      </c>
      <c r="F1492" s="3">
        <v>0.0</v>
      </c>
    </row>
    <row r="1493" ht="12.75" customHeight="1">
      <c r="A1493" s="1">
        <v>0.0</v>
      </c>
      <c r="B1493" s="2" t="s">
        <v>5126</v>
      </c>
      <c r="C1493" s="1" t="s">
        <v>5127</v>
      </c>
      <c r="D1493" s="1" t="s">
        <v>4972</v>
      </c>
      <c r="E1493" s="3">
        <v>1.0</v>
      </c>
      <c r="F1493" s="3">
        <v>0.0</v>
      </c>
    </row>
    <row r="1494" ht="12.75" customHeight="1">
      <c r="A1494" s="1">
        <v>0.0</v>
      </c>
      <c r="B1494" s="2" t="s">
        <v>5128</v>
      </c>
      <c r="C1494" s="1" t="s">
        <v>5129</v>
      </c>
      <c r="D1494" s="1" t="s">
        <v>5130</v>
      </c>
      <c r="E1494" s="3">
        <v>1.0</v>
      </c>
      <c r="F1494" s="3">
        <v>0.0</v>
      </c>
    </row>
    <row r="1495" ht="12.75" customHeight="1">
      <c r="A1495" s="1">
        <v>0.0</v>
      </c>
      <c r="B1495" s="2" t="s">
        <v>3125</v>
      </c>
      <c r="C1495" s="1" t="s">
        <v>3126</v>
      </c>
      <c r="D1495" s="1" t="s">
        <v>3127</v>
      </c>
      <c r="E1495" s="3">
        <v>1.0</v>
      </c>
      <c r="F1495" s="3">
        <v>0.0</v>
      </c>
    </row>
    <row r="1496" ht="12.75" customHeight="1">
      <c r="A1496" s="1">
        <v>0.0</v>
      </c>
      <c r="B1496" s="2" t="s">
        <v>3422</v>
      </c>
      <c r="C1496" s="1" t="s">
        <v>3423</v>
      </c>
      <c r="D1496" s="1" t="s">
        <v>3424</v>
      </c>
      <c r="E1496" s="3">
        <v>1.0</v>
      </c>
      <c r="F1496" s="3">
        <v>0.0</v>
      </c>
    </row>
    <row r="1497" ht="12.75" customHeight="1">
      <c r="A1497" s="1">
        <v>0.0</v>
      </c>
      <c r="B1497" s="2" t="s">
        <v>2344</v>
      </c>
      <c r="C1497" s="1" t="s">
        <v>2345</v>
      </c>
      <c r="D1497" s="1" t="s">
        <v>854</v>
      </c>
      <c r="E1497" s="3">
        <v>1.0</v>
      </c>
      <c r="F1497" s="3">
        <v>0.0</v>
      </c>
    </row>
    <row r="1498" ht="12.75" customHeight="1">
      <c r="A1498" s="1">
        <v>0.0</v>
      </c>
      <c r="B1498" s="2" t="s">
        <v>5131</v>
      </c>
      <c r="C1498" s="1" t="s">
        <v>5132</v>
      </c>
      <c r="D1498" s="1" t="s">
        <v>4972</v>
      </c>
      <c r="E1498" s="3">
        <v>1.0</v>
      </c>
      <c r="F1498" s="3">
        <v>0.0</v>
      </c>
    </row>
    <row r="1499" ht="12.75" customHeight="1">
      <c r="A1499" s="1">
        <v>0.0</v>
      </c>
      <c r="B1499" s="2" t="s">
        <v>1984</v>
      </c>
      <c r="C1499" s="1" t="s">
        <v>1985</v>
      </c>
      <c r="D1499" s="1" t="s">
        <v>1986</v>
      </c>
      <c r="E1499" s="3">
        <v>1.0</v>
      </c>
      <c r="F1499" s="3">
        <v>0.0</v>
      </c>
    </row>
    <row r="1500" ht="12.75" customHeight="1">
      <c r="A1500" s="1">
        <v>0.0</v>
      </c>
      <c r="B1500" s="2" t="s">
        <v>3737</v>
      </c>
      <c r="C1500" s="1" t="s">
        <v>3738</v>
      </c>
      <c r="D1500" s="1" t="s">
        <v>3739</v>
      </c>
      <c r="E1500" s="3">
        <v>1.0</v>
      </c>
      <c r="F1500" s="3">
        <v>0.0</v>
      </c>
    </row>
    <row r="1501" ht="12.75" customHeight="1">
      <c r="A1501" s="1">
        <v>0.0</v>
      </c>
      <c r="B1501" s="2" t="s">
        <v>5133</v>
      </c>
      <c r="C1501" s="1" t="s">
        <v>5134</v>
      </c>
      <c r="D1501" s="1" t="s">
        <v>5135</v>
      </c>
      <c r="E1501" s="3">
        <v>1.0</v>
      </c>
      <c r="F1501" s="3">
        <v>0.0</v>
      </c>
    </row>
    <row r="1502" ht="12.75" customHeight="1">
      <c r="A1502" s="1">
        <v>0.0</v>
      </c>
      <c r="B1502" s="2" t="s">
        <v>1648</v>
      </c>
      <c r="C1502" s="1" t="s">
        <v>1649</v>
      </c>
      <c r="D1502" s="1">
        <v>100.0</v>
      </c>
      <c r="E1502" s="3">
        <v>1.0</v>
      </c>
      <c r="F1502" s="3">
        <v>0.0</v>
      </c>
    </row>
    <row r="1503" ht="12.75" customHeight="1">
      <c r="A1503" s="1">
        <v>0.0</v>
      </c>
      <c r="B1503" s="2" t="s">
        <v>5136</v>
      </c>
      <c r="C1503" s="1" t="s">
        <v>5137</v>
      </c>
      <c r="D1503" s="1" t="s">
        <v>5138</v>
      </c>
      <c r="E1503" s="3">
        <v>1.0</v>
      </c>
      <c r="F1503" s="3">
        <v>0.0</v>
      </c>
    </row>
    <row r="1504" ht="12.75" customHeight="1">
      <c r="A1504" s="1">
        <v>0.0</v>
      </c>
      <c r="B1504" s="2" t="s">
        <v>5139</v>
      </c>
      <c r="C1504" s="1" t="s">
        <v>5140</v>
      </c>
      <c r="D1504" s="1" t="s">
        <v>5141</v>
      </c>
      <c r="E1504" s="3">
        <v>1.0</v>
      </c>
      <c r="F1504" s="3">
        <v>0.0</v>
      </c>
    </row>
    <row r="1505" ht="12.75" customHeight="1">
      <c r="A1505" s="1">
        <v>0.0</v>
      </c>
      <c r="B1505" s="2" t="s">
        <v>3329</v>
      </c>
      <c r="C1505" s="1" t="s">
        <v>3330</v>
      </c>
      <c r="D1505" s="1" t="s">
        <v>3256</v>
      </c>
      <c r="E1505" s="3">
        <v>1.0</v>
      </c>
      <c r="F1505" s="3">
        <v>0.0</v>
      </c>
    </row>
    <row r="1506" ht="12.75" customHeight="1">
      <c r="A1506" s="1">
        <v>0.0</v>
      </c>
      <c r="B1506" s="2" t="s">
        <v>3508</v>
      </c>
      <c r="C1506" s="1" t="s">
        <v>3509</v>
      </c>
      <c r="D1506" s="1" t="s">
        <v>3510</v>
      </c>
      <c r="E1506" s="3">
        <v>1.0</v>
      </c>
      <c r="F1506" s="3">
        <v>0.0</v>
      </c>
    </row>
    <row r="1507" ht="12.75" customHeight="1">
      <c r="A1507" s="1">
        <v>0.0</v>
      </c>
      <c r="B1507" s="2" t="s">
        <v>2149</v>
      </c>
      <c r="C1507" s="1" t="s">
        <v>2150</v>
      </c>
      <c r="D1507" s="1" t="s">
        <v>2151</v>
      </c>
      <c r="E1507" s="3">
        <v>1.0</v>
      </c>
      <c r="F1507" s="3">
        <v>0.0</v>
      </c>
    </row>
    <row r="1508" ht="12.75" customHeight="1">
      <c r="A1508" s="1">
        <v>0.0</v>
      </c>
      <c r="B1508" s="2" t="s">
        <v>3331</v>
      </c>
      <c r="C1508" s="1" t="s">
        <v>3332</v>
      </c>
      <c r="D1508" s="1" t="s">
        <v>3256</v>
      </c>
      <c r="E1508" s="3">
        <v>1.0</v>
      </c>
      <c r="F1508" s="3">
        <v>0.0</v>
      </c>
    </row>
    <row r="1509" ht="12.75" customHeight="1">
      <c r="A1509" s="1">
        <v>0.0</v>
      </c>
      <c r="B1509" s="2" t="s">
        <v>5142</v>
      </c>
      <c r="C1509" s="1" t="s">
        <v>5143</v>
      </c>
      <c r="D1509" s="1" t="s">
        <v>5144</v>
      </c>
      <c r="E1509" s="3">
        <v>1.0</v>
      </c>
      <c r="F1509" s="3">
        <v>0.0</v>
      </c>
    </row>
    <row r="1510" ht="12.75" customHeight="1">
      <c r="A1510" s="1">
        <v>0.0</v>
      </c>
      <c r="B1510" s="2" t="s">
        <v>5145</v>
      </c>
      <c r="C1510" s="1" t="s">
        <v>5146</v>
      </c>
      <c r="D1510" s="1" t="s">
        <v>5147</v>
      </c>
      <c r="E1510" s="3">
        <v>1.0</v>
      </c>
      <c r="F1510" s="3">
        <v>0.0</v>
      </c>
    </row>
    <row r="1511" ht="12.75" customHeight="1">
      <c r="A1511" s="1">
        <v>0.0</v>
      </c>
      <c r="B1511" s="2" t="s">
        <v>5148</v>
      </c>
      <c r="C1511" s="1" t="s">
        <v>5149</v>
      </c>
      <c r="D1511" s="1" t="s">
        <v>3621</v>
      </c>
      <c r="E1511" s="3">
        <v>1.0</v>
      </c>
      <c r="F1511" s="3">
        <v>0.0</v>
      </c>
    </row>
    <row r="1512" ht="12.75" customHeight="1">
      <c r="A1512" s="1">
        <v>0.0</v>
      </c>
      <c r="B1512" s="2" t="s">
        <v>5150</v>
      </c>
      <c r="C1512" s="1" t="s">
        <v>5151</v>
      </c>
      <c r="D1512" s="1" t="s">
        <v>5152</v>
      </c>
      <c r="E1512" s="3">
        <v>1.0</v>
      </c>
      <c r="F1512" s="3">
        <v>0.0</v>
      </c>
    </row>
    <row r="1513" ht="12.75" customHeight="1">
      <c r="A1513" s="1">
        <v>0.0</v>
      </c>
      <c r="B1513" s="2" t="s">
        <v>2439</v>
      </c>
      <c r="C1513" s="1" t="s">
        <v>2440</v>
      </c>
      <c r="D1513" s="1" t="s">
        <v>2441</v>
      </c>
      <c r="E1513" s="3">
        <v>1.0</v>
      </c>
      <c r="F1513" s="3">
        <v>0.0</v>
      </c>
    </row>
    <row r="1514" ht="12.75" customHeight="1">
      <c r="A1514" s="1">
        <v>0.0</v>
      </c>
      <c r="B1514" s="2" t="s">
        <v>5153</v>
      </c>
      <c r="C1514" s="1" t="s">
        <v>5154</v>
      </c>
      <c r="D1514" s="1">
        <v>2.0</v>
      </c>
      <c r="E1514" s="3">
        <v>1.0</v>
      </c>
      <c r="F1514" s="3">
        <v>0.0</v>
      </c>
    </row>
    <row r="1515" ht="12.75" customHeight="1">
      <c r="A1515" s="1">
        <v>0.0</v>
      </c>
      <c r="B1515" s="2" t="s">
        <v>5155</v>
      </c>
      <c r="C1515" s="1" t="s">
        <v>5156</v>
      </c>
      <c r="D1515" s="1" t="s">
        <v>5157</v>
      </c>
      <c r="E1515" s="3">
        <v>1.0</v>
      </c>
      <c r="F1515" s="3">
        <v>0.0</v>
      </c>
    </row>
    <row r="1516" ht="12.75" customHeight="1">
      <c r="A1516" s="1">
        <v>0.0</v>
      </c>
      <c r="B1516" s="2" t="s">
        <v>2308</v>
      </c>
      <c r="C1516" s="1" t="s">
        <v>2309</v>
      </c>
      <c r="D1516" s="1" t="s">
        <v>2310</v>
      </c>
      <c r="E1516" s="3">
        <v>1.0</v>
      </c>
      <c r="F1516" s="3">
        <v>0.0</v>
      </c>
    </row>
    <row r="1517" ht="12.75" customHeight="1">
      <c r="A1517" s="1">
        <v>0.0</v>
      </c>
      <c r="B1517" s="2" t="s">
        <v>2968</v>
      </c>
      <c r="C1517" s="1" t="s">
        <v>2969</v>
      </c>
      <c r="D1517" s="1" t="s">
        <v>1114</v>
      </c>
      <c r="E1517" s="3">
        <v>1.0</v>
      </c>
      <c r="F1517" s="3">
        <v>0.0</v>
      </c>
    </row>
    <row r="1518" ht="12.75" customHeight="1">
      <c r="A1518" s="1">
        <v>0.0</v>
      </c>
      <c r="B1518" s="2">
        <v>564702.0</v>
      </c>
      <c r="C1518" s="1" t="s">
        <v>2519</v>
      </c>
      <c r="D1518" s="1" t="s">
        <v>2520</v>
      </c>
      <c r="E1518" s="3">
        <v>1.0</v>
      </c>
      <c r="F1518" s="3">
        <v>0.0</v>
      </c>
    </row>
    <row r="1519" ht="12.75" customHeight="1">
      <c r="A1519" s="1">
        <v>0.0</v>
      </c>
      <c r="B1519" s="2">
        <v>564703.0</v>
      </c>
      <c r="C1519" s="1" t="s">
        <v>892</v>
      </c>
      <c r="D1519" s="1" t="s">
        <v>936</v>
      </c>
      <c r="E1519" s="3">
        <v>1.0</v>
      </c>
      <c r="F1519" s="3">
        <v>0.0</v>
      </c>
    </row>
    <row r="1520" ht="12.75" customHeight="1">
      <c r="A1520" s="1">
        <v>0.0</v>
      </c>
      <c r="B1520" s="2">
        <v>564706.0</v>
      </c>
      <c r="C1520" s="1" t="s">
        <v>1954</v>
      </c>
      <c r="D1520" s="1" t="s">
        <v>1955</v>
      </c>
      <c r="E1520" s="3">
        <v>1.0</v>
      </c>
      <c r="F1520" s="3">
        <v>0.0</v>
      </c>
    </row>
    <row r="1521" ht="12.75" customHeight="1">
      <c r="A1521" s="1">
        <v>0.0</v>
      </c>
      <c r="B1521" s="2">
        <v>564708.0</v>
      </c>
      <c r="C1521" s="1" t="s">
        <v>2538</v>
      </c>
      <c r="D1521" s="1" t="s">
        <v>934</v>
      </c>
      <c r="E1521" s="3">
        <v>1.0</v>
      </c>
      <c r="F1521" s="3">
        <v>0.0</v>
      </c>
    </row>
    <row r="1522" ht="12.75" customHeight="1">
      <c r="A1522" s="1">
        <v>0.0</v>
      </c>
      <c r="B1522" s="2">
        <v>564710.0</v>
      </c>
      <c r="C1522" s="1" t="s">
        <v>2229</v>
      </c>
      <c r="D1522" s="1" t="s">
        <v>2230</v>
      </c>
      <c r="E1522" s="3">
        <v>1.0</v>
      </c>
      <c r="F1522" s="3">
        <v>0.0</v>
      </c>
    </row>
    <row r="1523" ht="12.75" customHeight="1">
      <c r="A1523" s="1">
        <v>0.0</v>
      </c>
      <c r="B1523" s="2">
        <v>564711.0</v>
      </c>
      <c r="C1523" s="1" t="s">
        <v>3567</v>
      </c>
      <c r="D1523" s="1" t="s">
        <v>892</v>
      </c>
      <c r="E1523" s="3">
        <v>1.0</v>
      </c>
      <c r="F1523" s="3">
        <v>0.0</v>
      </c>
    </row>
    <row r="1524" ht="12.75" customHeight="1">
      <c r="A1524" s="1">
        <v>0.0</v>
      </c>
      <c r="B1524" s="2">
        <v>564712.0</v>
      </c>
      <c r="C1524" s="1" t="s">
        <v>1673</v>
      </c>
      <c r="D1524" s="1" t="s">
        <v>1674</v>
      </c>
      <c r="E1524" s="3">
        <v>1.0</v>
      </c>
      <c r="F1524" s="3">
        <v>0.0</v>
      </c>
    </row>
    <row r="1525" ht="12.75" customHeight="1">
      <c r="A1525" s="1">
        <v>0.0</v>
      </c>
      <c r="B1525" s="2">
        <v>564713.0</v>
      </c>
      <c r="C1525" s="1" t="s">
        <v>2855</v>
      </c>
      <c r="D1525" s="1" t="s">
        <v>2856</v>
      </c>
      <c r="E1525" s="3">
        <v>1.0</v>
      </c>
      <c r="F1525" s="3">
        <v>0.0</v>
      </c>
    </row>
    <row r="1526" ht="12.75" customHeight="1">
      <c r="A1526" s="1">
        <v>0.0</v>
      </c>
      <c r="B1526" s="2">
        <v>564714.0</v>
      </c>
      <c r="C1526" s="1" t="s">
        <v>2299</v>
      </c>
      <c r="D1526" s="1" t="s">
        <v>2300</v>
      </c>
      <c r="E1526" s="3">
        <v>1.0</v>
      </c>
      <c r="F1526" s="3">
        <v>0.0</v>
      </c>
    </row>
    <row r="1527" ht="12.75" customHeight="1">
      <c r="A1527" s="1">
        <v>0.0</v>
      </c>
      <c r="B1527" s="2">
        <v>564715.0</v>
      </c>
      <c r="C1527" s="1" t="s">
        <v>1965</v>
      </c>
      <c r="D1527" s="1" t="s">
        <v>745</v>
      </c>
      <c r="E1527" s="3">
        <v>1.0</v>
      </c>
      <c r="F1527" s="3">
        <v>0.0</v>
      </c>
    </row>
    <row r="1528" ht="12.75" customHeight="1">
      <c r="A1528" s="1">
        <v>0.0</v>
      </c>
      <c r="B1528" s="2">
        <v>564716.0</v>
      </c>
      <c r="C1528" s="1" t="s">
        <v>3600</v>
      </c>
      <c r="D1528" s="1" t="s">
        <v>3601</v>
      </c>
      <c r="E1528" s="3">
        <v>1.0</v>
      </c>
      <c r="F1528" s="3">
        <v>0.0</v>
      </c>
    </row>
    <row r="1529" ht="12.75" customHeight="1">
      <c r="A1529" s="1">
        <v>0.0</v>
      </c>
      <c r="B1529" s="2">
        <v>564717.0</v>
      </c>
      <c r="C1529" s="1" t="s">
        <v>3473</v>
      </c>
      <c r="D1529" s="1" t="s">
        <v>3474</v>
      </c>
      <c r="E1529" s="3">
        <v>1.0</v>
      </c>
      <c r="F1529" s="3">
        <v>0.0</v>
      </c>
    </row>
    <row r="1530" ht="12.75" customHeight="1">
      <c r="A1530" s="1">
        <v>0.0</v>
      </c>
      <c r="B1530" s="2">
        <v>564720.0</v>
      </c>
      <c r="C1530" s="1" t="s">
        <v>3599</v>
      </c>
      <c r="D1530" s="1" t="s">
        <v>1253</v>
      </c>
      <c r="E1530" s="3">
        <v>1.0</v>
      </c>
      <c r="F1530" s="3">
        <v>0.0</v>
      </c>
    </row>
    <row r="1531" ht="12.75" customHeight="1">
      <c r="A1531" s="1">
        <v>0.0</v>
      </c>
      <c r="B1531" s="2">
        <v>564721.0</v>
      </c>
      <c r="C1531" s="1" t="s">
        <v>748</v>
      </c>
      <c r="D1531" s="1" t="s">
        <v>5158</v>
      </c>
      <c r="E1531" s="3">
        <v>1.0</v>
      </c>
      <c r="F1531" s="3">
        <v>0.0</v>
      </c>
    </row>
    <row r="1532" ht="12.75" customHeight="1">
      <c r="A1532" s="1">
        <v>0.0</v>
      </c>
      <c r="B1532" s="2">
        <v>564723.0</v>
      </c>
      <c r="C1532" s="1" t="s">
        <v>1895</v>
      </c>
      <c r="D1532" s="1" t="s">
        <v>1896</v>
      </c>
      <c r="E1532" s="3">
        <v>1.0</v>
      </c>
      <c r="F1532" s="3">
        <v>0.0</v>
      </c>
    </row>
    <row r="1533" ht="12.75" customHeight="1">
      <c r="A1533" s="1">
        <v>0.0</v>
      </c>
      <c r="B1533" s="2">
        <v>564724.0</v>
      </c>
      <c r="C1533" s="1" t="s">
        <v>2301</v>
      </c>
      <c r="D1533" s="1" t="s">
        <v>2300</v>
      </c>
      <c r="E1533" s="3">
        <v>1.0</v>
      </c>
      <c r="F1533" s="3">
        <v>0.0</v>
      </c>
    </row>
    <row r="1534" ht="12.75" customHeight="1">
      <c r="A1534" s="1">
        <v>0.0</v>
      </c>
      <c r="B1534" s="2">
        <v>564725.0</v>
      </c>
      <c r="C1534" s="1" t="s">
        <v>5159</v>
      </c>
      <c r="D1534" s="1" t="s">
        <v>5160</v>
      </c>
      <c r="E1534" s="3">
        <v>1.0</v>
      </c>
      <c r="F1534" s="3">
        <v>0.0</v>
      </c>
    </row>
    <row r="1535" ht="12.75" customHeight="1">
      <c r="A1535" s="1">
        <v>0.0</v>
      </c>
      <c r="B1535" s="2">
        <v>564726.0</v>
      </c>
      <c r="C1535" s="1" t="s">
        <v>765</v>
      </c>
      <c r="D1535" s="1" t="s">
        <v>1172</v>
      </c>
      <c r="E1535" s="3">
        <v>1.0</v>
      </c>
      <c r="F1535" s="3">
        <v>0.0</v>
      </c>
    </row>
    <row r="1536" ht="12.75" customHeight="1">
      <c r="A1536" s="1">
        <v>0.0</v>
      </c>
      <c r="B1536" s="2">
        <v>564729.0</v>
      </c>
      <c r="C1536" s="1" t="s">
        <v>2539</v>
      </c>
      <c r="D1536" s="1" t="s">
        <v>934</v>
      </c>
      <c r="E1536" s="3">
        <v>1.0</v>
      </c>
      <c r="F1536" s="3">
        <v>0.0</v>
      </c>
    </row>
    <row r="1537" ht="12.75" customHeight="1">
      <c r="A1537" s="1">
        <v>0.0</v>
      </c>
      <c r="B1537" s="2">
        <v>564731.0</v>
      </c>
      <c r="C1537" s="1" t="s">
        <v>1810</v>
      </c>
      <c r="D1537" s="1" t="s">
        <v>1811</v>
      </c>
      <c r="E1537" s="3">
        <v>1.0</v>
      </c>
      <c r="F1537" s="3">
        <v>0.0</v>
      </c>
    </row>
    <row r="1538" ht="12.75" customHeight="1">
      <c r="A1538" s="1">
        <v>0.0</v>
      </c>
      <c r="B1538" s="2">
        <v>564735.0</v>
      </c>
      <c r="C1538" s="1" t="s">
        <v>2395</v>
      </c>
      <c r="D1538" s="1" t="s">
        <v>2396</v>
      </c>
      <c r="E1538" s="3">
        <v>1.0</v>
      </c>
      <c r="F1538" s="3">
        <v>0.0</v>
      </c>
    </row>
    <row r="1539" ht="12.75" customHeight="1">
      <c r="A1539" s="1">
        <v>0.0</v>
      </c>
      <c r="B1539" s="2">
        <v>564736.0</v>
      </c>
      <c r="C1539" s="1" t="s">
        <v>1989</v>
      </c>
      <c r="D1539" s="1" t="s">
        <v>1988</v>
      </c>
      <c r="E1539" s="3">
        <v>1.0</v>
      </c>
      <c r="F1539" s="3">
        <v>0.0</v>
      </c>
    </row>
    <row r="1540" ht="12.75" customHeight="1">
      <c r="A1540" s="1">
        <v>0.0</v>
      </c>
      <c r="B1540" s="2">
        <v>564737.0</v>
      </c>
      <c r="C1540" s="1" t="s">
        <v>2003</v>
      </c>
      <c r="D1540" s="1" t="s">
        <v>2023</v>
      </c>
      <c r="E1540" s="3">
        <v>1.0</v>
      </c>
      <c r="F1540" s="3">
        <v>0.0</v>
      </c>
    </row>
    <row r="1541" ht="12.75" customHeight="1">
      <c r="A1541" s="1">
        <v>0.0</v>
      </c>
      <c r="B1541" s="2">
        <v>564738.0</v>
      </c>
      <c r="C1541" s="1" t="s">
        <v>2190</v>
      </c>
      <c r="D1541" s="1" t="s">
        <v>805</v>
      </c>
      <c r="E1541" s="3">
        <v>1.0</v>
      </c>
      <c r="F1541" s="3">
        <v>0.0</v>
      </c>
    </row>
    <row r="1542" ht="12.75" customHeight="1">
      <c r="A1542" s="1">
        <v>0.0</v>
      </c>
      <c r="B1542" s="2">
        <v>564740.0</v>
      </c>
      <c r="C1542" s="1" t="s">
        <v>2191</v>
      </c>
      <c r="D1542" s="1" t="s">
        <v>805</v>
      </c>
      <c r="E1542" s="3">
        <v>1.0</v>
      </c>
      <c r="F1542" s="3">
        <v>0.0</v>
      </c>
    </row>
    <row r="1543" ht="12.75" customHeight="1">
      <c r="A1543" s="1">
        <v>0.0</v>
      </c>
      <c r="B1543" s="2">
        <v>564741.0</v>
      </c>
      <c r="C1543" s="1" t="s">
        <v>748</v>
      </c>
      <c r="D1543" s="1" t="s">
        <v>1246</v>
      </c>
      <c r="E1543" s="3">
        <v>1.0</v>
      </c>
      <c r="F1543" s="3">
        <v>0.0</v>
      </c>
    </row>
    <row r="1544" ht="12.75" customHeight="1">
      <c r="A1544" s="1">
        <v>0.0</v>
      </c>
      <c r="B1544" s="2">
        <v>564742.0</v>
      </c>
      <c r="C1544" s="1" t="s">
        <v>3112</v>
      </c>
      <c r="D1544" s="1" t="s">
        <v>3113</v>
      </c>
      <c r="E1544" s="3">
        <v>1.0</v>
      </c>
      <c r="F1544" s="3">
        <v>0.0</v>
      </c>
    </row>
    <row r="1545" ht="12.75" customHeight="1">
      <c r="A1545" s="1">
        <v>0.0</v>
      </c>
      <c r="B1545" s="2">
        <v>564743.0</v>
      </c>
      <c r="C1545" s="1" t="s">
        <v>3954</v>
      </c>
      <c r="D1545" s="1" t="s">
        <v>3955</v>
      </c>
      <c r="E1545" s="3">
        <v>1.0</v>
      </c>
      <c r="F1545" s="3">
        <v>0.0</v>
      </c>
    </row>
    <row r="1546" ht="12.75" customHeight="1">
      <c r="A1546" s="1">
        <v>0.0</v>
      </c>
      <c r="B1546" s="2">
        <v>564744.0</v>
      </c>
      <c r="C1546" s="1" t="s">
        <v>3402</v>
      </c>
      <c r="D1546" s="1" t="s">
        <v>3403</v>
      </c>
      <c r="E1546" s="3">
        <v>1.0</v>
      </c>
      <c r="F1546" s="3">
        <v>0.0</v>
      </c>
    </row>
    <row r="1547" ht="12.75" customHeight="1">
      <c r="A1547" s="1">
        <v>0.0</v>
      </c>
      <c r="B1547" s="2">
        <v>564746.0</v>
      </c>
      <c r="C1547" s="1" t="s">
        <v>1843</v>
      </c>
      <c r="D1547" s="1" t="s">
        <v>912</v>
      </c>
      <c r="E1547" s="3">
        <v>1.0</v>
      </c>
      <c r="F1547" s="3">
        <v>0.0</v>
      </c>
    </row>
    <row r="1548" ht="12.75" customHeight="1">
      <c r="A1548" s="1">
        <v>0.0</v>
      </c>
      <c r="B1548" s="2">
        <v>564747.0</v>
      </c>
      <c r="C1548" s="1" t="s">
        <v>5161</v>
      </c>
      <c r="D1548" s="1" t="s">
        <v>5162</v>
      </c>
      <c r="E1548" s="3">
        <v>1.0</v>
      </c>
      <c r="F1548" s="3">
        <v>0.0</v>
      </c>
    </row>
    <row r="1549" ht="12.75" customHeight="1">
      <c r="A1549" s="1">
        <v>0.0</v>
      </c>
      <c r="B1549" s="2">
        <v>564749.0</v>
      </c>
      <c r="C1549" s="1" t="s">
        <v>1806</v>
      </c>
      <c r="D1549" s="1" t="s">
        <v>695</v>
      </c>
      <c r="E1549" s="3">
        <v>1.0</v>
      </c>
      <c r="F1549" s="3">
        <v>0.0</v>
      </c>
    </row>
    <row r="1550" ht="12.75" customHeight="1">
      <c r="A1550" s="1">
        <v>0.0</v>
      </c>
      <c r="B1550" s="2">
        <v>564750.0</v>
      </c>
      <c r="C1550" s="1" t="s">
        <v>3230</v>
      </c>
      <c r="D1550" s="1" t="s">
        <v>3231</v>
      </c>
      <c r="E1550" s="3">
        <v>1.0</v>
      </c>
      <c r="F1550" s="3">
        <v>0.0</v>
      </c>
    </row>
    <row r="1551" ht="12.75" customHeight="1">
      <c r="A1551" s="1">
        <v>0.0</v>
      </c>
      <c r="B1551" s="2">
        <v>564752.0</v>
      </c>
      <c r="C1551" s="1" t="s">
        <v>1801</v>
      </c>
      <c r="D1551" s="1" t="s">
        <v>895</v>
      </c>
      <c r="E1551" s="3">
        <v>1.0</v>
      </c>
      <c r="F1551" s="3">
        <v>0.0</v>
      </c>
    </row>
    <row r="1552" ht="12.75" customHeight="1">
      <c r="A1552" s="1">
        <v>0.0</v>
      </c>
      <c r="B1552" s="2">
        <v>564753.0</v>
      </c>
      <c r="C1552" s="1" t="s">
        <v>3554</v>
      </c>
      <c r="D1552" s="1" t="s">
        <v>3555</v>
      </c>
      <c r="E1552" s="3">
        <v>1.0</v>
      </c>
      <c r="F1552" s="3">
        <v>0.0</v>
      </c>
    </row>
    <row r="1553" ht="12.75" customHeight="1">
      <c r="A1553" s="1">
        <v>0.0</v>
      </c>
      <c r="B1553" s="2">
        <v>564756.0</v>
      </c>
      <c r="C1553" s="1" t="s">
        <v>5163</v>
      </c>
      <c r="D1553" s="1" t="s">
        <v>5164</v>
      </c>
      <c r="E1553" s="3">
        <v>1.0</v>
      </c>
      <c r="F1553" s="3">
        <v>0.0</v>
      </c>
    </row>
    <row r="1554" ht="12.75" customHeight="1">
      <c r="A1554" s="1">
        <v>0.0</v>
      </c>
      <c r="B1554" s="2">
        <v>564759.0</v>
      </c>
      <c r="C1554" s="1" t="s">
        <v>3600</v>
      </c>
      <c r="D1554" s="1" t="s">
        <v>3743</v>
      </c>
      <c r="E1554" s="3">
        <v>1.0</v>
      </c>
      <c r="F1554" s="3">
        <v>0.0</v>
      </c>
    </row>
    <row r="1555" ht="12.75" customHeight="1">
      <c r="A1555" s="1">
        <v>0.0</v>
      </c>
      <c r="B1555" s="2">
        <v>564760.0</v>
      </c>
      <c r="C1555" s="1" t="s">
        <v>1183</v>
      </c>
      <c r="D1555" s="1" t="s">
        <v>718</v>
      </c>
      <c r="E1555" s="3">
        <v>1.0</v>
      </c>
      <c r="F1555" s="3">
        <v>0.0</v>
      </c>
    </row>
    <row r="1556" ht="12.75" customHeight="1">
      <c r="A1556" s="1">
        <v>0.0</v>
      </c>
      <c r="B1556" s="2">
        <v>564761.0</v>
      </c>
      <c r="C1556" s="1" t="s">
        <v>2605</v>
      </c>
      <c r="D1556" s="1" t="s">
        <v>2606</v>
      </c>
      <c r="E1556" s="3">
        <v>1.0</v>
      </c>
      <c r="F1556" s="3">
        <v>0.0</v>
      </c>
    </row>
    <row r="1557" ht="12.75" customHeight="1">
      <c r="A1557" s="1">
        <v>0.0</v>
      </c>
      <c r="B1557" s="2">
        <v>564762.0</v>
      </c>
      <c r="C1557" s="1" t="s">
        <v>3580</v>
      </c>
      <c r="D1557" s="1" t="s">
        <v>1246</v>
      </c>
      <c r="E1557" s="3">
        <v>1.0</v>
      </c>
      <c r="F1557" s="3">
        <v>0.0</v>
      </c>
    </row>
    <row r="1558" ht="12.75" customHeight="1">
      <c r="A1558" s="1">
        <v>0.0</v>
      </c>
      <c r="B1558" s="2">
        <v>564763.0</v>
      </c>
      <c r="C1558" s="1" t="s">
        <v>2547</v>
      </c>
      <c r="D1558" s="1" t="s">
        <v>936</v>
      </c>
      <c r="E1558" s="3">
        <v>1.0</v>
      </c>
      <c r="F1558" s="3">
        <v>0.0</v>
      </c>
    </row>
    <row r="1559" ht="12.75" customHeight="1">
      <c r="A1559" s="1">
        <v>0.0</v>
      </c>
      <c r="B1559" s="2">
        <v>564764.0</v>
      </c>
      <c r="C1559" s="1" t="s">
        <v>2624</v>
      </c>
      <c r="D1559" s="1" t="s">
        <v>2625</v>
      </c>
      <c r="E1559" s="3">
        <v>1.0</v>
      </c>
      <c r="F1559" s="3">
        <v>0.0</v>
      </c>
    </row>
    <row r="1560" ht="12.75" customHeight="1">
      <c r="A1560" s="1">
        <v>0.0</v>
      </c>
      <c r="B1560" s="2">
        <v>564766.0</v>
      </c>
      <c r="C1560" s="1" t="s">
        <v>2786</v>
      </c>
      <c r="D1560" s="1" t="s">
        <v>2787</v>
      </c>
      <c r="E1560" s="3">
        <v>1.0</v>
      </c>
      <c r="F1560" s="3">
        <v>0.0</v>
      </c>
    </row>
    <row r="1561" ht="12.75" customHeight="1">
      <c r="A1561" s="1">
        <v>0.0</v>
      </c>
      <c r="B1561" s="2">
        <v>564767.0</v>
      </c>
      <c r="C1561" s="1" t="s">
        <v>2131</v>
      </c>
      <c r="D1561" s="1" t="s">
        <v>2132</v>
      </c>
      <c r="E1561" s="3">
        <v>1.0</v>
      </c>
      <c r="F1561" s="3">
        <v>0.0</v>
      </c>
    </row>
    <row r="1562" ht="12.75" customHeight="1">
      <c r="A1562" s="1">
        <v>0.0</v>
      </c>
      <c r="B1562" s="2">
        <v>564769.0</v>
      </c>
      <c r="C1562" s="1" t="s">
        <v>1928</v>
      </c>
      <c r="D1562" s="1" t="s">
        <v>1929</v>
      </c>
      <c r="E1562" s="3">
        <v>1.0</v>
      </c>
      <c r="F1562" s="3">
        <v>0.0</v>
      </c>
    </row>
    <row r="1563" ht="12.75" customHeight="1">
      <c r="A1563" s="1">
        <v>0.0</v>
      </c>
      <c r="B1563" s="2">
        <v>564770.0</v>
      </c>
      <c r="C1563" s="1" t="s">
        <v>2102</v>
      </c>
      <c r="D1563" s="1" t="s">
        <v>2103</v>
      </c>
      <c r="E1563" s="3">
        <v>1.0</v>
      </c>
      <c r="F1563" s="3">
        <v>0.0</v>
      </c>
    </row>
    <row r="1564" ht="12.75" customHeight="1">
      <c r="A1564" s="1">
        <v>0.0</v>
      </c>
      <c r="B1564" s="2">
        <v>564771.0</v>
      </c>
      <c r="C1564" s="1" t="s">
        <v>3477</v>
      </c>
      <c r="D1564" s="1" t="s">
        <v>1204</v>
      </c>
      <c r="E1564" s="3">
        <v>1.0</v>
      </c>
      <c r="F1564" s="3">
        <v>0.0</v>
      </c>
    </row>
    <row r="1565" ht="12.75" customHeight="1">
      <c r="A1565" s="1">
        <v>0.0</v>
      </c>
      <c r="B1565" s="2">
        <v>564772.0</v>
      </c>
      <c r="C1565" s="1" t="s">
        <v>1958</v>
      </c>
      <c r="D1565" s="1" t="s">
        <v>1959</v>
      </c>
      <c r="E1565" s="3">
        <v>1.0</v>
      </c>
      <c r="F1565" s="3">
        <v>0.0</v>
      </c>
    </row>
    <row r="1566" ht="12.75" customHeight="1">
      <c r="A1566" s="1">
        <v>0.0</v>
      </c>
      <c r="B1566" s="2">
        <v>564773.0</v>
      </c>
      <c r="C1566" s="1" t="s">
        <v>2179</v>
      </c>
      <c r="D1566" s="1" t="s">
        <v>801</v>
      </c>
      <c r="E1566" s="3">
        <v>1.0</v>
      </c>
      <c r="F1566" s="3">
        <v>0.0</v>
      </c>
    </row>
    <row r="1567" ht="12.75" customHeight="1">
      <c r="A1567" s="1">
        <v>0.0</v>
      </c>
      <c r="B1567" s="2">
        <v>564775.0</v>
      </c>
      <c r="C1567" s="1" t="s">
        <v>3874</v>
      </c>
      <c r="D1567" s="1" t="s">
        <v>3875</v>
      </c>
      <c r="E1567" s="3">
        <v>1.0</v>
      </c>
      <c r="F1567" s="3">
        <v>0.0</v>
      </c>
    </row>
    <row r="1568" ht="12.75" customHeight="1">
      <c r="A1568" s="1">
        <v>0.0</v>
      </c>
      <c r="B1568" s="2">
        <v>564776.0</v>
      </c>
      <c r="C1568" s="1" t="s">
        <v>1903</v>
      </c>
      <c r="D1568" s="1" t="s">
        <v>716</v>
      </c>
      <c r="E1568" s="3">
        <v>1.0</v>
      </c>
      <c r="F1568" s="3">
        <v>0.0</v>
      </c>
    </row>
    <row r="1569" ht="12.75" customHeight="1">
      <c r="A1569" s="1">
        <v>0.0</v>
      </c>
      <c r="B1569" s="2">
        <v>564777.0</v>
      </c>
      <c r="C1569" s="1" t="s">
        <v>1899</v>
      </c>
      <c r="D1569" s="1" t="s">
        <v>710</v>
      </c>
      <c r="E1569" s="3">
        <v>1.0</v>
      </c>
      <c r="F1569" s="3">
        <v>0.0</v>
      </c>
    </row>
    <row r="1570" ht="12.75" customHeight="1">
      <c r="A1570" s="1">
        <v>0.0</v>
      </c>
      <c r="B1570" s="2">
        <v>564778.0</v>
      </c>
      <c r="C1570" s="1" t="s">
        <v>1365</v>
      </c>
      <c r="D1570" s="1" t="s">
        <v>3206</v>
      </c>
      <c r="E1570" s="3">
        <v>1.0</v>
      </c>
      <c r="F1570" s="3">
        <v>0.0</v>
      </c>
    </row>
    <row r="1571" ht="12.75" customHeight="1">
      <c r="A1571" s="1">
        <v>0.0</v>
      </c>
      <c r="B1571" s="2">
        <v>564780.0</v>
      </c>
      <c r="C1571" s="1" t="s">
        <v>3581</v>
      </c>
      <c r="D1571" s="1" t="s">
        <v>1246</v>
      </c>
      <c r="E1571" s="3">
        <v>1.0</v>
      </c>
      <c r="F1571" s="3">
        <v>0.0</v>
      </c>
    </row>
    <row r="1572" ht="12.75" customHeight="1">
      <c r="A1572" s="1">
        <v>0.0</v>
      </c>
      <c r="B1572" s="2">
        <v>564781.0</v>
      </c>
      <c r="C1572" s="1" t="s">
        <v>2104</v>
      </c>
      <c r="D1572" s="1" t="s">
        <v>2103</v>
      </c>
      <c r="E1572" s="3">
        <v>1.0</v>
      </c>
      <c r="F1572" s="3">
        <v>0.0</v>
      </c>
    </row>
    <row r="1573" ht="12.75" customHeight="1">
      <c r="A1573" s="1">
        <v>0.0</v>
      </c>
      <c r="B1573" s="2">
        <v>564782.0</v>
      </c>
      <c r="C1573" s="1" t="s">
        <v>3681</v>
      </c>
      <c r="D1573" s="1" t="s">
        <v>3682</v>
      </c>
      <c r="E1573" s="3">
        <v>1.0</v>
      </c>
      <c r="F1573" s="3">
        <v>0.0</v>
      </c>
    </row>
    <row r="1574" ht="12.75" customHeight="1">
      <c r="A1574" s="1">
        <v>0.0</v>
      </c>
      <c r="B1574" s="2">
        <v>564783.0</v>
      </c>
      <c r="C1574" s="1" t="s">
        <v>911</v>
      </c>
      <c r="D1574" s="1" t="s">
        <v>936</v>
      </c>
      <c r="E1574" s="3">
        <v>1.0</v>
      </c>
      <c r="F1574" s="3">
        <v>0.0</v>
      </c>
    </row>
    <row r="1575" ht="12.75" customHeight="1">
      <c r="A1575" s="1">
        <v>0.0</v>
      </c>
      <c r="B1575" s="2">
        <v>564785.0</v>
      </c>
      <c r="C1575" s="1" t="s">
        <v>2138</v>
      </c>
      <c r="D1575" s="1" t="s">
        <v>2139</v>
      </c>
      <c r="E1575" s="3">
        <v>1.0</v>
      </c>
      <c r="F1575" s="3">
        <v>0.0</v>
      </c>
    </row>
    <row r="1576" ht="12.75" customHeight="1">
      <c r="A1576" s="1">
        <v>0.0</v>
      </c>
      <c r="B1576" s="2">
        <v>564788.0</v>
      </c>
      <c r="C1576" s="1" t="s">
        <v>3849</v>
      </c>
      <c r="D1576" s="1" t="s">
        <v>3848</v>
      </c>
      <c r="E1576" s="3">
        <v>1.0</v>
      </c>
      <c r="F1576" s="3">
        <v>0.0</v>
      </c>
    </row>
    <row r="1577" ht="12.75" customHeight="1">
      <c r="A1577" s="1">
        <v>0.0</v>
      </c>
      <c r="B1577" s="2">
        <v>564789.0</v>
      </c>
      <c r="C1577" s="1" t="s">
        <v>2506</v>
      </c>
      <c r="D1577" s="1" t="s">
        <v>912</v>
      </c>
      <c r="E1577" s="3">
        <v>1.0</v>
      </c>
      <c r="F1577" s="3">
        <v>0.0</v>
      </c>
    </row>
    <row r="1578" ht="12.75" customHeight="1">
      <c r="A1578" s="1">
        <v>0.0</v>
      </c>
      <c r="B1578" s="2">
        <v>564792.0</v>
      </c>
      <c r="C1578" s="1" t="s">
        <v>4650</v>
      </c>
      <c r="D1578" s="1" t="s">
        <v>5165</v>
      </c>
      <c r="E1578" s="3">
        <v>1.0</v>
      </c>
      <c r="F1578" s="3">
        <v>0.0</v>
      </c>
    </row>
    <row r="1579" ht="12.75" customHeight="1">
      <c r="A1579" s="1">
        <v>0.0</v>
      </c>
      <c r="B1579" s="2">
        <v>564793.0</v>
      </c>
      <c r="C1579" s="1" t="s">
        <v>2203</v>
      </c>
      <c r="D1579" s="1" t="s">
        <v>811</v>
      </c>
      <c r="E1579" s="3">
        <v>1.0</v>
      </c>
      <c r="F1579" s="3">
        <v>0.0</v>
      </c>
    </row>
    <row r="1580" ht="12.75" customHeight="1">
      <c r="A1580" s="1">
        <v>0.0</v>
      </c>
      <c r="B1580" s="2">
        <v>564794.0</v>
      </c>
      <c r="C1580" s="1" t="s">
        <v>5166</v>
      </c>
      <c r="D1580" s="1" t="s">
        <v>5167</v>
      </c>
      <c r="E1580" s="3">
        <v>1.0</v>
      </c>
      <c r="F1580" s="3">
        <v>0.0</v>
      </c>
    </row>
    <row r="1581" ht="12.75" customHeight="1">
      <c r="A1581" s="1">
        <v>0.0</v>
      </c>
      <c r="B1581" s="2">
        <v>564795.0</v>
      </c>
      <c r="C1581" s="1" t="s">
        <v>1897</v>
      </c>
      <c r="D1581" s="1" t="s">
        <v>708</v>
      </c>
      <c r="E1581" s="3">
        <v>1.0</v>
      </c>
      <c r="F1581" s="3">
        <v>0.0</v>
      </c>
    </row>
    <row r="1582" ht="12.75" customHeight="1">
      <c r="A1582" s="1">
        <v>0.0</v>
      </c>
      <c r="B1582" s="2">
        <v>564798.0</v>
      </c>
      <c r="C1582" s="1" t="s">
        <v>2291</v>
      </c>
      <c r="D1582" s="1" t="s">
        <v>2292</v>
      </c>
      <c r="E1582" s="3">
        <v>1.0</v>
      </c>
      <c r="F1582" s="3">
        <v>0.0</v>
      </c>
    </row>
    <row r="1583" ht="12.75" customHeight="1">
      <c r="A1583" s="1">
        <v>0.0</v>
      </c>
      <c r="B1583" s="2" t="s">
        <v>3856</v>
      </c>
      <c r="C1583" s="1" t="s">
        <v>3857</v>
      </c>
      <c r="D1583" s="1" t="s">
        <v>3848</v>
      </c>
      <c r="E1583" s="3">
        <v>1.0</v>
      </c>
      <c r="F1583" s="3">
        <v>0.0</v>
      </c>
    </row>
    <row r="1584" ht="12.75" customHeight="1">
      <c r="A1584" s="1">
        <v>0.0</v>
      </c>
      <c r="B1584" s="2" t="s">
        <v>2550</v>
      </c>
      <c r="C1584" s="1" t="s">
        <v>2551</v>
      </c>
      <c r="D1584" s="1" t="s">
        <v>936</v>
      </c>
      <c r="E1584" s="3">
        <v>1.0</v>
      </c>
      <c r="F1584" s="3">
        <v>0.0</v>
      </c>
    </row>
    <row r="1585" ht="12.75" customHeight="1">
      <c r="A1585" s="1">
        <v>0.0</v>
      </c>
      <c r="B1585" s="2" t="s">
        <v>1970</v>
      </c>
      <c r="C1585" s="1" t="s">
        <v>1971</v>
      </c>
      <c r="D1585" s="1" t="s">
        <v>1972</v>
      </c>
      <c r="E1585" s="3">
        <v>1.0</v>
      </c>
      <c r="F1585" s="3">
        <v>0.0</v>
      </c>
    </row>
    <row r="1586" ht="12.75" customHeight="1">
      <c r="A1586" s="1">
        <v>0.0</v>
      </c>
      <c r="B1586" s="2" t="s">
        <v>2819</v>
      </c>
      <c r="C1586" s="1" t="s">
        <v>814</v>
      </c>
      <c r="D1586" s="1" t="s">
        <v>1089</v>
      </c>
      <c r="E1586" s="3">
        <v>1.0</v>
      </c>
      <c r="F1586" s="3">
        <v>0.0</v>
      </c>
    </row>
    <row r="1587" ht="12.75" customHeight="1">
      <c r="A1587" s="1">
        <v>0.0</v>
      </c>
      <c r="B1587" s="2" t="s">
        <v>5168</v>
      </c>
      <c r="C1587" s="1" t="s">
        <v>5169</v>
      </c>
      <c r="D1587" s="1" t="s">
        <v>5170</v>
      </c>
      <c r="E1587" s="3">
        <v>1.0</v>
      </c>
      <c r="F1587" s="3">
        <v>0.0</v>
      </c>
    </row>
    <row r="1588" ht="12.75" customHeight="1">
      <c r="A1588" s="1">
        <v>0.0</v>
      </c>
      <c r="B1588" s="2" t="s">
        <v>3582</v>
      </c>
      <c r="C1588" s="1" t="s">
        <v>3583</v>
      </c>
      <c r="D1588" s="1" t="s">
        <v>1246</v>
      </c>
      <c r="E1588" s="3">
        <v>1.0</v>
      </c>
      <c r="F1588" s="3">
        <v>0.0</v>
      </c>
    </row>
    <row r="1589" ht="12.75" customHeight="1">
      <c r="A1589" s="1">
        <v>0.0</v>
      </c>
      <c r="B1589" s="2" t="s">
        <v>1966</v>
      </c>
      <c r="C1589" s="1" t="s">
        <v>1967</v>
      </c>
      <c r="D1589" s="1" t="s">
        <v>745</v>
      </c>
      <c r="E1589" s="3">
        <v>1.0</v>
      </c>
      <c r="F1589" s="3">
        <v>0.0</v>
      </c>
    </row>
    <row r="1590" ht="12.75" customHeight="1">
      <c r="A1590" s="1">
        <v>0.0</v>
      </c>
      <c r="B1590" s="2" t="s">
        <v>2552</v>
      </c>
      <c r="C1590" s="1" t="s">
        <v>2553</v>
      </c>
      <c r="D1590" s="1" t="s">
        <v>936</v>
      </c>
      <c r="E1590" s="3">
        <v>1.0</v>
      </c>
      <c r="F1590" s="3">
        <v>0.0</v>
      </c>
    </row>
    <row r="1591" ht="12.75" customHeight="1">
      <c r="A1591" s="1">
        <v>0.0</v>
      </c>
      <c r="B1591" s="2" t="s">
        <v>1716</v>
      </c>
      <c r="C1591" s="1" t="s">
        <v>1717</v>
      </c>
      <c r="D1591" s="1" t="s">
        <v>1373</v>
      </c>
      <c r="E1591" s="3">
        <v>1.0</v>
      </c>
      <c r="F1591" s="3">
        <v>0.0</v>
      </c>
    </row>
    <row r="1592" ht="12.75" customHeight="1">
      <c r="A1592" s="1">
        <v>0.0</v>
      </c>
      <c r="B1592" s="2" t="s">
        <v>2865</v>
      </c>
      <c r="C1592" s="1" t="s">
        <v>2866</v>
      </c>
      <c r="D1592" s="1" t="s">
        <v>1097</v>
      </c>
      <c r="E1592" s="3">
        <v>1.0</v>
      </c>
      <c r="F1592" s="3">
        <v>0.0</v>
      </c>
    </row>
    <row r="1593" ht="12.75" customHeight="1">
      <c r="A1593" s="1">
        <v>0.0</v>
      </c>
      <c r="B1593" s="2" t="s">
        <v>3478</v>
      </c>
      <c r="C1593" s="1" t="s">
        <v>3479</v>
      </c>
      <c r="D1593" s="1" t="s">
        <v>1204</v>
      </c>
      <c r="E1593" s="3">
        <v>1.0</v>
      </c>
      <c r="F1593" s="3">
        <v>0.0</v>
      </c>
    </row>
    <row r="1594" ht="12.75" customHeight="1">
      <c r="A1594" s="1">
        <v>0.0</v>
      </c>
      <c r="B1594" s="2" t="s">
        <v>2867</v>
      </c>
      <c r="C1594" s="1" t="s">
        <v>2868</v>
      </c>
      <c r="D1594" s="1" t="s">
        <v>1097</v>
      </c>
      <c r="E1594" s="3">
        <v>1.0</v>
      </c>
      <c r="F1594" s="3">
        <v>0.0</v>
      </c>
    </row>
    <row r="1595" ht="12.75" customHeight="1">
      <c r="A1595" s="1">
        <v>0.0</v>
      </c>
      <c r="B1595" s="2" t="s">
        <v>5171</v>
      </c>
      <c r="C1595" s="1" t="s">
        <v>5172</v>
      </c>
      <c r="D1595" s="1" t="s">
        <v>4705</v>
      </c>
      <c r="E1595" s="3">
        <v>1.0</v>
      </c>
      <c r="F1595" s="3">
        <v>0.0</v>
      </c>
    </row>
    <row r="1596" ht="12.75" customHeight="1">
      <c r="A1596" s="1">
        <v>0.0</v>
      </c>
      <c r="B1596" s="2" t="s">
        <v>5173</v>
      </c>
      <c r="C1596" s="1" t="s">
        <v>5174</v>
      </c>
      <c r="D1596" s="1" t="s">
        <v>5175</v>
      </c>
      <c r="E1596" s="3">
        <v>1.0</v>
      </c>
      <c r="F1596" s="3">
        <v>0.0</v>
      </c>
    </row>
    <row r="1597" ht="12.75" customHeight="1">
      <c r="A1597" s="1">
        <v>0.0</v>
      </c>
      <c r="B1597" s="2" t="s">
        <v>2869</v>
      </c>
      <c r="C1597" s="1" t="s">
        <v>2870</v>
      </c>
      <c r="D1597" s="1" t="s">
        <v>1097</v>
      </c>
      <c r="E1597" s="3">
        <v>1.0</v>
      </c>
      <c r="F1597" s="3">
        <v>0.0</v>
      </c>
    </row>
    <row r="1598" ht="12.75" customHeight="1">
      <c r="A1598" s="1">
        <v>0.0</v>
      </c>
      <c r="B1598" s="2" t="s">
        <v>5176</v>
      </c>
      <c r="C1598" s="1" t="s">
        <v>5177</v>
      </c>
      <c r="D1598" s="1" t="s">
        <v>5178</v>
      </c>
      <c r="E1598" s="3">
        <v>1.0</v>
      </c>
      <c r="F1598" s="3">
        <v>0.0</v>
      </c>
    </row>
    <row r="1599" ht="12.75" customHeight="1">
      <c r="A1599" s="1">
        <v>0.0</v>
      </c>
      <c r="B1599" s="2" t="s">
        <v>2970</v>
      </c>
      <c r="C1599" s="1" t="s">
        <v>2971</v>
      </c>
      <c r="D1599" s="1" t="s">
        <v>1114</v>
      </c>
      <c r="E1599" s="3">
        <v>1.0</v>
      </c>
      <c r="F1599" s="3">
        <v>0.0</v>
      </c>
    </row>
    <row r="1600" ht="12.75" customHeight="1">
      <c r="A1600" s="1">
        <v>0.0</v>
      </c>
      <c r="B1600" s="2" t="s">
        <v>2871</v>
      </c>
      <c r="C1600" s="1" t="s">
        <v>2872</v>
      </c>
      <c r="D1600" s="1" t="s">
        <v>1097</v>
      </c>
      <c r="E1600" s="3">
        <v>1.0</v>
      </c>
      <c r="F1600" s="3">
        <v>0.0</v>
      </c>
    </row>
    <row r="1601" ht="12.75" customHeight="1">
      <c r="A1601" s="1">
        <v>0.0</v>
      </c>
      <c r="B1601" s="2" t="s">
        <v>2873</v>
      </c>
      <c r="C1601" s="1" t="s">
        <v>2874</v>
      </c>
      <c r="D1601" s="1" t="s">
        <v>1097</v>
      </c>
      <c r="E1601" s="3">
        <v>1.0</v>
      </c>
      <c r="F1601" s="3">
        <v>0.0</v>
      </c>
    </row>
    <row r="1602" ht="12.75" customHeight="1">
      <c r="A1602" s="1">
        <v>0.0</v>
      </c>
      <c r="B1602" s="2" t="s">
        <v>5179</v>
      </c>
      <c r="C1602" s="1" t="s">
        <v>5180</v>
      </c>
      <c r="D1602" s="1" t="s">
        <v>5181</v>
      </c>
      <c r="E1602" s="3">
        <v>1.0</v>
      </c>
      <c r="F1602" s="3">
        <v>0.0</v>
      </c>
    </row>
    <row r="1603" ht="12.75" customHeight="1">
      <c r="A1603" s="1">
        <v>0.0</v>
      </c>
      <c r="B1603" s="2" t="s">
        <v>2972</v>
      </c>
      <c r="C1603" s="1" t="s">
        <v>2973</v>
      </c>
      <c r="D1603" s="1" t="s">
        <v>1114</v>
      </c>
      <c r="E1603" s="3">
        <v>1.0</v>
      </c>
      <c r="F1603" s="3">
        <v>0.0</v>
      </c>
    </row>
    <row r="1604" ht="12.75" customHeight="1">
      <c r="A1604" s="1">
        <v>0.0</v>
      </c>
      <c r="B1604" s="2" t="s">
        <v>2875</v>
      </c>
      <c r="C1604" s="1" t="s">
        <v>2876</v>
      </c>
      <c r="D1604" s="1" t="s">
        <v>1097</v>
      </c>
      <c r="E1604" s="3">
        <v>1.0</v>
      </c>
      <c r="F1604" s="3">
        <v>0.0</v>
      </c>
    </row>
    <row r="1605" ht="12.75" customHeight="1">
      <c r="A1605" s="1">
        <v>0.0</v>
      </c>
      <c r="B1605" s="2" t="s">
        <v>2554</v>
      </c>
      <c r="C1605" s="1" t="s">
        <v>2555</v>
      </c>
      <c r="D1605" s="1" t="s">
        <v>936</v>
      </c>
      <c r="E1605" s="3">
        <v>1.0</v>
      </c>
      <c r="F1605" s="3">
        <v>0.0</v>
      </c>
    </row>
    <row r="1606" ht="12.75" customHeight="1">
      <c r="A1606" s="1">
        <v>0.0</v>
      </c>
      <c r="B1606" s="2" t="s">
        <v>2556</v>
      </c>
      <c r="C1606" s="1" t="s">
        <v>2557</v>
      </c>
      <c r="D1606" s="1" t="s">
        <v>936</v>
      </c>
      <c r="E1606" s="3">
        <v>1.0</v>
      </c>
      <c r="F1606" s="3">
        <v>0.0</v>
      </c>
    </row>
    <row r="1607" ht="12.75" customHeight="1">
      <c r="A1607" s="1">
        <v>0.0</v>
      </c>
      <c r="B1607" s="2" t="s">
        <v>2974</v>
      </c>
      <c r="C1607" s="1" t="s">
        <v>2975</v>
      </c>
      <c r="D1607" s="1" t="s">
        <v>1114</v>
      </c>
      <c r="E1607" s="3">
        <v>1.0</v>
      </c>
      <c r="F1607" s="3">
        <v>0.0</v>
      </c>
    </row>
    <row r="1608" ht="12.75" customHeight="1">
      <c r="A1608" s="1">
        <v>0.0</v>
      </c>
      <c r="B1608" s="2" t="s">
        <v>2206</v>
      </c>
      <c r="C1608" s="1" t="s">
        <v>2207</v>
      </c>
      <c r="D1608" s="1" t="s">
        <v>811</v>
      </c>
      <c r="E1608" s="3">
        <v>1.0</v>
      </c>
      <c r="F1608" s="3">
        <v>0.0</v>
      </c>
    </row>
    <row r="1609" ht="12.75" customHeight="1">
      <c r="A1609" s="1">
        <v>0.0</v>
      </c>
      <c r="B1609" s="2" t="s">
        <v>5182</v>
      </c>
      <c r="C1609" s="1" t="s">
        <v>5183</v>
      </c>
      <c r="D1609" s="1" t="s">
        <v>5184</v>
      </c>
      <c r="E1609" s="3">
        <v>1.0</v>
      </c>
      <c r="F1609" s="3">
        <v>0.0</v>
      </c>
    </row>
    <row r="1610" ht="12.75" customHeight="1">
      <c r="A1610" s="1">
        <v>0.0</v>
      </c>
      <c r="B1610" s="2" t="s">
        <v>2877</v>
      </c>
      <c r="C1610" s="1" t="s">
        <v>2878</v>
      </c>
      <c r="D1610" s="1" t="s">
        <v>1097</v>
      </c>
      <c r="E1610" s="3">
        <v>1.0</v>
      </c>
      <c r="F1610" s="3">
        <v>0.0</v>
      </c>
    </row>
    <row r="1611" ht="12.75" customHeight="1">
      <c r="A1611" s="1">
        <v>0.0</v>
      </c>
      <c r="B1611" s="2" t="s">
        <v>1904</v>
      </c>
      <c r="C1611" s="1" t="s">
        <v>1905</v>
      </c>
      <c r="D1611" s="1" t="s">
        <v>716</v>
      </c>
      <c r="E1611" s="3">
        <v>1.0</v>
      </c>
      <c r="F1611" s="3">
        <v>0.0</v>
      </c>
    </row>
    <row r="1612" ht="12.75" customHeight="1">
      <c r="A1612" s="1">
        <v>0.0</v>
      </c>
      <c r="B1612" s="2" t="s">
        <v>5185</v>
      </c>
      <c r="C1612" s="1" t="s">
        <v>5186</v>
      </c>
      <c r="D1612" s="1" t="s">
        <v>5187</v>
      </c>
      <c r="E1612" s="3">
        <v>1.0</v>
      </c>
      <c r="F1612" s="3">
        <v>0.0</v>
      </c>
    </row>
    <row r="1613" ht="12.75" customHeight="1">
      <c r="A1613" s="1">
        <v>0.0</v>
      </c>
      <c r="B1613" s="2" t="s">
        <v>2879</v>
      </c>
      <c r="C1613" s="1" t="s">
        <v>2880</v>
      </c>
      <c r="D1613" s="1" t="s">
        <v>1097</v>
      </c>
      <c r="E1613" s="3">
        <v>1.0</v>
      </c>
      <c r="F1613" s="3">
        <v>0.0</v>
      </c>
    </row>
    <row r="1614" ht="12.75" customHeight="1">
      <c r="A1614" s="1">
        <v>0.0</v>
      </c>
      <c r="B1614" s="2" t="s">
        <v>3584</v>
      </c>
      <c r="C1614" s="1" t="s">
        <v>3585</v>
      </c>
      <c r="D1614" s="1" t="s">
        <v>1246</v>
      </c>
      <c r="E1614" s="3">
        <v>1.0</v>
      </c>
      <c r="F1614" s="3">
        <v>0.0</v>
      </c>
    </row>
    <row r="1615" ht="12.75" customHeight="1">
      <c r="A1615" s="1">
        <v>0.0</v>
      </c>
      <c r="B1615" s="2" t="s">
        <v>2881</v>
      </c>
      <c r="C1615" s="1" t="s">
        <v>2882</v>
      </c>
      <c r="D1615" s="1" t="s">
        <v>1097</v>
      </c>
      <c r="E1615" s="3">
        <v>1.0</v>
      </c>
      <c r="F1615" s="3">
        <v>0.0</v>
      </c>
    </row>
    <row r="1616" ht="12.75" customHeight="1">
      <c r="A1616" s="1">
        <v>0.0</v>
      </c>
      <c r="B1616" s="2" t="s">
        <v>2994</v>
      </c>
      <c r="C1616" s="1" t="s">
        <v>2995</v>
      </c>
      <c r="D1616" s="1" t="s">
        <v>1120</v>
      </c>
      <c r="E1616" s="3">
        <v>1.0</v>
      </c>
      <c r="F1616" s="3">
        <v>0.0</v>
      </c>
    </row>
    <row r="1617" ht="12.75" customHeight="1">
      <c r="A1617" s="1">
        <v>0.0</v>
      </c>
      <c r="B1617" s="2" t="s">
        <v>3586</v>
      </c>
      <c r="C1617" s="1" t="s">
        <v>3587</v>
      </c>
      <c r="D1617" s="1" t="s">
        <v>1246</v>
      </c>
      <c r="E1617" s="3">
        <v>1.0</v>
      </c>
      <c r="F1617" s="3">
        <v>0.0</v>
      </c>
    </row>
    <row r="1618" ht="12.75" customHeight="1">
      <c r="A1618" s="1">
        <v>0.0</v>
      </c>
      <c r="B1618" s="2" t="s">
        <v>2996</v>
      </c>
      <c r="C1618" s="1" t="s">
        <v>2997</v>
      </c>
      <c r="D1618" s="1" t="s">
        <v>1120</v>
      </c>
      <c r="E1618" s="3">
        <v>1.0</v>
      </c>
      <c r="F1618" s="3">
        <v>0.0</v>
      </c>
    </row>
    <row r="1619" ht="12.75" customHeight="1">
      <c r="A1619" s="1">
        <v>0.0</v>
      </c>
      <c r="B1619" s="2" t="s">
        <v>2998</v>
      </c>
      <c r="C1619" s="1" t="s">
        <v>2999</v>
      </c>
      <c r="D1619" s="1" t="s">
        <v>1120</v>
      </c>
      <c r="E1619" s="3">
        <v>1.0</v>
      </c>
      <c r="F1619" s="3">
        <v>0.0</v>
      </c>
    </row>
    <row r="1620" ht="12.75" customHeight="1">
      <c r="A1620" s="1">
        <v>0.0</v>
      </c>
      <c r="B1620" s="2" t="s">
        <v>1861</v>
      </c>
      <c r="C1620" s="1" t="s">
        <v>1862</v>
      </c>
      <c r="D1620" s="1" t="s">
        <v>1860</v>
      </c>
      <c r="E1620" s="3">
        <v>1.0</v>
      </c>
      <c r="F1620" s="3">
        <v>0.0</v>
      </c>
    </row>
    <row r="1621" ht="12.75" customHeight="1">
      <c r="A1621" s="1">
        <v>0.0</v>
      </c>
      <c r="B1621" s="2" t="s">
        <v>1817</v>
      </c>
      <c r="C1621" s="1" t="s">
        <v>1818</v>
      </c>
      <c r="D1621" s="1" t="s">
        <v>1819</v>
      </c>
      <c r="E1621" s="3">
        <v>1.0</v>
      </c>
      <c r="F1621" s="3">
        <v>0.0</v>
      </c>
    </row>
    <row r="1622" ht="12.75" customHeight="1">
      <c r="A1622" s="1">
        <v>0.0</v>
      </c>
      <c r="B1622" s="2" t="s">
        <v>2558</v>
      </c>
      <c r="C1622" s="1" t="s">
        <v>2559</v>
      </c>
      <c r="D1622" s="1" t="s">
        <v>936</v>
      </c>
      <c r="E1622" s="3">
        <v>1.0</v>
      </c>
      <c r="F1622" s="3">
        <v>0.0</v>
      </c>
    </row>
    <row r="1623" ht="12.75" customHeight="1">
      <c r="A1623" s="1">
        <v>0.0</v>
      </c>
      <c r="B1623" s="2" t="s">
        <v>2883</v>
      </c>
      <c r="C1623" s="1" t="s">
        <v>2884</v>
      </c>
      <c r="D1623" s="1" t="s">
        <v>1097</v>
      </c>
      <c r="E1623" s="3">
        <v>1.0</v>
      </c>
      <c r="F1623" s="3">
        <v>0.0</v>
      </c>
    </row>
    <row r="1624" ht="12.75" customHeight="1">
      <c r="A1624" s="1">
        <v>0.0</v>
      </c>
      <c r="B1624" s="2" t="s">
        <v>3480</v>
      </c>
      <c r="C1624" s="1" t="s">
        <v>3481</v>
      </c>
      <c r="D1624" s="1" t="s">
        <v>1204</v>
      </c>
      <c r="E1624" s="3">
        <v>1.0</v>
      </c>
      <c r="F1624" s="3">
        <v>0.0</v>
      </c>
    </row>
    <row r="1625" ht="12.75" customHeight="1">
      <c r="A1625" s="1">
        <v>0.0</v>
      </c>
      <c r="B1625" s="2" t="s">
        <v>2039</v>
      </c>
      <c r="C1625" s="1" t="s">
        <v>2040</v>
      </c>
      <c r="D1625" s="1" t="s">
        <v>757</v>
      </c>
      <c r="E1625" s="3">
        <v>1.0</v>
      </c>
      <c r="F1625" s="3">
        <v>0.0</v>
      </c>
    </row>
    <row r="1626" ht="12.75" customHeight="1">
      <c r="A1626" s="1">
        <v>0.0</v>
      </c>
      <c r="B1626" s="2" t="s">
        <v>3000</v>
      </c>
      <c r="C1626" s="1" t="s">
        <v>3001</v>
      </c>
      <c r="D1626" s="1" t="s">
        <v>1120</v>
      </c>
      <c r="E1626" s="3">
        <v>1.0</v>
      </c>
      <c r="F1626" s="3">
        <v>0.0</v>
      </c>
    </row>
    <row r="1627" ht="12.75" customHeight="1">
      <c r="A1627" s="1">
        <v>0.0</v>
      </c>
      <c r="B1627" s="2" t="s">
        <v>2885</v>
      </c>
      <c r="C1627" s="1" t="s">
        <v>2886</v>
      </c>
      <c r="D1627" s="1" t="s">
        <v>1097</v>
      </c>
      <c r="E1627" s="3">
        <v>1.0</v>
      </c>
      <c r="F1627" s="3">
        <v>0.0</v>
      </c>
    </row>
    <row r="1628" ht="12.75" customHeight="1">
      <c r="A1628" s="1">
        <v>0.0</v>
      </c>
      <c r="B1628" s="2" t="s">
        <v>4015</v>
      </c>
      <c r="C1628" s="1" t="s">
        <v>4016</v>
      </c>
      <c r="D1628" s="1" t="s">
        <v>1353</v>
      </c>
      <c r="E1628" s="3">
        <v>1.0</v>
      </c>
      <c r="F1628" s="3">
        <v>0.0</v>
      </c>
    </row>
    <row r="1629" ht="12.75" customHeight="1">
      <c r="A1629" s="1">
        <v>0.0</v>
      </c>
      <c r="B1629" s="2" t="s">
        <v>2987</v>
      </c>
      <c r="C1629" s="1" t="s">
        <v>2988</v>
      </c>
      <c r="D1629" s="1" t="s">
        <v>1408</v>
      </c>
      <c r="E1629" s="3">
        <v>1.0</v>
      </c>
      <c r="F1629" s="3">
        <v>0.0</v>
      </c>
    </row>
    <row r="1630" ht="12.75" customHeight="1">
      <c r="A1630" s="1">
        <v>0.0</v>
      </c>
      <c r="B1630" s="2" t="s">
        <v>2560</v>
      </c>
      <c r="C1630" s="1" t="s">
        <v>2561</v>
      </c>
      <c r="D1630" s="1" t="s">
        <v>936</v>
      </c>
      <c r="E1630" s="3">
        <v>1.0</v>
      </c>
      <c r="F1630" s="3">
        <v>0.0</v>
      </c>
    </row>
    <row r="1631" ht="12.75" customHeight="1">
      <c r="A1631" s="1">
        <v>0.0</v>
      </c>
      <c r="B1631" s="2" t="s">
        <v>1922</v>
      </c>
      <c r="C1631" s="1" t="s">
        <v>1923</v>
      </c>
      <c r="D1631" s="1" t="s">
        <v>730</v>
      </c>
      <c r="E1631" s="3">
        <v>1.0</v>
      </c>
      <c r="F1631" s="3">
        <v>0.0</v>
      </c>
    </row>
    <row r="1632" ht="12.75" customHeight="1">
      <c r="A1632" s="1">
        <v>0.0</v>
      </c>
      <c r="B1632" s="2" t="s">
        <v>2562</v>
      </c>
      <c r="C1632" s="1" t="s">
        <v>2563</v>
      </c>
      <c r="D1632" s="1" t="s">
        <v>936</v>
      </c>
      <c r="E1632" s="3">
        <v>1.0</v>
      </c>
      <c r="F1632" s="3">
        <v>0.0</v>
      </c>
    </row>
    <row r="1633" ht="12.75" customHeight="1">
      <c r="A1633" s="1">
        <v>0.0</v>
      </c>
      <c r="B1633" s="2" t="s">
        <v>3002</v>
      </c>
      <c r="C1633" s="1" t="s">
        <v>3003</v>
      </c>
      <c r="D1633" s="1" t="s">
        <v>1120</v>
      </c>
      <c r="E1633" s="3">
        <v>1.0</v>
      </c>
      <c r="F1633" s="3">
        <v>0.0</v>
      </c>
    </row>
    <row r="1634" ht="12.75" customHeight="1">
      <c r="A1634" s="1">
        <v>0.0</v>
      </c>
      <c r="B1634" s="2" t="s">
        <v>3482</v>
      </c>
      <c r="C1634" s="1" t="s">
        <v>3483</v>
      </c>
      <c r="D1634" s="1" t="s">
        <v>1204</v>
      </c>
      <c r="E1634" s="3">
        <v>1.0</v>
      </c>
      <c r="F1634" s="3">
        <v>0.0</v>
      </c>
    </row>
    <row r="1635" ht="12.75" customHeight="1">
      <c r="A1635" s="1">
        <v>0.0</v>
      </c>
      <c r="B1635" s="2" t="s">
        <v>2534</v>
      </c>
      <c r="C1635" s="1" t="s">
        <v>2535</v>
      </c>
      <c r="D1635" s="1" t="s">
        <v>2536</v>
      </c>
      <c r="E1635" s="3">
        <v>1.0</v>
      </c>
      <c r="F1635" s="3">
        <v>0.0</v>
      </c>
    </row>
    <row r="1636" ht="12.75" customHeight="1">
      <c r="A1636" s="1">
        <v>0.0</v>
      </c>
      <c r="B1636" s="2" t="s">
        <v>3004</v>
      </c>
      <c r="C1636" s="1" t="s">
        <v>3005</v>
      </c>
      <c r="D1636" s="1" t="s">
        <v>1120</v>
      </c>
      <c r="E1636" s="3">
        <v>1.0</v>
      </c>
      <c r="F1636" s="3">
        <v>0.0</v>
      </c>
    </row>
    <row r="1637" ht="12.75" customHeight="1">
      <c r="A1637" s="1">
        <v>0.0</v>
      </c>
      <c r="B1637" s="2" t="s">
        <v>2564</v>
      </c>
      <c r="C1637" s="1" t="s">
        <v>2565</v>
      </c>
      <c r="D1637" s="1" t="s">
        <v>936</v>
      </c>
      <c r="E1637" s="3">
        <v>1.0</v>
      </c>
      <c r="F1637" s="3">
        <v>0.0</v>
      </c>
    </row>
    <row r="1638" ht="12.75" customHeight="1">
      <c r="A1638" s="1">
        <v>0.0</v>
      </c>
      <c r="B1638" s="2" t="s">
        <v>3006</v>
      </c>
      <c r="C1638" s="1" t="s">
        <v>3007</v>
      </c>
      <c r="D1638" s="1" t="s">
        <v>1120</v>
      </c>
      <c r="E1638" s="3">
        <v>1.0</v>
      </c>
      <c r="F1638" s="3">
        <v>0.0</v>
      </c>
    </row>
    <row r="1639" ht="12.75" customHeight="1">
      <c r="A1639" s="1">
        <v>0.0</v>
      </c>
      <c r="B1639" s="2" t="s">
        <v>2887</v>
      </c>
      <c r="C1639" s="1" t="s">
        <v>2888</v>
      </c>
      <c r="D1639" s="1" t="s">
        <v>1097</v>
      </c>
      <c r="E1639" s="3">
        <v>1.0</v>
      </c>
      <c r="F1639" s="3">
        <v>0.0</v>
      </c>
    </row>
    <row r="1640" ht="12.75" customHeight="1">
      <c r="A1640" s="1">
        <v>0.0</v>
      </c>
      <c r="B1640" s="2" t="s">
        <v>3008</v>
      </c>
      <c r="C1640" s="1" t="s">
        <v>3009</v>
      </c>
      <c r="D1640" s="1" t="s">
        <v>1120</v>
      </c>
      <c r="E1640" s="3">
        <v>1.0</v>
      </c>
      <c r="F1640" s="3">
        <v>0.0</v>
      </c>
    </row>
    <row r="1641" ht="12.75" customHeight="1">
      <c r="A1641" s="1">
        <v>0.0</v>
      </c>
      <c r="B1641" s="2" t="s">
        <v>5188</v>
      </c>
      <c r="C1641" s="1" t="s">
        <v>5189</v>
      </c>
      <c r="D1641" s="1" t="s">
        <v>5190</v>
      </c>
      <c r="E1641" s="3">
        <v>1.0</v>
      </c>
      <c r="F1641" s="3">
        <v>0.0</v>
      </c>
    </row>
    <row r="1642" ht="12.75" customHeight="1">
      <c r="A1642" s="1">
        <v>0.0</v>
      </c>
      <c r="B1642" s="2" t="s">
        <v>2180</v>
      </c>
      <c r="C1642" s="1" t="s">
        <v>2181</v>
      </c>
      <c r="D1642" s="1" t="s">
        <v>801</v>
      </c>
      <c r="E1642" s="3">
        <v>1.0</v>
      </c>
      <c r="F1642" s="3">
        <v>0.0</v>
      </c>
    </row>
    <row r="1643" ht="12.75" customHeight="1">
      <c r="A1643" s="1">
        <v>0.0</v>
      </c>
      <c r="B1643" s="2" t="s">
        <v>5191</v>
      </c>
      <c r="C1643" s="1" t="s">
        <v>5192</v>
      </c>
      <c r="D1643" s="1" t="s">
        <v>5162</v>
      </c>
      <c r="E1643" s="3">
        <v>1.0</v>
      </c>
      <c r="F1643" s="3">
        <v>0.0</v>
      </c>
    </row>
    <row r="1644" ht="12.75" customHeight="1">
      <c r="A1644" s="1">
        <v>0.0</v>
      </c>
      <c r="B1644" s="2" t="s">
        <v>5193</v>
      </c>
      <c r="C1644" s="1" t="s">
        <v>5194</v>
      </c>
      <c r="D1644" s="1" t="s">
        <v>5195</v>
      </c>
      <c r="E1644" s="3">
        <v>1.0</v>
      </c>
      <c r="F1644" s="3">
        <v>0.0</v>
      </c>
    </row>
    <row r="1645" ht="12.75" customHeight="1">
      <c r="A1645" s="1">
        <v>0.0</v>
      </c>
      <c r="B1645" s="2" t="s">
        <v>2889</v>
      </c>
      <c r="C1645" s="1" t="s">
        <v>2890</v>
      </c>
      <c r="D1645" s="1" t="s">
        <v>1097</v>
      </c>
      <c r="E1645" s="3">
        <v>1.0</v>
      </c>
      <c r="F1645" s="3">
        <v>0.0</v>
      </c>
    </row>
    <row r="1646" ht="12.75" customHeight="1">
      <c r="A1646" s="1">
        <v>0.0</v>
      </c>
      <c r="B1646" s="2" t="s">
        <v>3010</v>
      </c>
      <c r="C1646" s="1" t="s">
        <v>3011</v>
      </c>
      <c r="D1646" s="1" t="s">
        <v>1120</v>
      </c>
      <c r="E1646" s="3">
        <v>1.0</v>
      </c>
      <c r="F1646" s="3">
        <v>0.0</v>
      </c>
    </row>
    <row r="1647" ht="12.75" customHeight="1">
      <c r="A1647" s="1">
        <v>0.0</v>
      </c>
      <c r="B1647" s="2" t="s">
        <v>3012</v>
      </c>
      <c r="C1647" s="1" t="s">
        <v>3013</v>
      </c>
      <c r="D1647" s="1" t="s">
        <v>1120</v>
      </c>
      <c r="E1647" s="3">
        <v>1.0</v>
      </c>
      <c r="F1647" s="3">
        <v>0.0</v>
      </c>
    </row>
    <row r="1648" ht="12.75" customHeight="1">
      <c r="A1648" s="1">
        <v>0.0</v>
      </c>
      <c r="B1648" s="2" t="s">
        <v>1798</v>
      </c>
      <c r="C1648" s="1" t="s">
        <v>1799</v>
      </c>
      <c r="D1648" s="1" t="s">
        <v>1800</v>
      </c>
      <c r="E1648" s="3">
        <v>1.0</v>
      </c>
      <c r="F1648" s="3">
        <v>0.0</v>
      </c>
    </row>
    <row r="1649" ht="12.75" customHeight="1">
      <c r="A1649" s="1">
        <v>0.0</v>
      </c>
      <c r="B1649" s="2" t="s">
        <v>2891</v>
      </c>
      <c r="C1649" s="1" t="s">
        <v>2892</v>
      </c>
      <c r="D1649" s="1" t="s">
        <v>1097</v>
      </c>
      <c r="E1649" s="3">
        <v>1.0</v>
      </c>
      <c r="F1649" s="3">
        <v>0.0</v>
      </c>
    </row>
    <row r="1650" ht="12.75" customHeight="1">
      <c r="A1650" s="1">
        <v>0.0</v>
      </c>
      <c r="B1650" s="2" t="s">
        <v>3014</v>
      </c>
      <c r="C1650" s="1" t="s">
        <v>3015</v>
      </c>
      <c r="D1650" s="1" t="s">
        <v>1120</v>
      </c>
      <c r="E1650" s="3">
        <v>1.0</v>
      </c>
      <c r="F1650" s="3">
        <v>0.0</v>
      </c>
    </row>
    <row r="1651" ht="12.75" customHeight="1">
      <c r="A1651" s="1">
        <v>0.0</v>
      </c>
      <c r="B1651" s="2" t="s">
        <v>2893</v>
      </c>
      <c r="C1651" s="1" t="s">
        <v>2894</v>
      </c>
      <c r="D1651" s="1" t="s">
        <v>1097</v>
      </c>
      <c r="E1651" s="3">
        <v>1.0</v>
      </c>
      <c r="F1651" s="3">
        <v>0.0</v>
      </c>
    </row>
    <row r="1652" ht="12.75" customHeight="1">
      <c r="A1652" s="1">
        <v>0.0</v>
      </c>
      <c r="B1652" s="2" t="s">
        <v>2895</v>
      </c>
      <c r="C1652" s="1" t="s">
        <v>2896</v>
      </c>
      <c r="D1652" s="1" t="s">
        <v>1097</v>
      </c>
      <c r="E1652" s="3">
        <v>1.0</v>
      </c>
      <c r="F1652" s="3">
        <v>0.0</v>
      </c>
    </row>
    <row r="1653" ht="12.75" customHeight="1">
      <c r="A1653" s="1">
        <v>0.0</v>
      </c>
      <c r="B1653" s="2" t="s">
        <v>2897</v>
      </c>
      <c r="C1653" s="1" t="s">
        <v>2898</v>
      </c>
      <c r="D1653" s="1" t="s">
        <v>1097</v>
      </c>
      <c r="E1653" s="3">
        <v>1.0</v>
      </c>
      <c r="F1653" s="3">
        <v>0.0</v>
      </c>
    </row>
    <row r="1654" ht="12.75" customHeight="1">
      <c r="A1654" s="1">
        <v>0.0</v>
      </c>
      <c r="B1654" s="2" t="s">
        <v>3016</v>
      </c>
      <c r="C1654" s="1" t="s">
        <v>3017</v>
      </c>
      <c r="D1654" s="1" t="s">
        <v>1120</v>
      </c>
      <c r="E1654" s="3">
        <v>1.0</v>
      </c>
      <c r="F1654" s="3">
        <v>0.0</v>
      </c>
    </row>
    <row r="1655" ht="12.75" customHeight="1">
      <c r="A1655" s="1">
        <v>0.0</v>
      </c>
      <c r="B1655" s="2" t="s">
        <v>3018</v>
      </c>
      <c r="C1655" s="1" t="s">
        <v>3019</v>
      </c>
      <c r="D1655" s="1" t="s">
        <v>1120</v>
      </c>
      <c r="E1655" s="3">
        <v>1.0</v>
      </c>
      <c r="F1655" s="3">
        <v>0.0</v>
      </c>
    </row>
    <row r="1656" ht="12.75" customHeight="1">
      <c r="A1656" s="1">
        <v>0.0</v>
      </c>
      <c r="B1656" s="2" t="s">
        <v>2899</v>
      </c>
      <c r="C1656" s="1" t="s">
        <v>2900</v>
      </c>
      <c r="D1656" s="1" t="s">
        <v>1097</v>
      </c>
      <c r="E1656" s="3">
        <v>1.0</v>
      </c>
      <c r="F1656" s="3">
        <v>0.0</v>
      </c>
    </row>
    <row r="1657" ht="12.75" customHeight="1">
      <c r="A1657" s="1">
        <v>0.0</v>
      </c>
      <c r="B1657" s="2" t="s">
        <v>3020</v>
      </c>
      <c r="C1657" s="1" t="s">
        <v>3021</v>
      </c>
      <c r="D1657" s="1" t="s">
        <v>1120</v>
      </c>
      <c r="E1657" s="3">
        <v>1.0</v>
      </c>
      <c r="F1657" s="3">
        <v>0.0</v>
      </c>
    </row>
    <row r="1658" ht="12.75" customHeight="1">
      <c r="A1658" s="1">
        <v>0.0</v>
      </c>
      <c r="B1658" s="2" t="s">
        <v>3022</v>
      </c>
      <c r="C1658" s="1" t="s">
        <v>3023</v>
      </c>
      <c r="D1658" s="1" t="s">
        <v>1120</v>
      </c>
      <c r="E1658" s="3">
        <v>1.0</v>
      </c>
      <c r="F1658" s="3">
        <v>0.0</v>
      </c>
    </row>
    <row r="1659" ht="12.75" customHeight="1">
      <c r="A1659" s="1">
        <v>0.0</v>
      </c>
      <c r="B1659" s="2" t="s">
        <v>3024</v>
      </c>
      <c r="C1659" s="1" t="s">
        <v>3025</v>
      </c>
      <c r="D1659" s="1" t="s">
        <v>1120</v>
      </c>
      <c r="E1659" s="3">
        <v>1.0</v>
      </c>
      <c r="F1659" s="3">
        <v>0.0</v>
      </c>
    </row>
    <row r="1660" ht="12.75" customHeight="1">
      <c r="A1660" s="1">
        <v>0.0</v>
      </c>
      <c r="B1660" s="2">
        <v>5.647E8</v>
      </c>
      <c r="C1660" s="1" t="s">
        <v>3198</v>
      </c>
      <c r="D1660" s="1" t="s">
        <v>3199</v>
      </c>
      <c r="E1660" s="3">
        <v>1.0</v>
      </c>
      <c r="F1660" s="3">
        <v>0.0</v>
      </c>
    </row>
    <row r="1661" ht="12.75" customHeight="1">
      <c r="A1661" s="1">
        <v>0.0</v>
      </c>
      <c r="B1661" s="2">
        <v>5.647E12</v>
      </c>
      <c r="C1661" s="1" t="s">
        <v>2549</v>
      </c>
      <c r="D1661" s="1" t="s">
        <v>936</v>
      </c>
      <c r="E1661" s="3">
        <v>1.0</v>
      </c>
      <c r="F1661" s="3">
        <v>0.0</v>
      </c>
    </row>
    <row r="1662" ht="12.75" customHeight="1">
      <c r="A1662" s="1">
        <v>0.0</v>
      </c>
      <c r="B1662" s="2" t="s">
        <v>3026</v>
      </c>
      <c r="C1662" s="1" t="s">
        <v>3027</v>
      </c>
      <c r="D1662" s="1" t="s">
        <v>1120</v>
      </c>
      <c r="E1662" s="3">
        <v>1.0</v>
      </c>
      <c r="F1662" s="3">
        <v>0.0</v>
      </c>
    </row>
    <row r="1663" ht="12.75" customHeight="1">
      <c r="A1663" s="1">
        <v>0.0</v>
      </c>
      <c r="B1663" s="2" t="s">
        <v>2857</v>
      </c>
      <c r="C1663" s="1" t="s">
        <v>2858</v>
      </c>
      <c r="D1663" s="1" t="s">
        <v>2856</v>
      </c>
      <c r="E1663" s="3">
        <v>1.0</v>
      </c>
      <c r="F1663" s="3">
        <v>0.0</v>
      </c>
    </row>
    <row r="1664" ht="12.75" customHeight="1">
      <c r="A1664" s="1">
        <v>0.0</v>
      </c>
      <c r="B1664" s="2" t="s">
        <v>3028</v>
      </c>
      <c r="C1664" s="1" t="s">
        <v>3029</v>
      </c>
      <c r="D1664" s="1" t="s">
        <v>1120</v>
      </c>
      <c r="E1664" s="3">
        <v>1.0</v>
      </c>
      <c r="F1664" s="3">
        <v>0.0</v>
      </c>
    </row>
    <row r="1665" ht="12.75" customHeight="1">
      <c r="A1665" s="1">
        <v>0.0</v>
      </c>
      <c r="B1665" s="2" t="s">
        <v>3030</v>
      </c>
      <c r="C1665" s="1" t="s">
        <v>3031</v>
      </c>
      <c r="D1665" s="1" t="s">
        <v>1120</v>
      </c>
      <c r="E1665" s="3">
        <v>1.0</v>
      </c>
      <c r="F1665" s="3">
        <v>0.0</v>
      </c>
    </row>
    <row r="1666" ht="12.75" customHeight="1">
      <c r="A1666" s="1">
        <v>0.0</v>
      </c>
      <c r="B1666" s="2" t="s">
        <v>5196</v>
      </c>
      <c r="C1666" s="1" t="s">
        <v>5197</v>
      </c>
      <c r="D1666" s="1" t="s">
        <v>2828</v>
      </c>
      <c r="E1666" s="3">
        <v>1.0</v>
      </c>
      <c r="F1666" s="3">
        <v>0.0</v>
      </c>
    </row>
    <row r="1667" ht="12.75" customHeight="1">
      <c r="A1667" s="1">
        <v>0.0</v>
      </c>
      <c r="B1667" s="2" t="s">
        <v>3602</v>
      </c>
      <c r="C1667" s="1" t="s">
        <v>3603</v>
      </c>
      <c r="D1667" s="1" t="s">
        <v>3604</v>
      </c>
      <c r="E1667" s="3">
        <v>1.0</v>
      </c>
      <c r="F1667" s="3">
        <v>0.0</v>
      </c>
    </row>
    <row r="1668" ht="12.75" customHeight="1">
      <c r="A1668" s="1">
        <v>0.0</v>
      </c>
      <c r="B1668" s="2" t="s">
        <v>3032</v>
      </c>
      <c r="C1668" s="1" t="s">
        <v>3033</v>
      </c>
      <c r="D1668" s="1" t="s">
        <v>1120</v>
      </c>
      <c r="E1668" s="3">
        <v>1.0</v>
      </c>
      <c r="F1668" s="3">
        <v>0.0</v>
      </c>
    </row>
    <row r="1669" ht="12.75" customHeight="1">
      <c r="A1669" s="1">
        <v>0.0</v>
      </c>
      <c r="B1669" s="2" t="s">
        <v>2984</v>
      </c>
      <c r="C1669" s="1" t="s">
        <v>2985</v>
      </c>
      <c r="D1669" s="1" t="s">
        <v>2986</v>
      </c>
      <c r="E1669" s="3">
        <v>1.0</v>
      </c>
      <c r="F1669" s="3">
        <v>0.0</v>
      </c>
    </row>
    <row r="1670" ht="12.75" customHeight="1">
      <c r="A1670" s="1">
        <v>0.0</v>
      </c>
      <c r="B1670" s="2" t="s">
        <v>3858</v>
      </c>
      <c r="C1670" s="1" t="s">
        <v>3859</v>
      </c>
      <c r="D1670" s="1" t="s">
        <v>3848</v>
      </c>
      <c r="E1670" s="3">
        <v>1.0</v>
      </c>
      <c r="F1670" s="3">
        <v>0.0</v>
      </c>
    </row>
    <row r="1671" ht="12.75" customHeight="1">
      <c r="A1671" s="1">
        <v>0.0</v>
      </c>
      <c r="B1671" s="2" t="s">
        <v>2566</v>
      </c>
      <c r="C1671" s="1" t="s">
        <v>2567</v>
      </c>
      <c r="D1671" s="1" t="s">
        <v>936</v>
      </c>
      <c r="E1671" s="3">
        <v>1.0</v>
      </c>
      <c r="F1671" s="3">
        <v>0.0</v>
      </c>
    </row>
    <row r="1672" ht="12.75" customHeight="1">
      <c r="A1672" s="1">
        <v>0.0</v>
      </c>
      <c r="B1672" s="2" t="s">
        <v>3034</v>
      </c>
      <c r="C1672" s="1" t="s">
        <v>3035</v>
      </c>
      <c r="D1672" s="1" t="s">
        <v>1120</v>
      </c>
      <c r="E1672" s="3">
        <v>1.0</v>
      </c>
      <c r="F1672" s="3">
        <v>0.0</v>
      </c>
    </row>
    <row r="1673" ht="12.75" customHeight="1">
      <c r="A1673" s="1">
        <v>0.0</v>
      </c>
      <c r="B1673" s="2" t="s">
        <v>2603</v>
      </c>
      <c r="C1673" s="1" t="s">
        <v>2604</v>
      </c>
      <c r="D1673" s="1" t="s">
        <v>2602</v>
      </c>
      <c r="E1673" s="3">
        <v>1.0</v>
      </c>
      <c r="F1673" s="3">
        <v>0.0</v>
      </c>
    </row>
    <row r="1674" ht="12.75" customHeight="1">
      <c r="A1674" s="1">
        <v>0.0</v>
      </c>
      <c r="B1674" s="2" t="s">
        <v>5198</v>
      </c>
      <c r="C1674" s="1" t="s">
        <v>5199</v>
      </c>
      <c r="D1674" s="1" t="s">
        <v>5200</v>
      </c>
      <c r="E1674" s="3">
        <v>1.0</v>
      </c>
      <c r="F1674" s="3">
        <v>0.0</v>
      </c>
    </row>
    <row r="1675" ht="12.75" customHeight="1">
      <c r="A1675" s="1">
        <v>0.0</v>
      </c>
      <c r="B1675" s="2" t="s">
        <v>2901</v>
      </c>
      <c r="C1675" s="1" t="s">
        <v>2902</v>
      </c>
      <c r="D1675" s="1" t="s">
        <v>1097</v>
      </c>
      <c r="E1675" s="3">
        <v>1.0</v>
      </c>
      <c r="F1675" s="3">
        <v>0.0</v>
      </c>
    </row>
    <row r="1676" ht="12.75" customHeight="1">
      <c r="A1676" s="1">
        <v>0.0</v>
      </c>
      <c r="B1676" s="2" t="s">
        <v>4017</v>
      </c>
      <c r="C1676" s="1" t="s">
        <v>4018</v>
      </c>
      <c r="D1676" s="1" t="s">
        <v>1353</v>
      </c>
      <c r="E1676" s="3">
        <v>1.0</v>
      </c>
      <c r="F1676" s="3">
        <v>0.0</v>
      </c>
    </row>
    <row r="1677" ht="12.75" customHeight="1">
      <c r="A1677" s="1">
        <v>0.0</v>
      </c>
      <c r="B1677" s="2" t="s">
        <v>4019</v>
      </c>
      <c r="C1677" s="1" t="s">
        <v>4020</v>
      </c>
      <c r="D1677" s="1" t="s">
        <v>1353</v>
      </c>
      <c r="E1677" s="3">
        <v>1.0</v>
      </c>
      <c r="F1677" s="3">
        <v>0.0</v>
      </c>
    </row>
    <row r="1678" ht="12.75" customHeight="1">
      <c r="A1678" s="1">
        <v>0.0</v>
      </c>
      <c r="B1678" s="2" t="s">
        <v>2568</v>
      </c>
      <c r="C1678" s="1" t="s">
        <v>2569</v>
      </c>
      <c r="D1678" s="1" t="s">
        <v>936</v>
      </c>
      <c r="E1678" s="3">
        <v>1.0</v>
      </c>
      <c r="F1678" s="3">
        <v>0.0</v>
      </c>
    </row>
    <row r="1679" ht="12.75" customHeight="1">
      <c r="A1679" s="1">
        <v>0.0</v>
      </c>
      <c r="B1679" s="2" t="s">
        <v>2208</v>
      </c>
      <c r="C1679" s="1" t="s">
        <v>2209</v>
      </c>
      <c r="D1679" s="1" t="s">
        <v>811</v>
      </c>
      <c r="E1679" s="3">
        <v>1.0</v>
      </c>
      <c r="F1679" s="3">
        <v>0.0</v>
      </c>
    </row>
    <row r="1680" ht="12.75" customHeight="1">
      <c r="A1680" s="1">
        <v>0.0</v>
      </c>
      <c r="B1680" s="2" t="s">
        <v>5201</v>
      </c>
      <c r="C1680" s="1" t="s">
        <v>5202</v>
      </c>
      <c r="D1680" s="1" t="s">
        <v>5178</v>
      </c>
      <c r="E1680" s="3">
        <v>1.0</v>
      </c>
      <c r="F1680" s="3">
        <v>0.0</v>
      </c>
    </row>
    <row r="1681" ht="12.75" customHeight="1">
      <c r="A1681" s="1">
        <v>0.0</v>
      </c>
      <c r="B1681" s="2" t="s">
        <v>2192</v>
      </c>
      <c r="C1681" s="1" t="s">
        <v>2193</v>
      </c>
      <c r="D1681" s="1" t="s">
        <v>805</v>
      </c>
      <c r="E1681" s="3">
        <v>1.0</v>
      </c>
      <c r="F1681" s="3">
        <v>0.0</v>
      </c>
    </row>
    <row r="1682" ht="12.75" customHeight="1">
      <c r="A1682" s="1">
        <v>0.0</v>
      </c>
      <c r="B1682" s="2" t="s">
        <v>3036</v>
      </c>
      <c r="C1682" s="1" t="s">
        <v>3037</v>
      </c>
      <c r="D1682" s="1" t="s">
        <v>1120</v>
      </c>
      <c r="E1682" s="3">
        <v>1.0</v>
      </c>
      <c r="F1682" s="3">
        <v>0.0</v>
      </c>
    </row>
    <row r="1683" ht="12.75" customHeight="1">
      <c r="A1683" s="1">
        <v>0.0</v>
      </c>
      <c r="B1683" s="2" t="s">
        <v>5203</v>
      </c>
      <c r="C1683" s="1" t="s">
        <v>5204</v>
      </c>
      <c r="D1683" s="1" t="s">
        <v>5178</v>
      </c>
      <c r="E1683" s="3">
        <v>1.0</v>
      </c>
      <c r="F1683" s="3">
        <v>0.0</v>
      </c>
    </row>
    <row r="1684" ht="12.75" customHeight="1">
      <c r="A1684" s="1">
        <v>0.0</v>
      </c>
      <c r="B1684" s="2" t="s">
        <v>2903</v>
      </c>
      <c r="C1684" s="1" t="s">
        <v>2904</v>
      </c>
      <c r="D1684" s="1" t="s">
        <v>1097</v>
      </c>
      <c r="E1684" s="3">
        <v>1.0</v>
      </c>
      <c r="F1684" s="3">
        <v>0.0</v>
      </c>
    </row>
    <row r="1685" ht="12.75" customHeight="1">
      <c r="A1685" s="1">
        <v>0.0</v>
      </c>
      <c r="B1685" s="2" t="s">
        <v>2905</v>
      </c>
      <c r="C1685" s="1" t="s">
        <v>2906</v>
      </c>
      <c r="D1685" s="1" t="s">
        <v>1097</v>
      </c>
      <c r="E1685" s="3">
        <v>1.0</v>
      </c>
      <c r="F1685" s="3">
        <v>0.0</v>
      </c>
    </row>
    <row r="1686" ht="12.75" customHeight="1">
      <c r="A1686" s="1">
        <v>0.0</v>
      </c>
      <c r="B1686" s="2" t="s">
        <v>2907</v>
      </c>
      <c r="C1686" s="1" t="s">
        <v>2908</v>
      </c>
      <c r="D1686" s="1" t="s">
        <v>1097</v>
      </c>
      <c r="E1686" s="3">
        <v>1.0</v>
      </c>
      <c r="F1686" s="3">
        <v>0.0</v>
      </c>
    </row>
    <row r="1687" ht="12.75" customHeight="1">
      <c r="A1687" s="1">
        <v>0.0</v>
      </c>
      <c r="B1687" s="2" t="s">
        <v>2909</v>
      </c>
      <c r="C1687" s="1" t="s">
        <v>2910</v>
      </c>
      <c r="D1687" s="1" t="s">
        <v>1097</v>
      </c>
      <c r="E1687" s="3">
        <v>1.0</v>
      </c>
      <c r="F1687" s="3">
        <v>0.0</v>
      </c>
    </row>
    <row r="1688" ht="12.75" customHeight="1">
      <c r="A1688" s="1">
        <v>0.0</v>
      </c>
      <c r="B1688" s="2" t="s">
        <v>5205</v>
      </c>
      <c r="C1688" s="1" t="s">
        <v>5206</v>
      </c>
      <c r="D1688" s="1" t="s">
        <v>5178</v>
      </c>
      <c r="E1688" s="3">
        <v>1.0</v>
      </c>
      <c r="F1688" s="3">
        <v>0.0</v>
      </c>
    </row>
    <row r="1689" ht="12.75" customHeight="1">
      <c r="A1689" s="1">
        <v>0.0</v>
      </c>
      <c r="B1689" s="2" t="s">
        <v>2911</v>
      </c>
      <c r="C1689" s="1" t="s">
        <v>2912</v>
      </c>
      <c r="D1689" s="1" t="s">
        <v>1097</v>
      </c>
      <c r="E1689" s="3">
        <v>1.0</v>
      </c>
      <c r="F1689" s="3">
        <v>0.0</v>
      </c>
    </row>
    <row r="1690" ht="12.75" customHeight="1">
      <c r="A1690" s="1">
        <v>0.0</v>
      </c>
      <c r="B1690" s="2" t="s">
        <v>2194</v>
      </c>
      <c r="C1690" s="1" t="s">
        <v>2195</v>
      </c>
      <c r="D1690" s="1" t="s">
        <v>805</v>
      </c>
      <c r="E1690" s="3">
        <v>1.0</v>
      </c>
      <c r="F1690" s="3">
        <v>0.0</v>
      </c>
    </row>
    <row r="1691" ht="12.75" customHeight="1">
      <c r="A1691" s="1">
        <v>0.0</v>
      </c>
      <c r="B1691" s="2" t="s">
        <v>3038</v>
      </c>
      <c r="C1691" s="1" t="s">
        <v>3039</v>
      </c>
      <c r="D1691" s="1" t="s">
        <v>1120</v>
      </c>
      <c r="E1691" s="3">
        <v>1.0</v>
      </c>
      <c r="F1691" s="3">
        <v>0.0</v>
      </c>
    </row>
    <row r="1692" ht="12.75" customHeight="1">
      <c r="A1692" s="1">
        <v>0.0</v>
      </c>
      <c r="B1692" s="2" t="s">
        <v>3442</v>
      </c>
      <c r="C1692" s="1" t="s">
        <v>3443</v>
      </c>
      <c r="D1692" s="1" t="s">
        <v>3444</v>
      </c>
      <c r="E1692" s="3">
        <v>1.0</v>
      </c>
      <c r="F1692" s="3">
        <v>0.0</v>
      </c>
    </row>
    <row r="1693" ht="12.75" customHeight="1">
      <c r="A1693" s="1">
        <v>0.0</v>
      </c>
      <c r="B1693" s="2" t="s">
        <v>2501</v>
      </c>
      <c r="C1693" s="1" t="s">
        <v>2502</v>
      </c>
      <c r="D1693" s="1" t="s">
        <v>2500</v>
      </c>
      <c r="E1693" s="3">
        <v>1.0</v>
      </c>
      <c r="F1693" s="3">
        <v>0.0</v>
      </c>
    </row>
    <row r="1694" ht="12.75" customHeight="1">
      <c r="A1694" s="1">
        <v>0.0</v>
      </c>
      <c r="B1694" s="2" t="s">
        <v>1910</v>
      </c>
      <c r="C1694" s="1" t="s">
        <v>1911</v>
      </c>
      <c r="D1694" s="1" t="s">
        <v>718</v>
      </c>
      <c r="E1694" s="3">
        <v>1.0</v>
      </c>
      <c r="F1694" s="3">
        <v>0.0</v>
      </c>
    </row>
    <row r="1695" ht="12.75" customHeight="1">
      <c r="A1695" s="1">
        <v>0.0</v>
      </c>
      <c r="B1695" s="2" t="s">
        <v>2570</v>
      </c>
      <c r="C1695" s="1" t="s">
        <v>2571</v>
      </c>
      <c r="D1695" s="1" t="s">
        <v>936</v>
      </c>
      <c r="E1695" s="3">
        <v>1.0</v>
      </c>
      <c r="F1695" s="3">
        <v>0.0</v>
      </c>
    </row>
    <row r="1696" ht="12.75" customHeight="1">
      <c r="A1696" s="1">
        <v>0.0</v>
      </c>
      <c r="B1696" s="2" t="s">
        <v>5207</v>
      </c>
      <c r="C1696" s="1" t="s">
        <v>5208</v>
      </c>
      <c r="D1696" s="1" t="s">
        <v>5178</v>
      </c>
      <c r="E1696" s="3">
        <v>1.0</v>
      </c>
      <c r="F1696" s="3">
        <v>0.0</v>
      </c>
    </row>
    <row r="1697" ht="12.75" customHeight="1">
      <c r="A1697" s="1">
        <v>0.0</v>
      </c>
      <c r="B1697" s="2" t="s">
        <v>1781</v>
      </c>
      <c r="C1697" s="1" t="s">
        <v>1782</v>
      </c>
      <c r="D1697" s="1" t="s">
        <v>1783</v>
      </c>
      <c r="E1697" s="3">
        <v>1.0</v>
      </c>
      <c r="F1697" s="3">
        <v>0.0</v>
      </c>
    </row>
    <row r="1698" ht="12.75" customHeight="1">
      <c r="A1698" s="1">
        <v>0.0</v>
      </c>
      <c r="B1698" s="2" t="s">
        <v>2913</v>
      </c>
      <c r="C1698" s="1" t="s">
        <v>2914</v>
      </c>
      <c r="D1698" s="1" t="s">
        <v>1097</v>
      </c>
      <c r="E1698" s="3">
        <v>1.0</v>
      </c>
      <c r="F1698" s="3">
        <v>0.0</v>
      </c>
    </row>
    <row r="1699" ht="12.75" customHeight="1">
      <c r="A1699" s="1">
        <v>0.0</v>
      </c>
      <c r="B1699" s="2" t="s">
        <v>5209</v>
      </c>
      <c r="C1699" s="1" t="s">
        <v>5210</v>
      </c>
      <c r="D1699" s="1" t="s">
        <v>5195</v>
      </c>
      <c r="E1699" s="3">
        <v>1.0</v>
      </c>
      <c r="F1699" s="3">
        <v>0.0</v>
      </c>
    </row>
    <row r="1700" ht="12.75" customHeight="1">
      <c r="A1700" s="1">
        <v>0.0</v>
      </c>
      <c r="B1700" s="2" t="s">
        <v>3040</v>
      </c>
      <c r="C1700" s="1" t="s">
        <v>3041</v>
      </c>
      <c r="D1700" s="1" t="s">
        <v>1120</v>
      </c>
      <c r="E1700" s="3">
        <v>1.0</v>
      </c>
      <c r="F1700" s="3">
        <v>0.0</v>
      </c>
    </row>
    <row r="1701" ht="12.75" customHeight="1">
      <c r="A1701" s="1">
        <v>0.0</v>
      </c>
      <c r="B1701" s="2" t="s">
        <v>2377</v>
      </c>
      <c r="C1701" s="1" t="s">
        <v>2378</v>
      </c>
      <c r="D1701" s="1" t="s">
        <v>2379</v>
      </c>
      <c r="E1701" s="3">
        <v>1.0</v>
      </c>
      <c r="F1701" s="3">
        <v>0.0</v>
      </c>
    </row>
    <row r="1702" ht="12.75" customHeight="1">
      <c r="A1702" s="1">
        <v>0.0</v>
      </c>
      <c r="B1702" s="2" t="s">
        <v>2413</v>
      </c>
      <c r="C1702" s="1" t="s">
        <v>879</v>
      </c>
      <c r="D1702" s="1" t="s">
        <v>2414</v>
      </c>
      <c r="E1702" s="3">
        <v>1.0</v>
      </c>
      <c r="F1702" s="3">
        <v>0.0</v>
      </c>
    </row>
    <row r="1703" ht="12.75" customHeight="1">
      <c r="A1703" s="1">
        <v>0.0</v>
      </c>
      <c r="B1703" s="2" t="s">
        <v>5211</v>
      </c>
      <c r="C1703" s="1" t="s">
        <v>5212</v>
      </c>
      <c r="D1703" s="1" t="s">
        <v>5178</v>
      </c>
      <c r="E1703" s="3">
        <v>1.0</v>
      </c>
      <c r="F1703" s="3">
        <v>0.0</v>
      </c>
    </row>
    <row r="1704" ht="12.75" customHeight="1">
      <c r="A1704" s="1">
        <v>0.0</v>
      </c>
      <c r="B1704" s="2" t="s">
        <v>3042</v>
      </c>
      <c r="C1704" s="1" t="s">
        <v>3043</v>
      </c>
      <c r="D1704" s="1" t="s">
        <v>1120</v>
      </c>
      <c r="E1704" s="3">
        <v>1.0</v>
      </c>
      <c r="F1704" s="3">
        <v>0.0</v>
      </c>
    </row>
    <row r="1705" ht="12.75" customHeight="1">
      <c r="A1705" s="1">
        <v>0.0</v>
      </c>
      <c r="B1705" s="2" t="s">
        <v>2217</v>
      </c>
      <c r="C1705" s="1" t="s">
        <v>2218</v>
      </c>
      <c r="D1705" s="1" t="s">
        <v>2219</v>
      </c>
      <c r="E1705" s="3">
        <v>1.0</v>
      </c>
      <c r="F1705" s="3">
        <v>0.0</v>
      </c>
    </row>
    <row r="1706" ht="12.75" customHeight="1">
      <c r="A1706" s="1">
        <v>0.0</v>
      </c>
      <c r="B1706" s="2" t="s">
        <v>5213</v>
      </c>
      <c r="C1706" s="1" t="s">
        <v>5214</v>
      </c>
      <c r="D1706" s="1" t="s">
        <v>5178</v>
      </c>
      <c r="E1706" s="3">
        <v>1.0</v>
      </c>
      <c r="F1706" s="3">
        <v>0.0</v>
      </c>
    </row>
    <row r="1707" ht="12.75" customHeight="1">
      <c r="A1707" s="1">
        <v>0.0</v>
      </c>
      <c r="B1707" s="2" t="s">
        <v>3044</v>
      </c>
      <c r="C1707" s="1" t="s">
        <v>3045</v>
      </c>
      <c r="D1707" s="1" t="s">
        <v>1120</v>
      </c>
      <c r="E1707" s="3">
        <v>1.0</v>
      </c>
      <c r="F1707" s="3">
        <v>0.0</v>
      </c>
    </row>
    <row r="1708" ht="12.75" customHeight="1">
      <c r="A1708" s="1">
        <v>0.0</v>
      </c>
      <c r="B1708" s="2" t="s">
        <v>3090</v>
      </c>
      <c r="C1708" s="1" t="s">
        <v>3091</v>
      </c>
      <c r="D1708" s="1" t="s">
        <v>3092</v>
      </c>
      <c r="E1708" s="3">
        <v>1.0</v>
      </c>
      <c r="F1708" s="3">
        <v>0.0</v>
      </c>
    </row>
    <row r="1709" ht="12.75" customHeight="1">
      <c r="A1709" s="1">
        <v>0.0</v>
      </c>
      <c r="B1709" s="2" t="s">
        <v>3484</v>
      </c>
      <c r="C1709" s="1" t="s">
        <v>3485</v>
      </c>
      <c r="D1709" s="1" t="s">
        <v>1204</v>
      </c>
      <c r="E1709" s="3">
        <v>1.0</v>
      </c>
      <c r="F1709" s="3">
        <v>0.0</v>
      </c>
    </row>
    <row r="1710" ht="12.75" customHeight="1">
      <c r="A1710" s="1">
        <v>0.0</v>
      </c>
      <c r="B1710" s="2" t="s">
        <v>3046</v>
      </c>
      <c r="C1710" s="1" t="s">
        <v>3047</v>
      </c>
      <c r="D1710" s="1" t="s">
        <v>1120</v>
      </c>
      <c r="E1710" s="3">
        <v>1.0</v>
      </c>
      <c r="F1710" s="3">
        <v>0.0</v>
      </c>
    </row>
    <row r="1711" ht="12.75" customHeight="1">
      <c r="A1711" s="1">
        <v>0.0</v>
      </c>
      <c r="B1711" s="2" t="s">
        <v>3048</v>
      </c>
      <c r="C1711" s="1" t="s">
        <v>3049</v>
      </c>
      <c r="D1711" s="1" t="s">
        <v>1120</v>
      </c>
      <c r="E1711" s="3">
        <v>1.0</v>
      </c>
      <c r="F1711" s="3">
        <v>0.0</v>
      </c>
    </row>
    <row r="1712" ht="12.75" customHeight="1">
      <c r="A1712" s="1">
        <v>0.0</v>
      </c>
      <c r="B1712" s="2" t="s">
        <v>3050</v>
      </c>
      <c r="C1712" s="1" t="s">
        <v>3051</v>
      </c>
      <c r="D1712" s="1" t="s">
        <v>1120</v>
      </c>
      <c r="E1712" s="3">
        <v>1.0</v>
      </c>
      <c r="F1712" s="3">
        <v>0.0</v>
      </c>
    </row>
    <row r="1713" ht="12.75" customHeight="1">
      <c r="A1713" s="1">
        <v>0.0</v>
      </c>
      <c r="B1713" s="2" t="s">
        <v>3052</v>
      </c>
      <c r="C1713" s="1" t="s">
        <v>3053</v>
      </c>
      <c r="D1713" s="1" t="s">
        <v>1120</v>
      </c>
      <c r="E1713" s="3">
        <v>1.0</v>
      </c>
      <c r="F1713" s="3">
        <v>0.0</v>
      </c>
    </row>
    <row r="1714" ht="12.75" customHeight="1">
      <c r="A1714" s="1">
        <v>0.0</v>
      </c>
      <c r="B1714" s="2" t="s">
        <v>1951</v>
      </c>
      <c r="C1714" s="1" t="s">
        <v>1952</v>
      </c>
      <c r="D1714" s="1" t="s">
        <v>1953</v>
      </c>
      <c r="E1714" s="3">
        <v>1.0</v>
      </c>
      <c r="F1714" s="3">
        <v>0.0</v>
      </c>
    </row>
    <row r="1715" ht="12.75" customHeight="1">
      <c r="A1715" s="1">
        <v>0.0</v>
      </c>
      <c r="B1715" s="2" t="s">
        <v>2411</v>
      </c>
      <c r="C1715" s="1" t="s">
        <v>2409</v>
      </c>
      <c r="D1715" s="1" t="s">
        <v>2412</v>
      </c>
      <c r="E1715" s="3">
        <v>1.0</v>
      </c>
      <c r="F1715" s="3">
        <v>0.0</v>
      </c>
    </row>
    <row r="1716" ht="12.75" customHeight="1">
      <c r="A1716" s="1">
        <v>0.0</v>
      </c>
      <c r="B1716" s="2" t="s">
        <v>2572</v>
      </c>
      <c r="C1716" s="1" t="s">
        <v>2573</v>
      </c>
      <c r="D1716" s="1" t="s">
        <v>936</v>
      </c>
      <c r="E1716" s="3">
        <v>1.0</v>
      </c>
      <c r="F1716" s="3">
        <v>0.0</v>
      </c>
    </row>
    <row r="1717" ht="12.75" customHeight="1">
      <c r="A1717" s="1">
        <v>0.0</v>
      </c>
      <c r="B1717" s="2" t="s">
        <v>2915</v>
      </c>
      <c r="C1717" s="1" t="s">
        <v>2916</v>
      </c>
      <c r="D1717" s="1" t="s">
        <v>1097</v>
      </c>
      <c r="E1717" s="3">
        <v>1.0</v>
      </c>
      <c r="F1717" s="3">
        <v>0.0</v>
      </c>
    </row>
    <row r="1718" ht="12.75" customHeight="1">
      <c r="A1718" s="1">
        <v>0.0</v>
      </c>
      <c r="B1718" s="2" t="s">
        <v>3054</v>
      </c>
      <c r="C1718" s="1" t="s">
        <v>3055</v>
      </c>
      <c r="D1718" s="1" t="s">
        <v>1120</v>
      </c>
      <c r="E1718" s="3">
        <v>1.0</v>
      </c>
      <c r="F1718" s="3">
        <v>0.0</v>
      </c>
    </row>
    <row r="1719" ht="12.75" customHeight="1">
      <c r="A1719" s="1">
        <v>0.0</v>
      </c>
      <c r="B1719" s="2" t="s">
        <v>5215</v>
      </c>
      <c r="C1719" s="1" t="s">
        <v>5216</v>
      </c>
      <c r="D1719" s="1" t="s">
        <v>5217</v>
      </c>
      <c r="E1719" s="3">
        <v>1.0</v>
      </c>
      <c r="F1719" s="3">
        <v>0.0</v>
      </c>
    </row>
    <row r="1720" ht="12.75" customHeight="1">
      <c r="A1720" s="1">
        <v>0.0</v>
      </c>
      <c r="B1720" s="2" t="s">
        <v>2917</v>
      </c>
      <c r="C1720" s="1" t="s">
        <v>2918</v>
      </c>
      <c r="D1720" s="1" t="s">
        <v>1097</v>
      </c>
      <c r="E1720" s="3">
        <v>1.0</v>
      </c>
      <c r="F1720" s="3">
        <v>0.0</v>
      </c>
    </row>
    <row r="1721" ht="12.75" customHeight="1">
      <c r="A1721" s="1">
        <v>0.0</v>
      </c>
      <c r="B1721" s="2" t="s">
        <v>2919</v>
      </c>
      <c r="C1721" s="1" t="s">
        <v>2920</v>
      </c>
      <c r="D1721" s="1" t="s">
        <v>1097</v>
      </c>
      <c r="E1721" s="3">
        <v>1.0</v>
      </c>
      <c r="F1721" s="3">
        <v>0.0</v>
      </c>
    </row>
    <row r="1722" ht="12.75" customHeight="1">
      <c r="A1722" s="1">
        <v>0.0</v>
      </c>
      <c r="B1722" s="2" t="s">
        <v>2921</v>
      </c>
      <c r="C1722" s="1" t="s">
        <v>2922</v>
      </c>
      <c r="D1722" s="1" t="s">
        <v>1097</v>
      </c>
      <c r="E1722" s="3">
        <v>1.0</v>
      </c>
      <c r="F1722" s="3">
        <v>0.0</v>
      </c>
    </row>
    <row r="1723" ht="12.75" customHeight="1">
      <c r="A1723" s="1">
        <v>0.0</v>
      </c>
      <c r="B1723" s="2" t="s">
        <v>3056</v>
      </c>
      <c r="C1723" s="1" t="s">
        <v>3057</v>
      </c>
      <c r="D1723" s="1" t="s">
        <v>1120</v>
      </c>
      <c r="E1723" s="3">
        <v>1.0</v>
      </c>
      <c r="F1723" s="3">
        <v>0.0</v>
      </c>
    </row>
    <row r="1724" ht="12.75" customHeight="1">
      <c r="A1724" s="1">
        <v>0.0</v>
      </c>
      <c r="B1724" s="2" t="s">
        <v>3058</v>
      </c>
      <c r="C1724" s="1" t="s">
        <v>3059</v>
      </c>
      <c r="D1724" s="1" t="s">
        <v>1120</v>
      </c>
      <c r="E1724" s="3">
        <v>1.0</v>
      </c>
      <c r="F1724" s="3">
        <v>0.0</v>
      </c>
    </row>
    <row r="1725" ht="12.75" customHeight="1">
      <c r="A1725" s="1">
        <v>0.0</v>
      </c>
      <c r="B1725" s="2" t="s">
        <v>2923</v>
      </c>
      <c r="C1725" s="1" t="s">
        <v>2924</v>
      </c>
      <c r="D1725" s="1" t="s">
        <v>1097</v>
      </c>
      <c r="E1725" s="3">
        <v>1.0</v>
      </c>
      <c r="F1725" s="3">
        <v>0.0</v>
      </c>
    </row>
    <row r="1726" ht="12.75" customHeight="1">
      <c r="A1726" s="1">
        <v>0.0</v>
      </c>
      <c r="B1726" s="2" t="s">
        <v>5218</v>
      </c>
      <c r="C1726" s="1" t="s">
        <v>5219</v>
      </c>
      <c r="D1726" s="1" t="s">
        <v>5178</v>
      </c>
      <c r="E1726" s="3">
        <v>1.0</v>
      </c>
      <c r="F1726" s="3">
        <v>0.0</v>
      </c>
    </row>
    <row r="1727" ht="12.75" customHeight="1">
      <c r="A1727" s="1">
        <v>0.0</v>
      </c>
      <c r="B1727" s="2" t="s">
        <v>3060</v>
      </c>
      <c r="C1727" s="1" t="s">
        <v>3061</v>
      </c>
      <c r="D1727" s="1" t="s">
        <v>1120</v>
      </c>
      <c r="E1727" s="3">
        <v>1.0</v>
      </c>
      <c r="F1727" s="3">
        <v>0.0</v>
      </c>
    </row>
    <row r="1728" ht="12.75" customHeight="1">
      <c r="A1728" s="1">
        <v>0.0</v>
      </c>
      <c r="B1728" s="2" t="s">
        <v>4021</v>
      </c>
      <c r="C1728" s="1" t="s">
        <v>4022</v>
      </c>
      <c r="D1728" s="1" t="s">
        <v>1353</v>
      </c>
      <c r="E1728" s="3">
        <v>1.0</v>
      </c>
      <c r="F1728" s="3">
        <v>0.0</v>
      </c>
    </row>
    <row r="1729" ht="12.75" customHeight="1">
      <c r="A1729" s="1">
        <v>0.0</v>
      </c>
      <c r="B1729" s="2" t="s">
        <v>3062</v>
      </c>
      <c r="C1729" s="1" t="s">
        <v>3063</v>
      </c>
      <c r="D1729" s="1" t="s">
        <v>1120</v>
      </c>
      <c r="E1729" s="3">
        <v>1.0</v>
      </c>
      <c r="F1729" s="3">
        <v>0.0</v>
      </c>
    </row>
    <row r="1730" ht="12.75" customHeight="1">
      <c r="A1730" s="1">
        <v>0.0</v>
      </c>
      <c r="B1730" s="2" t="s">
        <v>2844</v>
      </c>
      <c r="C1730" s="1" t="s">
        <v>2845</v>
      </c>
      <c r="D1730" s="1" t="s">
        <v>2846</v>
      </c>
      <c r="E1730" s="3">
        <v>1.0</v>
      </c>
      <c r="F1730" s="3">
        <v>0.0</v>
      </c>
    </row>
    <row r="1731" ht="12.75" customHeight="1">
      <c r="A1731" s="1">
        <v>0.0</v>
      </c>
      <c r="B1731" s="2" t="s">
        <v>2925</v>
      </c>
      <c r="C1731" s="1" t="s">
        <v>2926</v>
      </c>
      <c r="D1731" s="1" t="s">
        <v>1097</v>
      </c>
      <c r="E1731" s="3">
        <v>1.0</v>
      </c>
      <c r="F1731" s="3">
        <v>0.0</v>
      </c>
    </row>
    <row r="1732" ht="12.75" customHeight="1">
      <c r="A1732" s="1">
        <v>0.0</v>
      </c>
      <c r="B1732" s="2" t="s">
        <v>2595</v>
      </c>
      <c r="C1732" s="1" t="s">
        <v>2596</v>
      </c>
      <c r="D1732" s="1" t="s">
        <v>2597</v>
      </c>
      <c r="E1732" s="3">
        <v>1.0</v>
      </c>
      <c r="F1732" s="3">
        <v>0.0</v>
      </c>
    </row>
    <row r="1733" ht="12.75" customHeight="1">
      <c r="A1733" s="1">
        <v>0.0</v>
      </c>
      <c r="B1733" s="2" t="s">
        <v>2927</v>
      </c>
      <c r="C1733" s="1" t="s">
        <v>2928</v>
      </c>
      <c r="D1733" s="1" t="s">
        <v>1097</v>
      </c>
      <c r="E1733" s="3">
        <v>1.0</v>
      </c>
      <c r="F1733" s="3">
        <v>0.0</v>
      </c>
    </row>
    <row r="1734" ht="12.75" customHeight="1">
      <c r="A1734" s="1">
        <v>0.0</v>
      </c>
      <c r="B1734" s="2" t="s">
        <v>3064</v>
      </c>
      <c r="C1734" s="1" t="s">
        <v>3065</v>
      </c>
      <c r="D1734" s="1" t="s">
        <v>1120</v>
      </c>
      <c r="E1734" s="3">
        <v>1.0</v>
      </c>
      <c r="F1734" s="3">
        <v>0.0</v>
      </c>
    </row>
    <row r="1735" ht="12.75" customHeight="1">
      <c r="A1735" s="1">
        <v>0.0</v>
      </c>
      <c r="B1735" s="2" t="s">
        <v>3066</v>
      </c>
      <c r="C1735" s="1" t="s">
        <v>3067</v>
      </c>
      <c r="D1735" s="1" t="s">
        <v>1120</v>
      </c>
      <c r="E1735" s="3">
        <v>1.0</v>
      </c>
      <c r="F1735" s="3">
        <v>0.0</v>
      </c>
    </row>
    <row r="1736" ht="12.75" customHeight="1">
      <c r="A1736" s="1">
        <v>0.0</v>
      </c>
      <c r="B1736" s="2" t="s">
        <v>3068</v>
      </c>
      <c r="C1736" s="1" t="s">
        <v>3069</v>
      </c>
      <c r="D1736" s="1" t="s">
        <v>1120</v>
      </c>
      <c r="E1736" s="3">
        <v>1.0</v>
      </c>
      <c r="F1736" s="3">
        <v>0.0</v>
      </c>
    </row>
    <row r="1737" ht="12.75" customHeight="1">
      <c r="A1737" s="1">
        <v>0.0</v>
      </c>
      <c r="B1737" s="2" t="s">
        <v>2665</v>
      </c>
      <c r="C1737" s="1" t="s">
        <v>2666</v>
      </c>
      <c r="D1737" s="1" t="s">
        <v>2667</v>
      </c>
      <c r="E1737" s="3">
        <v>1.0</v>
      </c>
      <c r="F1737" s="3">
        <v>0.0</v>
      </c>
    </row>
    <row r="1738" ht="12.75" customHeight="1">
      <c r="A1738" s="1">
        <v>0.0</v>
      </c>
      <c r="B1738" s="2" t="s">
        <v>2959</v>
      </c>
      <c r="C1738" s="1" t="s">
        <v>2960</v>
      </c>
      <c r="D1738" s="1" t="s">
        <v>2961</v>
      </c>
      <c r="E1738" s="3">
        <v>1.0</v>
      </c>
      <c r="F1738" s="3">
        <v>0.0</v>
      </c>
    </row>
    <row r="1739" ht="12.75" customHeight="1">
      <c r="A1739" s="1">
        <v>0.0</v>
      </c>
      <c r="B1739" s="2" t="s">
        <v>2929</v>
      </c>
      <c r="C1739" s="1" t="s">
        <v>2930</v>
      </c>
      <c r="D1739" s="1" t="s">
        <v>1097</v>
      </c>
      <c r="E1739" s="3">
        <v>1.0</v>
      </c>
      <c r="F1739" s="3">
        <v>0.0</v>
      </c>
    </row>
    <row r="1740" ht="12.75" customHeight="1">
      <c r="A1740" s="1">
        <v>0.0</v>
      </c>
      <c r="B1740" s="2" t="s">
        <v>3594</v>
      </c>
      <c r="C1740" s="1" t="s">
        <v>3595</v>
      </c>
      <c r="D1740" s="1" t="s">
        <v>3596</v>
      </c>
      <c r="E1740" s="3">
        <v>1.0</v>
      </c>
      <c r="F1740" s="3">
        <v>0.0</v>
      </c>
    </row>
    <row r="1741" ht="12.75" customHeight="1">
      <c r="A1741" s="1">
        <v>0.0</v>
      </c>
      <c r="B1741" s="2" t="s">
        <v>1912</v>
      </c>
      <c r="C1741" s="1" t="s">
        <v>1913</v>
      </c>
      <c r="D1741" s="1" t="s">
        <v>718</v>
      </c>
      <c r="E1741" s="3">
        <v>1.0</v>
      </c>
      <c r="F1741" s="3">
        <v>0.0</v>
      </c>
    </row>
    <row r="1742" ht="12.75" customHeight="1">
      <c r="A1742" s="1">
        <v>0.0</v>
      </c>
      <c r="B1742" s="2" t="s">
        <v>2992</v>
      </c>
      <c r="C1742" s="1" t="s">
        <v>2993</v>
      </c>
      <c r="D1742" s="1" t="s">
        <v>1117</v>
      </c>
      <c r="E1742" s="3">
        <v>1.0</v>
      </c>
      <c r="F1742" s="3">
        <v>0.0</v>
      </c>
    </row>
    <row r="1743" ht="12.75" customHeight="1">
      <c r="A1743" s="1">
        <v>0.0</v>
      </c>
      <c r="B1743" s="2" t="s">
        <v>2574</v>
      </c>
      <c r="C1743" s="1" t="s">
        <v>2575</v>
      </c>
      <c r="D1743" s="1" t="s">
        <v>936</v>
      </c>
      <c r="E1743" s="3">
        <v>1.0</v>
      </c>
      <c r="F1743" s="3">
        <v>0.0</v>
      </c>
    </row>
    <row r="1744" ht="12.75" customHeight="1">
      <c r="A1744" s="1">
        <v>0.0</v>
      </c>
      <c r="B1744" s="2" t="s">
        <v>2576</v>
      </c>
      <c r="C1744" s="1" t="s">
        <v>2577</v>
      </c>
      <c r="D1744" s="1" t="s">
        <v>936</v>
      </c>
      <c r="E1744" s="3">
        <v>1.0</v>
      </c>
      <c r="F1744" s="3">
        <v>0.0</v>
      </c>
    </row>
    <row r="1745" ht="12.75" customHeight="1">
      <c r="A1745" s="1">
        <v>0.0</v>
      </c>
      <c r="B1745" s="2" t="s">
        <v>2541</v>
      </c>
      <c r="C1745" s="1" t="s">
        <v>2542</v>
      </c>
      <c r="D1745" s="1" t="s">
        <v>934</v>
      </c>
      <c r="E1745" s="3">
        <v>1.0</v>
      </c>
      <c r="F1745" s="3">
        <v>0.0</v>
      </c>
    </row>
    <row r="1746" ht="12.75" customHeight="1">
      <c r="A1746" s="1">
        <v>0.0</v>
      </c>
      <c r="B1746" s="2" t="s">
        <v>5220</v>
      </c>
      <c r="C1746" s="1" t="s">
        <v>5221</v>
      </c>
      <c r="D1746" s="1" t="s">
        <v>5178</v>
      </c>
      <c r="E1746" s="3">
        <v>1.0</v>
      </c>
      <c r="F1746" s="3">
        <v>0.0</v>
      </c>
    </row>
    <row r="1747" ht="12.75" customHeight="1">
      <c r="A1747" s="1">
        <v>0.0</v>
      </c>
      <c r="B1747" s="2" t="s">
        <v>1924</v>
      </c>
      <c r="C1747" s="1" t="s">
        <v>1925</v>
      </c>
      <c r="D1747" s="1" t="s">
        <v>736</v>
      </c>
      <c r="E1747" s="3">
        <v>1.0</v>
      </c>
      <c r="F1747" s="3">
        <v>0.0</v>
      </c>
    </row>
    <row r="1748" ht="12.75" customHeight="1">
      <c r="A1748" s="1">
        <v>0.0</v>
      </c>
      <c r="B1748" s="2" t="s">
        <v>3605</v>
      </c>
      <c r="C1748" s="1" t="s">
        <v>3606</v>
      </c>
      <c r="D1748" s="1" t="s">
        <v>3607</v>
      </c>
      <c r="E1748" s="3">
        <v>1.0</v>
      </c>
      <c r="F1748" s="3">
        <v>0.0</v>
      </c>
    </row>
    <row r="1749" ht="12.75" customHeight="1">
      <c r="A1749" s="1">
        <v>0.0</v>
      </c>
      <c r="B1749" s="2" t="s">
        <v>2953</v>
      </c>
      <c r="C1749" s="1" t="s">
        <v>2954</v>
      </c>
      <c r="D1749" s="1" t="s">
        <v>2955</v>
      </c>
      <c r="E1749" s="3">
        <v>1.0</v>
      </c>
      <c r="F1749" s="3">
        <v>0.0</v>
      </c>
    </row>
    <row r="1750" ht="12.75" customHeight="1">
      <c r="A1750" s="1">
        <v>0.0</v>
      </c>
      <c r="B1750" s="2" t="s">
        <v>3093</v>
      </c>
      <c r="C1750" s="1" t="s">
        <v>3094</v>
      </c>
      <c r="D1750" s="1" t="s">
        <v>3095</v>
      </c>
      <c r="E1750" s="3">
        <v>1.0</v>
      </c>
      <c r="F1750" s="3">
        <v>0.0</v>
      </c>
    </row>
    <row r="1751" ht="12.75" customHeight="1">
      <c r="A1751" s="1">
        <v>0.0</v>
      </c>
      <c r="B1751" s="2" t="s">
        <v>5222</v>
      </c>
      <c r="C1751" s="1" t="s">
        <v>5223</v>
      </c>
      <c r="D1751" s="1" t="s">
        <v>5178</v>
      </c>
      <c r="E1751" s="3">
        <v>1.0</v>
      </c>
      <c r="F1751" s="3">
        <v>0.0</v>
      </c>
    </row>
    <row r="1752" ht="12.75" customHeight="1">
      <c r="A1752" s="1">
        <v>0.0</v>
      </c>
      <c r="B1752" s="2" t="s">
        <v>2089</v>
      </c>
      <c r="C1752" s="1" t="s">
        <v>2090</v>
      </c>
      <c r="D1752" s="1" t="s">
        <v>769</v>
      </c>
      <c r="E1752" s="3">
        <v>1.0</v>
      </c>
      <c r="F1752" s="3">
        <v>0.0</v>
      </c>
    </row>
    <row r="1753" ht="12.75" customHeight="1">
      <c r="A1753" s="1">
        <v>0.0</v>
      </c>
      <c r="B1753" s="2" t="s">
        <v>2976</v>
      </c>
      <c r="C1753" s="1" t="s">
        <v>2977</v>
      </c>
      <c r="D1753" s="1" t="s">
        <v>1114</v>
      </c>
      <c r="E1753" s="3">
        <v>1.0</v>
      </c>
      <c r="F1753" s="3">
        <v>0.0</v>
      </c>
    </row>
    <row r="1754" ht="12.75" customHeight="1">
      <c r="A1754" s="1">
        <v>0.0</v>
      </c>
      <c r="B1754" s="2" t="s">
        <v>2578</v>
      </c>
      <c r="C1754" s="1" t="s">
        <v>2579</v>
      </c>
      <c r="D1754" s="1" t="s">
        <v>936</v>
      </c>
      <c r="E1754" s="3">
        <v>1.0</v>
      </c>
      <c r="F1754" s="3">
        <v>0.0</v>
      </c>
    </row>
    <row r="1755" ht="12.75" customHeight="1">
      <c r="A1755" s="1">
        <v>0.0</v>
      </c>
      <c r="B1755" s="2" t="s">
        <v>2931</v>
      </c>
      <c r="C1755" s="1" t="s">
        <v>2932</v>
      </c>
      <c r="D1755" s="1" t="s">
        <v>1097</v>
      </c>
      <c r="E1755" s="3">
        <v>1.0</v>
      </c>
      <c r="F1755" s="3">
        <v>0.0</v>
      </c>
    </row>
    <row r="1756" ht="12.75" customHeight="1">
      <c r="A1756" s="1">
        <v>0.0</v>
      </c>
      <c r="B1756" s="2" t="s">
        <v>2933</v>
      </c>
      <c r="C1756" s="1" t="s">
        <v>2934</v>
      </c>
      <c r="D1756" s="1" t="s">
        <v>1097</v>
      </c>
      <c r="E1756" s="3">
        <v>1.0</v>
      </c>
      <c r="F1756" s="3">
        <v>0.0</v>
      </c>
    </row>
    <row r="1757" ht="12.75" customHeight="1">
      <c r="A1757" s="1">
        <v>0.0</v>
      </c>
      <c r="B1757" s="2" t="s">
        <v>2935</v>
      </c>
      <c r="C1757" s="1" t="s">
        <v>2936</v>
      </c>
      <c r="D1757" s="1" t="s">
        <v>1097</v>
      </c>
      <c r="E1757" s="3">
        <v>1.0</v>
      </c>
      <c r="F1757" s="3">
        <v>0.0</v>
      </c>
    </row>
    <row r="1758" ht="12.75" customHeight="1">
      <c r="A1758" s="1">
        <v>0.0</v>
      </c>
      <c r="B1758" s="2" t="s">
        <v>2937</v>
      </c>
      <c r="C1758" s="1" t="s">
        <v>2938</v>
      </c>
      <c r="D1758" s="1" t="s">
        <v>1097</v>
      </c>
      <c r="E1758" s="3">
        <v>1.0</v>
      </c>
      <c r="F1758" s="3">
        <v>0.0</v>
      </c>
    </row>
    <row r="1759" ht="12.75" customHeight="1">
      <c r="A1759" s="1">
        <v>0.0</v>
      </c>
      <c r="B1759" s="2" t="s">
        <v>3070</v>
      </c>
      <c r="C1759" s="1" t="s">
        <v>3071</v>
      </c>
      <c r="D1759" s="1" t="s">
        <v>1120</v>
      </c>
      <c r="E1759" s="3">
        <v>1.0</v>
      </c>
      <c r="F1759" s="3">
        <v>0.0</v>
      </c>
    </row>
    <row r="1760" ht="12.75" customHeight="1">
      <c r="A1760" s="1">
        <v>0.0</v>
      </c>
      <c r="B1760" s="2" t="s">
        <v>3251</v>
      </c>
      <c r="C1760" s="1" t="s">
        <v>3252</v>
      </c>
      <c r="D1760" s="1" t="s">
        <v>1184</v>
      </c>
      <c r="E1760" s="3">
        <v>1.0</v>
      </c>
      <c r="F1760" s="3">
        <v>0.0</v>
      </c>
    </row>
    <row r="1761" ht="12.75" customHeight="1">
      <c r="A1761" s="1">
        <v>0.0</v>
      </c>
      <c r="B1761" s="2" t="s">
        <v>2939</v>
      </c>
      <c r="C1761" s="1" t="s">
        <v>2940</v>
      </c>
      <c r="D1761" s="1" t="s">
        <v>1097</v>
      </c>
      <c r="E1761" s="3">
        <v>1.0</v>
      </c>
      <c r="F1761" s="3">
        <v>0.0</v>
      </c>
    </row>
    <row r="1762" ht="12.75" customHeight="1">
      <c r="A1762" s="1">
        <v>0.0</v>
      </c>
      <c r="B1762" s="2" t="s">
        <v>2941</v>
      </c>
      <c r="C1762" s="1" t="s">
        <v>2942</v>
      </c>
      <c r="D1762" s="1" t="s">
        <v>1097</v>
      </c>
      <c r="E1762" s="3">
        <v>1.0</v>
      </c>
      <c r="F1762" s="3">
        <v>0.0</v>
      </c>
    </row>
    <row r="1763" ht="12.75" customHeight="1">
      <c r="A1763" s="1">
        <v>0.0</v>
      </c>
      <c r="B1763" s="2" t="s">
        <v>2182</v>
      </c>
      <c r="C1763" s="1" t="s">
        <v>2183</v>
      </c>
      <c r="D1763" s="1" t="s">
        <v>801</v>
      </c>
      <c r="E1763" s="3">
        <v>1.0</v>
      </c>
      <c r="F1763" s="3">
        <v>0.0</v>
      </c>
    </row>
    <row r="1764" ht="12.75" customHeight="1">
      <c r="A1764" s="1">
        <v>0.0</v>
      </c>
      <c r="B1764" s="2" t="s">
        <v>3074</v>
      </c>
      <c r="C1764" s="1" t="s">
        <v>3075</v>
      </c>
      <c r="D1764" s="1" t="s">
        <v>3076</v>
      </c>
      <c r="E1764" s="3">
        <v>1.0</v>
      </c>
      <c r="F1764" s="3">
        <v>0.0</v>
      </c>
    </row>
    <row r="1765" ht="12.75" customHeight="1">
      <c r="A1765" s="1">
        <v>0.0</v>
      </c>
      <c r="B1765" s="2" t="s">
        <v>5224</v>
      </c>
      <c r="C1765" s="1" t="s">
        <v>5225</v>
      </c>
      <c r="D1765" s="1" t="s">
        <v>5178</v>
      </c>
      <c r="E1765" s="3">
        <v>1.0</v>
      </c>
      <c r="F1765" s="3">
        <v>0.0</v>
      </c>
    </row>
    <row r="1766" ht="12.75" customHeight="1">
      <c r="A1766" s="1">
        <v>0.0</v>
      </c>
      <c r="B1766" s="2" t="s">
        <v>2943</v>
      </c>
      <c r="C1766" s="1" t="s">
        <v>2944</v>
      </c>
      <c r="D1766" s="1" t="s">
        <v>1097</v>
      </c>
      <c r="E1766" s="3">
        <v>1.0</v>
      </c>
      <c r="F1766" s="3">
        <v>0.0</v>
      </c>
    </row>
    <row r="1767" ht="12.75" customHeight="1">
      <c r="A1767" s="1">
        <v>0.0</v>
      </c>
      <c r="B1767" s="2" t="s">
        <v>3962</v>
      </c>
      <c r="C1767" s="1" t="s">
        <v>3963</v>
      </c>
      <c r="D1767" s="1" t="s">
        <v>3964</v>
      </c>
      <c r="E1767" s="3">
        <v>1.0</v>
      </c>
      <c r="F1767" s="3">
        <v>0.0</v>
      </c>
    </row>
    <row r="1768" ht="12.75" customHeight="1">
      <c r="A1768" s="1">
        <v>0.0</v>
      </c>
      <c r="B1768" s="2" t="s">
        <v>3956</v>
      </c>
      <c r="C1768" s="1" t="s">
        <v>3957</v>
      </c>
      <c r="D1768" s="1" t="s">
        <v>3958</v>
      </c>
      <c r="E1768" s="3">
        <v>1.0</v>
      </c>
      <c r="F1768" s="3">
        <v>0.0</v>
      </c>
    </row>
    <row r="1769" ht="12.75" customHeight="1">
      <c r="A1769" s="1">
        <v>0.0</v>
      </c>
      <c r="B1769" s="2" t="s">
        <v>3576</v>
      </c>
      <c r="C1769" s="1" t="s">
        <v>3577</v>
      </c>
      <c r="D1769" s="1" t="s">
        <v>1239</v>
      </c>
      <c r="E1769" s="3">
        <v>1.0</v>
      </c>
      <c r="F1769" s="3">
        <v>0.0</v>
      </c>
    </row>
    <row r="1770" ht="12.75" customHeight="1">
      <c r="A1770" s="1">
        <v>0.0</v>
      </c>
      <c r="B1770" s="2" t="s">
        <v>2580</v>
      </c>
      <c r="C1770" s="1" t="s">
        <v>2581</v>
      </c>
      <c r="D1770" s="1" t="s">
        <v>936</v>
      </c>
      <c r="E1770" s="3">
        <v>1.0</v>
      </c>
      <c r="F1770" s="3">
        <v>0.0</v>
      </c>
    </row>
    <row r="1771" ht="12.75" customHeight="1">
      <c r="A1771" s="1">
        <v>0.0</v>
      </c>
      <c r="B1771" s="2" t="s">
        <v>2744</v>
      </c>
      <c r="C1771" s="1" t="s">
        <v>2745</v>
      </c>
      <c r="D1771" s="1" t="s">
        <v>1044</v>
      </c>
      <c r="E1771" s="3">
        <v>1.0</v>
      </c>
      <c r="F1771" s="3">
        <v>0.0</v>
      </c>
    </row>
    <row r="1772" ht="12.75" customHeight="1">
      <c r="A1772" s="1">
        <v>0.0</v>
      </c>
      <c r="B1772" s="2" t="s">
        <v>2945</v>
      </c>
      <c r="C1772" s="1" t="s">
        <v>2946</v>
      </c>
      <c r="D1772" s="1" t="s">
        <v>1097</v>
      </c>
      <c r="E1772" s="3">
        <v>1.0</v>
      </c>
      <c r="F1772" s="3">
        <v>0.0</v>
      </c>
    </row>
    <row r="1773" ht="12.75" customHeight="1">
      <c r="A1773" s="1">
        <v>0.0</v>
      </c>
      <c r="B1773" s="2" t="s">
        <v>5226</v>
      </c>
      <c r="C1773" s="1" t="s">
        <v>5227</v>
      </c>
      <c r="D1773" s="1" t="s">
        <v>5178</v>
      </c>
      <c r="E1773" s="3">
        <v>1.0</v>
      </c>
      <c r="F1773" s="3">
        <v>0.0</v>
      </c>
    </row>
    <row r="1774" ht="12.75" customHeight="1">
      <c r="A1774" s="1">
        <v>0.0</v>
      </c>
      <c r="B1774" s="2" t="s">
        <v>4030</v>
      </c>
      <c r="C1774" s="1" t="s">
        <v>4031</v>
      </c>
      <c r="D1774" s="1" t="s">
        <v>4032</v>
      </c>
      <c r="E1774" s="3">
        <v>1.0</v>
      </c>
      <c r="F1774" s="3">
        <v>0.0</v>
      </c>
    </row>
    <row r="1775" ht="12.75" customHeight="1">
      <c r="A1775" s="1">
        <v>0.0</v>
      </c>
      <c r="B1775" s="2" t="s">
        <v>2962</v>
      </c>
      <c r="C1775" s="1" t="s">
        <v>2963</v>
      </c>
      <c r="D1775" s="1" t="s">
        <v>2964</v>
      </c>
      <c r="E1775" s="3">
        <v>1.0</v>
      </c>
      <c r="F1775" s="3">
        <v>0.0</v>
      </c>
    </row>
    <row r="1776" ht="12.75" customHeight="1">
      <c r="A1776" s="1">
        <v>0.0</v>
      </c>
      <c r="B1776" s="2" t="s">
        <v>1914</v>
      </c>
      <c r="C1776" s="1" t="s">
        <v>1915</v>
      </c>
      <c r="D1776" s="1" t="s">
        <v>718</v>
      </c>
      <c r="E1776" s="3">
        <v>1.0</v>
      </c>
      <c r="F1776" s="3">
        <v>0.0</v>
      </c>
    </row>
    <row r="1777" ht="12.75" customHeight="1">
      <c r="A1777" s="1">
        <v>0.0</v>
      </c>
      <c r="B1777" s="2" t="s">
        <v>2978</v>
      </c>
      <c r="C1777" s="1" t="s">
        <v>2979</v>
      </c>
      <c r="D1777" s="1" t="s">
        <v>1114</v>
      </c>
      <c r="E1777" s="3">
        <v>1.0</v>
      </c>
      <c r="F1777" s="3">
        <v>0.0</v>
      </c>
    </row>
    <row r="1778" ht="12.75" customHeight="1">
      <c r="A1778" s="1">
        <v>0.0</v>
      </c>
      <c r="B1778" s="2" t="s">
        <v>2859</v>
      </c>
      <c r="C1778" s="1" t="s">
        <v>2860</v>
      </c>
      <c r="D1778" s="1" t="s">
        <v>2856</v>
      </c>
      <c r="E1778" s="3">
        <v>1.0</v>
      </c>
      <c r="F1778" s="3">
        <v>0.0</v>
      </c>
    </row>
    <row r="1779" ht="12.75" customHeight="1">
      <c r="A1779" s="1">
        <v>0.0</v>
      </c>
      <c r="B1779" s="2" t="s">
        <v>2196</v>
      </c>
      <c r="C1779" s="1" t="s">
        <v>2197</v>
      </c>
      <c r="D1779" s="1" t="s">
        <v>805</v>
      </c>
      <c r="E1779" s="3">
        <v>1.0</v>
      </c>
      <c r="F1779" s="3">
        <v>0.0</v>
      </c>
    </row>
    <row r="1780" ht="12.75" customHeight="1">
      <c r="A1780" s="1">
        <v>0.0</v>
      </c>
      <c r="B1780" s="2" t="s">
        <v>2850</v>
      </c>
      <c r="C1780" s="1" t="s">
        <v>2851</v>
      </c>
      <c r="D1780" s="1" t="s">
        <v>2852</v>
      </c>
      <c r="E1780" s="3">
        <v>1.0</v>
      </c>
      <c r="F1780" s="3">
        <v>0.0</v>
      </c>
    </row>
    <row r="1781" ht="12.75" customHeight="1">
      <c r="A1781" s="1">
        <v>0.0</v>
      </c>
      <c r="B1781" s="2" t="s">
        <v>2582</v>
      </c>
      <c r="C1781" s="1" t="s">
        <v>2583</v>
      </c>
      <c r="D1781" s="1" t="s">
        <v>936</v>
      </c>
      <c r="E1781" s="3">
        <v>1.0</v>
      </c>
      <c r="F1781" s="3">
        <v>0.0</v>
      </c>
    </row>
    <row r="1782" ht="12.75" customHeight="1">
      <c r="A1782" s="1">
        <v>0.0</v>
      </c>
      <c r="B1782" s="2" t="s">
        <v>3755</v>
      </c>
      <c r="C1782" s="1" t="s">
        <v>3756</v>
      </c>
      <c r="D1782" s="1" t="s">
        <v>3757</v>
      </c>
      <c r="E1782" s="3">
        <v>1.0</v>
      </c>
      <c r="F1782" s="3">
        <v>0.0</v>
      </c>
    </row>
    <row r="1783" ht="12.75" customHeight="1">
      <c r="A1783" s="1">
        <v>0.0</v>
      </c>
      <c r="B1783" s="2" t="s">
        <v>2220</v>
      </c>
      <c r="C1783" s="1" t="s">
        <v>2221</v>
      </c>
      <c r="D1783" s="1" t="s">
        <v>2219</v>
      </c>
      <c r="E1783" s="3">
        <v>1.0</v>
      </c>
      <c r="F1783" s="3">
        <v>0.0</v>
      </c>
    </row>
    <row r="1784" ht="12.75" customHeight="1">
      <c r="A1784" s="1">
        <v>0.0</v>
      </c>
      <c r="B1784" s="2" t="s">
        <v>1997</v>
      </c>
      <c r="C1784" s="1" t="s">
        <v>1998</v>
      </c>
      <c r="D1784" s="1" t="s">
        <v>1999</v>
      </c>
      <c r="E1784" s="3">
        <v>1.0</v>
      </c>
      <c r="F1784" s="3">
        <v>0.0</v>
      </c>
    </row>
    <row r="1785" ht="12.75" customHeight="1">
      <c r="A1785" s="1">
        <v>0.0</v>
      </c>
      <c r="B1785" s="2" t="s">
        <v>2584</v>
      </c>
      <c r="C1785" s="1" t="s">
        <v>2585</v>
      </c>
      <c r="D1785" s="1" t="s">
        <v>936</v>
      </c>
      <c r="E1785" s="3">
        <v>1.0</v>
      </c>
      <c r="F1785" s="3">
        <v>0.0</v>
      </c>
    </row>
    <row r="1786" ht="12.75" customHeight="1">
      <c r="A1786" s="1">
        <v>0.0</v>
      </c>
      <c r="B1786" s="2" t="s">
        <v>2246</v>
      </c>
      <c r="C1786" s="1" t="s">
        <v>2247</v>
      </c>
      <c r="D1786" s="1" t="s">
        <v>2248</v>
      </c>
      <c r="E1786" s="3">
        <v>1.0</v>
      </c>
      <c r="F1786" s="3">
        <v>0.0</v>
      </c>
    </row>
    <row r="1787" ht="12.75" customHeight="1">
      <c r="A1787" s="1">
        <v>0.0</v>
      </c>
      <c r="B1787" s="2" t="s">
        <v>4023</v>
      </c>
      <c r="C1787" s="1" t="s">
        <v>4024</v>
      </c>
      <c r="D1787" s="1" t="s">
        <v>1353</v>
      </c>
      <c r="E1787" s="3">
        <v>1.0</v>
      </c>
      <c r="F1787" s="3">
        <v>0.0</v>
      </c>
    </row>
    <row r="1788" ht="12.75" customHeight="1">
      <c r="A1788" s="1">
        <v>0.0</v>
      </c>
      <c r="B1788" s="2" t="s">
        <v>5228</v>
      </c>
      <c r="C1788" s="1" t="s">
        <v>5229</v>
      </c>
      <c r="D1788" s="1" t="s">
        <v>5230</v>
      </c>
      <c r="E1788" s="3">
        <v>1.0</v>
      </c>
      <c r="F1788" s="3">
        <v>0.0</v>
      </c>
    </row>
    <row r="1789" ht="12.75" customHeight="1">
      <c r="A1789" s="1">
        <v>0.0</v>
      </c>
      <c r="B1789" s="2" t="s">
        <v>1916</v>
      </c>
      <c r="C1789" s="1" t="s">
        <v>1917</v>
      </c>
      <c r="D1789" s="1" t="s">
        <v>718</v>
      </c>
      <c r="E1789" s="3">
        <v>1.0</v>
      </c>
      <c r="F1789" s="3">
        <v>0.0</v>
      </c>
    </row>
    <row r="1790" ht="12.75" customHeight="1">
      <c r="A1790" s="1">
        <v>0.0</v>
      </c>
      <c r="B1790" s="2" t="s">
        <v>5231</v>
      </c>
      <c r="C1790" s="1" t="s">
        <v>5232</v>
      </c>
      <c r="D1790" s="1" t="s">
        <v>5178</v>
      </c>
      <c r="E1790" s="3">
        <v>1.0</v>
      </c>
      <c r="F1790" s="3">
        <v>0.0</v>
      </c>
    </row>
    <row r="1791" ht="12.75" customHeight="1">
      <c r="A1791" s="1">
        <v>0.0</v>
      </c>
      <c r="B1791" s="2" t="s">
        <v>2475</v>
      </c>
      <c r="C1791" s="1" t="s">
        <v>2476</v>
      </c>
      <c r="D1791" s="1" t="s">
        <v>891</v>
      </c>
      <c r="E1791" s="3">
        <v>1.0</v>
      </c>
      <c r="F1791" s="3">
        <v>0.0</v>
      </c>
    </row>
    <row r="1792" ht="12.75" customHeight="1">
      <c r="A1792" s="1">
        <v>0.0</v>
      </c>
      <c r="B1792" s="2" t="s">
        <v>2586</v>
      </c>
      <c r="C1792" s="1" t="s">
        <v>2587</v>
      </c>
      <c r="D1792" s="1" t="s">
        <v>936</v>
      </c>
      <c r="E1792" s="3">
        <v>1.0</v>
      </c>
      <c r="F1792" s="3">
        <v>0.0</v>
      </c>
    </row>
    <row r="1793" ht="12.75" customHeight="1">
      <c r="A1793" s="1">
        <v>0.0</v>
      </c>
      <c r="B1793" s="2" t="s">
        <v>3588</v>
      </c>
      <c r="C1793" s="1" t="s">
        <v>3589</v>
      </c>
      <c r="D1793" s="1" t="s">
        <v>1246</v>
      </c>
      <c r="E1793" s="3">
        <v>1.0</v>
      </c>
      <c r="F1793" s="3">
        <v>0.0</v>
      </c>
    </row>
    <row r="1794" ht="12.75" customHeight="1">
      <c r="A1794" s="1">
        <v>0.0</v>
      </c>
      <c r="B1794" s="2" t="s">
        <v>1918</v>
      </c>
      <c r="C1794" s="1" t="s">
        <v>1919</v>
      </c>
      <c r="D1794" s="1" t="s">
        <v>718</v>
      </c>
      <c r="E1794" s="3">
        <v>1.0</v>
      </c>
      <c r="F1794" s="3">
        <v>0.0</v>
      </c>
    </row>
    <row r="1795" ht="12.75" customHeight="1">
      <c r="A1795" s="1">
        <v>0.0</v>
      </c>
      <c r="B1795" s="2" t="s">
        <v>2198</v>
      </c>
      <c r="C1795" s="1" t="s">
        <v>2199</v>
      </c>
      <c r="D1795" s="1" t="s">
        <v>805</v>
      </c>
      <c r="E1795" s="3">
        <v>1.0</v>
      </c>
      <c r="F1795" s="3">
        <v>0.0</v>
      </c>
    </row>
    <row r="1796" ht="12.75" customHeight="1">
      <c r="A1796" s="1">
        <v>0.0</v>
      </c>
      <c r="B1796" s="2" t="s">
        <v>2774</v>
      </c>
      <c r="C1796" s="1" t="s">
        <v>2775</v>
      </c>
      <c r="D1796" s="1" t="s">
        <v>318</v>
      </c>
      <c r="E1796" s="3">
        <v>1.0</v>
      </c>
      <c r="F1796" s="3">
        <v>0.0</v>
      </c>
    </row>
    <row r="1797" ht="12.75" customHeight="1">
      <c r="A1797" s="1">
        <v>0.0</v>
      </c>
      <c r="B1797" s="2" t="s">
        <v>2776</v>
      </c>
      <c r="C1797" s="1" t="s">
        <v>2777</v>
      </c>
      <c r="D1797" s="1" t="s">
        <v>318</v>
      </c>
      <c r="E1797" s="3">
        <v>1.0</v>
      </c>
      <c r="F1797" s="3">
        <v>0.0</v>
      </c>
    </row>
    <row r="1798" ht="12.75" customHeight="1">
      <c r="A1798" s="1">
        <v>0.0</v>
      </c>
      <c r="B1798" s="2" t="s">
        <v>2778</v>
      </c>
      <c r="C1798" s="1" t="s">
        <v>2779</v>
      </c>
      <c r="D1798" s="1" t="s">
        <v>318</v>
      </c>
      <c r="E1798" s="3">
        <v>1.0</v>
      </c>
      <c r="F1798" s="3">
        <v>0.0</v>
      </c>
    </row>
    <row r="1799" ht="12.75" customHeight="1">
      <c r="A1799" s="1">
        <v>0.0</v>
      </c>
      <c r="B1799" s="2" t="s">
        <v>3486</v>
      </c>
      <c r="C1799" s="1" t="s">
        <v>2605</v>
      </c>
      <c r="D1799" s="1" t="s">
        <v>1204</v>
      </c>
      <c r="E1799" s="3">
        <v>1.0</v>
      </c>
      <c r="F1799" s="3">
        <v>0.0</v>
      </c>
    </row>
    <row r="1800" ht="12.75" customHeight="1">
      <c r="A1800" s="1">
        <v>0.0</v>
      </c>
      <c r="B1800" s="2" t="s">
        <v>2780</v>
      </c>
      <c r="C1800" s="1" t="s">
        <v>2781</v>
      </c>
      <c r="D1800" s="1" t="s">
        <v>2782</v>
      </c>
      <c r="E1800" s="3">
        <v>1.0</v>
      </c>
      <c r="F1800" s="3">
        <v>0.0</v>
      </c>
    </row>
    <row r="1801" ht="12.75" customHeight="1">
      <c r="A1801" s="1">
        <v>0.0</v>
      </c>
      <c r="B1801" s="2" t="s">
        <v>4073</v>
      </c>
      <c r="C1801" s="1" t="s">
        <v>4074</v>
      </c>
      <c r="D1801" s="1" t="s">
        <v>375</v>
      </c>
      <c r="E1801" s="3">
        <v>1.0</v>
      </c>
      <c r="F1801" s="3">
        <v>0.0</v>
      </c>
    </row>
    <row r="1802" ht="12.75" customHeight="1">
      <c r="A1802" s="1">
        <v>0.0</v>
      </c>
      <c r="B1802" s="2" t="s">
        <v>2588</v>
      </c>
      <c r="C1802" s="1" t="s">
        <v>2063</v>
      </c>
      <c r="D1802" s="1" t="s">
        <v>936</v>
      </c>
      <c r="E1802" s="3">
        <v>1.0</v>
      </c>
      <c r="F1802" s="3">
        <v>0.0</v>
      </c>
    </row>
    <row r="1803" ht="12.75" customHeight="1">
      <c r="A1803" s="1">
        <v>0.0</v>
      </c>
      <c r="B1803" s="2" t="s">
        <v>2222</v>
      </c>
      <c r="C1803" s="1" t="s">
        <v>2223</v>
      </c>
      <c r="D1803" s="1" t="s">
        <v>2219</v>
      </c>
      <c r="E1803" s="3">
        <v>1.0</v>
      </c>
      <c r="F1803" s="3">
        <v>0.0</v>
      </c>
    </row>
    <row r="1804" ht="12.75" customHeight="1">
      <c r="A1804" s="1">
        <v>0.0</v>
      </c>
      <c r="B1804" s="2" t="s">
        <v>5233</v>
      </c>
      <c r="C1804" s="1" t="s">
        <v>3681</v>
      </c>
      <c r="D1804" s="1" t="s">
        <v>5234</v>
      </c>
      <c r="E1804" s="3">
        <v>1.0</v>
      </c>
      <c r="F1804" s="3">
        <v>0.0</v>
      </c>
    </row>
    <row r="1805" ht="12.75" customHeight="1">
      <c r="A1805" s="1">
        <v>0.0</v>
      </c>
      <c r="B1805" s="2" t="s">
        <v>2200</v>
      </c>
      <c r="C1805" s="1" t="s">
        <v>2201</v>
      </c>
      <c r="D1805" s="1" t="s">
        <v>805</v>
      </c>
      <c r="E1805" s="3">
        <v>1.0</v>
      </c>
      <c r="F1805" s="3">
        <v>0.0</v>
      </c>
    </row>
    <row r="1806" ht="12.75" customHeight="1">
      <c r="A1806" s="1">
        <v>0.0</v>
      </c>
      <c r="B1806" s="2" t="s">
        <v>2184</v>
      </c>
      <c r="C1806" s="1" t="s">
        <v>2185</v>
      </c>
      <c r="D1806" s="1" t="s">
        <v>801</v>
      </c>
      <c r="E1806" s="3">
        <v>1.0</v>
      </c>
      <c r="F1806" s="3">
        <v>0.0</v>
      </c>
    </row>
    <row r="1807" ht="12.75" customHeight="1">
      <c r="A1807" s="1">
        <v>0.0</v>
      </c>
      <c r="B1807" s="2" t="s">
        <v>3573</v>
      </c>
      <c r="C1807" s="1" t="s">
        <v>3574</v>
      </c>
      <c r="D1807" s="1" t="s">
        <v>3575</v>
      </c>
      <c r="E1807" s="3">
        <v>1.0</v>
      </c>
      <c r="F1807" s="3">
        <v>0.0</v>
      </c>
    </row>
    <row r="1808" ht="12.75" customHeight="1">
      <c r="A1808" s="1">
        <v>0.0</v>
      </c>
      <c r="B1808" s="2" t="s">
        <v>2589</v>
      </c>
      <c r="C1808" s="1" t="s">
        <v>2590</v>
      </c>
      <c r="D1808" s="1" t="s">
        <v>936</v>
      </c>
      <c r="E1808" s="3">
        <v>1.0</v>
      </c>
      <c r="F1808" s="3">
        <v>0.0</v>
      </c>
    </row>
    <row r="1809" ht="12.75" customHeight="1">
      <c r="A1809" s="1">
        <v>0.0</v>
      </c>
      <c r="B1809" s="2" t="s">
        <v>5235</v>
      </c>
      <c r="C1809" s="1" t="s">
        <v>5236</v>
      </c>
      <c r="D1809" s="1" t="s">
        <v>5237</v>
      </c>
      <c r="E1809" s="3">
        <v>1.0</v>
      </c>
      <c r="F1809" s="3">
        <v>0.0</v>
      </c>
    </row>
    <row r="1810" ht="12.75" customHeight="1">
      <c r="A1810" s="1">
        <v>0.0</v>
      </c>
      <c r="B1810" s="2" t="s">
        <v>2202</v>
      </c>
      <c r="C1810" s="1" t="s">
        <v>1752</v>
      </c>
      <c r="D1810" s="1" t="s">
        <v>805</v>
      </c>
      <c r="E1810" s="3">
        <v>1.0</v>
      </c>
      <c r="F1810" s="3">
        <v>0.0</v>
      </c>
    </row>
    <row r="1811" ht="12.75" customHeight="1">
      <c r="A1811" s="1">
        <v>0.0</v>
      </c>
      <c r="B1811" s="2" t="s">
        <v>4038</v>
      </c>
      <c r="C1811" s="1" t="s">
        <v>4039</v>
      </c>
      <c r="D1811" s="1" t="s">
        <v>4040</v>
      </c>
      <c r="E1811" s="3">
        <v>1.0</v>
      </c>
      <c r="F1811" s="3">
        <v>0.0</v>
      </c>
    </row>
    <row r="1812" ht="12.75" customHeight="1">
      <c r="A1812" s="1">
        <v>0.0</v>
      </c>
      <c r="B1812" s="2" t="s">
        <v>2591</v>
      </c>
      <c r="C1812" s="1" t="s">
        <v>2592</v>
      </c>
      <c r="D1812" s="1" t="s">
        <v>936</v>
      </c>
      <c r="E1812" s="3">
        <v>1.0</v>
      </c>
      <c r="F1812" s="3">
        <v>0.0</v>
      </c>
    </row>
    <row r="1813" ht="12.75" customHeight="1">
      <c r="A1813" s="1">
        <v>0.0</v>
      </c>
      <c r="B1813" s="2" t="s">
        <v>3412</v>
      </c>
      <c r="C1813" s="1" t="s">
        <v>3413</v>
      </c>
      <c r="D1813" s="1" t="s">
        <v>3414</v>
      </c>
      <c r="E1813" s="3">
        <v>1.0</v>
      </c>
      <c r="F1813" s="3">
        <v>0.0</v>
      </c>
    </row>
    <row r="1814" ht="12.75" customHeight="1">
      <c r="A1814" s="1">
        <v>0.0</v>
      </c>
      <c r="B1814" s="2" t="s">
        <v>3704</v>
      </c>
      <c r="C1814" s="1" t="s">
        <v>3705</v>
      </c>
      <c r="D1814" s="1" t="s">
        <v>3706</v>
      </c>
      <c r="E1814" s="3">
        <v>1.0</v>
      </c>
      <c r="F1814" s="3">
        <v>0.0</v>
      </c>
    </row>
    <row r="1815" ht="12.75" customHeight="1">
      <c r="A1815" s="1">
        <v>0.0</v>
      </c>
      <c r="B1815" s="2" t="s">
        <v>3590</v>
      </c>
      <c r="C1815" s="1" t="s">
        <v>3591</v>
      </c>
      <c r="D1815" s="1" t="s">
        <v>1246</v>
      </c>
      <c r="E1815" s="3">
        <v>1.0</v>
      </c>
      <c r="F1815" s="3">
        <v>0.0</v>
      </c>
    </row>
    <row r="1816" ht="12.75" customHeight="1">
      <c r="A1816" s="1">
        <v>0.0</v>
      </c>
      <c r="B1816" s="2" t="s">
        <v>2593</v>
      </c>
      <c r="C1816" s="1" t="s">
        <v>2594</v>
      </c>
      <c r="D1816" s="1" t="s">
        <v>936</v>
      </c>
      <c r="E1816" s="3">
        <v>1.0</v>
      </c>
      <c r="F1816" s="3">
        <v>0.0</v>
      </c>
    </row>
    <row r="1817" ht="12.75" customHeight="1">
      <c r="A1817" s="1">
        <v>0.0</v>
      </c>
      <c r="B1817" s="2" t="s">
        <v>3592</v>
      </c>
      <c r="C1817" s="1" t="s">
        <v>3593</v>
      </c>
      <c r="D1817" s="1" t="s">
        <v>1246</v>
      </c>
      <c r="E1817" s="3">
        <v>1.0</v>
      </c>
      <c r="F1817" s="3">
        <v>0.0</v>
      </c>
    </row>
    <row r="1818" ht="12.75" customHeight="1">
      <c r="A1818" s="1">
        <v>0.0</v>
      </c>
      <c r="B1818" s="2" t="s">
        <v>1707</v>
      </c>
      <c r="C1818" s="1" t="s">
        <v>1708</v>
      </c>
      <c r="D1818" s="1" t="s">
        <v>1709</v>
      </c>
      <c r="E1818" s="3">
        <v>1.0</v>
      </c>
      <c r="F1818" s="3">
        <v>0.0</v>
      </c>
    </row>
    <row r="1819" ht="12.75" customHeight="1">
      <c r="A1819" s="1">
        <v>0.0</v>
      </c>
      <c r="B1819" s="2" t="s">
        <v>2956</v>
      </c>
      <c r="C1819" s="1" t="s">
        <v>2957</v>
      </c>
      <c r="D1819" s="1" t="s">
        <v>2958</v>
      </c>
      <c r="E1819" s="3">
        <v>1.0</v>
      </c>
      <c r="F1819" s="3">
        <v>0.0</v>
      </c>
    </row>
    <row r="1820" ht="12.75" customHeight="1">
      <c r="A1820" s="1">
        <v>0.0</v>
      </c>
      <c r="B1820" s="2" t="s">
        <v>3080</v>
      </c>
      <c r="C1820" s="1" t="s">
        <v>3081</v>
      </c>
      <c r="D1820" s="1" t="s">
        <v>1418</v>
      </c>
      <c r="E1820" s="3">
        <v>1.0</v>
      </c>
      <c r="F1820" s="3">
        <v>0.0</v>
      </c>
    </row>
    <row r="1821" ht="12.75" customHeight="1">
      <c r="A1821" s="1">
        <v>0.0</v>
      </c>
      <c r="B1821" s="2" t="s">
        <v>2947</v>
      </c>
      <c r="C1821" s="1" t="s">
        <v>2948</v>
      </c>
      <c r="D1821" s="1" t="s">
        <v>1097</v>
      </c>
      <c r="E1821" s="3">
        <v>1.0</v>
      </c>
      <c r="F1821" s="3">
        <v>0.0</v>
      </c>
    </row>
    <row r="1822" ht="12.75" customHeight="1">
      <c r="A1822" s="1">
        <v>0.0</v>
      </c>
      <c r="B1822" s="2" t="s">
        <v>2746</v>
      </c>
      <c r="C1822" s="1" t="s">
        <v>2747</v>
      </c>
      <c r="D1822" s="1" t="s">
        <v>1044</v>
      </c>
      <c r="E1822" s="3">
        <v>1.0</v>
      </c>
      <c r="F1822" s="3">
        <v>0.0</v>
      </c>
    </row>
    <row r="1823" ht="12.75" customHeight="1">
      <c r="A1823" s="1">
        <v>0.0</v>
      </c>
      <c r="B1823" s="2" t="s">
        <v>2989</v>
      </c>
      <c r="C1823" s="1" t="s">
        <v>2990</v>
      </c>
      <c r="D1823" s="1" t="s">
        <v>2991</v>
      </c>
      <c r="E1823" s="3">
        <v>1.0</v>
      </c>
      <c r="F1823" s="3">
        <v>0.0</v>
      </c>
    </row>
    <row r="1824" ht="12.75" customHeight="1">
      <c r="A1824" s="1">
        <v>0.0</v>
      </c>
      <c r="B1824" s="2" t="s">
        <v>5238</v>
      </c>
      <c r="C1824" s="1" t="s">
        <v>5239</v>
      </c>
      <c r="D1824" s="1" t="s">
        <v>5178</v>
      </c>
      <c r="E1824" s="3">
        <v>1.0</v>
      </c>
      <c r="F1824" s="3">
        <v>0.0</v>
      </c>
    </row>
    <row r="1825" ht="12.75" customHeight="1">
      <c r="A1825" s="1">
        <v>0.0</v>
      </c>
      <c r="B1825" s="2" t="s">
        <v>1926</v>
      </c>
      <c r="C1825" s="1" t="s">
        <v>1927</v>
      </c>
      <c r="D1825" s="1" t="s">
        <v>736</v>
      </c>
      <c r="E1825" s="3">
        <v>1.0</v>
      </c>
      <c r="F1825" s="3">
        <v>0.0</v>
      </c>
    </row>
    <row r="1826" ht="12.75" customHeight="1">
      <c r="A1826" s="1">
        <v>0.0</v>
      </c>
      <c r="B1826" s="2">
        <v>567573.0</v>
      </c>
      <c r="C1826" s="1" t="s">
        <v>3660</v>
      </c>
      <c r="D1826" s="1" t="s">
        <v>3661</v>
      </c>
      <c r="E1826" s="3">
        <v>1.0</v>
      </c>
      <c r="F1826" s="3">
        <v>0.0</v>
      </c>
    </row>
    <row r="1827" ht="12.75" customHeight="1">
      <c r="A1827" s="1">
        <v>0.0</v>
      </c>
      <c r="B1827" s="2">
        <v>567594.0</v>
      </c>
      <c r="C1827" s="1" t="s">
        <v>3395</v>
      </c>
      <c r="D1827" s="1" t="s">
        <v>3396</v>
      </c>
      <c r="E1827" s="3">
        <v>1.0</v>
      </c>
      <c r="F1827" s="3">
        <v>0.0</v>
      </c>
    </row>
    <row r="1828" ht="12.75" customHeight="1">
      <c r="A1828" s="1">
        <v>0.0</v>
      </c>
      <c r="B1828" s="2" t="s">
        <v>3996</v>
      </c>
      <c r="C1828" s="1" t="s">
        <v>3997</v>
      </c>
      <c r="D1828" s="1" t="s">
        <v>3998</v>
      </c>
      <c r="E1828" s="3">
        <v>1.0</v>
      </c>
      <c r="F1828" s="3">
        <v>0.0</v>
      </c>
    </row>
    <row r="1829" ht="12.75" customHeight="1">
      <c r="A1829" s="1">
        <v>0.0</v>
      </c>
      <c r="B1829" s="2" t="s">
        <v>3085</v>
      </c>
      <c r="C1829" s="1" t="s">
        <v>3086</v>
      </c>
      <c r="D1829" s="1" t="s">
        <v>3087</v>
      </c>
      <c r="E1829" s="3">
        <v>1.0</v>
      </c>
      <c r="F1829" s="3">
        <v>0.0</v>
      </c>
    </row>
    <row r="1830" ht="12.75" customHeight="1">
      <c r="A1830" s="1">
        <v>0.0</v>
      </c>
      <c r="B1830" s="2" t="s">
        <v>1749</v>
      </c>
      <c r="C1830" s="1" t="s">
        <v>1750</v>
      </c>
      <c r="D1830" s="1" t="s">
        <v>1751</v>
      </c>
      <c r="E1830" s="3">
        <v>1.0</v>
      </c>
      <c r="F1830" s="3">
        <v>0.0</v>
      </c>
    </row>
    <row r="1831" ht="12.75" customHeight="1">
      <c r="A1831" s="1">
        <v>0.0</v>
      </c>
      <c r="B1831" s="2" t="s">
        <v>4027</v>
      </c>
      <c r="C1831" s="1" t="s">
        <v>4028</v>
      </c>
      <c r="D1831" s="1" t="s">
        <v>4029</v>
      </c>
      <c r="E1831" s="3">
        <v>1.0</v>
      </c>
      <c r="F1831" s="3">
        <v>0.0</v>
      </c>
    </row>
    <row r="1832" ht="12.75" customHeight="1">
      <c r="A1832" s="1">
        <v>0.0</v>
      </c>
      <c r="B1832" s="2" t="s">
        <v>3578</v>
      </c>
      <c r="C1832" s="1" t="s">
        <v>3579</v>
      </c>
      <c r="D1832" s="1" t="s">
        <v>1244</v>
      </c>
      <c r="E1832" s="3">
        <v>1.0</v>
      </c>
      <c r="F1832" s="3">
        <v>0.0</v>
      </c>
    </row>
    <row r="1833" ht="12.75" customHeight="1">
      <c r="A1833" s="1">
        <v>0.0</v>
      </c>
      <c r="B1833" s="2" t="s">
        <v>5240</v>
      </c>
      <c r="C1833" s="1" t="s">
        <v>5241</v>
      </c>
      <c r="D1833" s="1" t="s">
        <v>5178</v>
      </c>
      <c r="E1833" s="3">
        <v>1.0</v>
      </c>
      <c r="F1833" s="3">
        <v>0.0</v>
      </c>
    </row>
    <row r="1834" ht="12.75" customHeight="1">
      <c r="A1834" s="1">
        <v>0.0</v>
      </c>
      <c r="B1834" s="2" t="s">
        <v>2980</v>
      </c>
      <c r="C1834" s="1" t="s">
        <v>2981</v>
      </c>
      <c r="D1834" s="1" t="s">
        <v>1114</v>
      </c>
      <c r="E1834" s="3">
        <v>1.0</v>
      </c>
      <c r="F1834" s="3">
        <v>0.0</v>
      </c>
    </row>
    <row r="1835" ht="12.75" customHeight="1">
      <c r="A1835" s="1">
        <v>0.0</v>
      </c>
      <c r="B1835" s="2" t="s">
        <v>2982</v>
      </c>
      <c r="C1835" s="1" t="s">
        <v>2983</v>
      </c>
      <c r="D1835" s="1" t="s">
        <v>1114</v>
      </c>
      <c r="E1835" s="3">
        <v>1.0</v>
      </c>
      <c r="F1835" s="3">
        <v>0.0</v>
      </c>
    </row>
    <row r="1836" ht="12.75" customHeight="1">
      <c r="A1836" s="1">
        <v>0.0</v>
      </c>
      <c r="B1836" s="2" t="s">
        <v>3487</v>
      </c>
      <c r="C1836" s="1" t="s">
        <v>3488</v>
      </c>
      <c r="D1836" s="1" t="s">
        <v>1204</v>
      </c>
      <c r="E1836" s="3">
        <v>1.0</v>
      </c>
      <c r="F1836" s="3">
        <v>0.0</v>
      </c>
    </row>
    <row r="1837" ht="12.75" customHeight="1">
      <c r="A1837" s="1">
        <v>0.0</v>
      </c>
      <c r="B1837" s="2" t="s">
        <v>2949</v>
      </c>
      <c r="C1837" s="1" t="s">
        <v>2950</v>
      </c>
      <c r="D1837" s="1" t="s">
        <v>1097</v>
      </c>
      <c r="E1837" s="3">
        <v>1.0</v>
      </c>
      <c r="F1837" s="3">
        <v>0.0</v>
      </c>
    </row>
    <row r="1838" ht="12.75" customHeight="1">
      <c r="A1838" s="1">
        <v>0.0</v>
      </c>
      <c r="B1838" s="2" t="s">
        <v>2515</v>
      </c>
      <c r="C1838" s="1" t="s">
        <v>2516</v>
      </c>
      <c r="D1838" s="1" t="s">
        <v>912</v>
      </c>
      <c r="E1838" s="3">
        <v>1.0</v>
      </c>
      <c r="F1838" s="3">
        <v>0.0</v>
      </c>
    </row>
    <row r="1839" ht="12.75" customHeight="1">
      <c r="A1839" s="1">
        <v>0.0</v>
      </c>
      <c r="B1839" s="2" t="s">
        <v>1990</v>
      </c>
      <c r="C1839" s="1" t="s">
        <v>1991</v>
      </c>
      <c r="D1839" s="1" t="s">
        <v>1992</v>
      </c>
      <c r="E1839" s="3">
        <v>1.0</v>
      </c>
      <c r="F1839" s="3">
        <v>0.0</v>
      </c>
    </row>
    <row r="1840" ht="12.75" customHeight="1">
      <c r="A1840" s="1">
        <v>0.0</v>
      </c>
      <c r="B1840" s="2" t="s">
        <v>5242</v>
      </c>
      <c r="C1840" s="1" t="s">
        <v>5243</v>
      </c>
      <c r="D1840" s="1" t="s">
        <v>3991</v>
      </c>
      <c r="E1840" s="3">
        <v>1.0</v>
      </c>
      <c r="F1840" s="3">
        <v>0.0</v>
      </c>
    </row>
    <row r="1841" ht="12.75" customHeight="1">
      <c r="A1841" s="1">
        <v>0.0</v>
      </c>
      <c r="B1841" s="2" t="s">
        <v>2543</v>
      </c>
      <c r="C1841" s="1" t="s">
        <v>2544</v>
      </c>
      <c r="D1841" s="1" t="s">
        <v>934</v>
      </c>
      <c r="E1841" s="3">
        <v>1.0</v>
      </c>
      <c r="F1841" s="3">
        <v>0.0</v>
      </c>
    </row>
    <row r="1842" ht="12.75" customHeight="1">
      <c r="A1842" s="1">
        <v>0.0</v>
      </c>
      <c r="B1842" s="2" t="s">
        <v>2186</v>
      </c>
      <c r="C1842" s="1" t="s">
        <v>2187</v>
      </c>
      <c r="D1842" s="1" t="s">
        <v>801</v>
      </c>
      <c r="E1842" s="3">
        <v>1.0</v>
      </c>
      <c r="F1842" s="3">
        <v>0.0</v>
      </c>
    </row>
    <row r="1843" ht="12.75" customHeight="1">
      <c r="A1843" s="1">
        <v>0.0</v>
      </c>
      <c r="B1843" s="2" t="s">
        <v>4025</v>
      </c>
      <c r="C1843" s="1" t="s">
        <v>4026</v>
      </c>
      <c r="D1843" s="1" t="s">
        <v>1353</v>
      </c>
      <c r="E1843" s="3">
        <v>1.0</v>
      </c>
      <c r="F1843" s="3">
        <v>0.0</v>
      </c>
    </row>
    <row r="1844" ht="12.75" customHeight="1">
      <c r="A1844" s="1">
        <v>0.0</v>
      </c>
      <c r="B1844" s="2">
        <v>567603.0</v>
      </c>
      <c r="C1844" s="1" t="s">
        <v>2677</v>
      </c>
      <c r="D1844" s="1" t="s">
        <v>2678</v>
      </c>
      <c r="E1844" s="3">
        <v>1.0</v>
      </c>
      <c r="F1844" s="3">
        <v>0.0</v>
      </c>
    </row>
    <row r="1845" ht="12.75" customHeight="1">
      <c r="A1845" s="1">
        <v>0.0</v>
      </c>
      <c r="B1845" s="2">
        <v>567642.0</v>
      </c>
      <c r="C1845" s="1" t="s">
        <v>2853</v>
      </c>
      <c r="D1845" s="1" t="s">
        <v>2854</v>
      </c>
      <c r="E1845" s="3">
        <v>1.0</v>
      </c>
      <c r="F1845" s="3">
        <v>0.0</v>
      </c>
    </row>
    <row r="1846" ht="12.75" customHeight="1">
      <c r="A1846" s="1">
        <v>0.0</v>
      </c>
      <c r="B1846" s="2">
        <v>567674.0</v>
      </c>
      <c r="C1846" s="1" t="s">
        <v>3445</v>
      </c>
      <c r="D1846" s="1" t="s">
        <v>3446</v>
      </c>
      <c r="E1846" s="3">
        <v>1.0</v>
      </c>
      <c r="F1846" s="3">
        <v>0.0</v>
      </c>
    </row>
    <row r="1847" ht="12.75" customHeight="1">
      <c r="A1847" s="1">
        <v>0.0</v>
      </c>
      <c r="B1847" s="2">
        <v>567679.0</v>
      </c>
      <c r="C1847" s="1" t="s">
        <v>3397</v>
      </c>
      <c r="D1847" s="1" t="s">
        <v>3396</v>
      </c>
      <c r="E1847" s="3">
        <v>1.0</v>
      </c>
      <c r="F1847" s="3">
        <v>0.0</v>
      </c>
    </row>
    <row r="1848" ht="12.75" customHeight="1">
      <c r="A1848" s="1">
        <v>0.0</v>
      </c>
      <c r="B1848" s="2" t="s">
        <v>2847</v>
      </c>
      <c r="C1848" s="1" t="s">
        <v>2848</v>
      </c>
      <c r="D1848" s="1" t="s">
        <v>2849</v>
      </c>
      <c r="E1848" s="3">
        <v>1.0</v>
      </c>
      <c r="F1848" s="3">
        <v>0.0</v>
      </c>
    </row>
    <row r="1849" ht="12.75" customHeight="1">
      <c r="A1849" s="1">
        <v>0.0</v>
      </c>
      <c r="B1849" s="2" t="s">
        <v>2144</v>
      </c>
      <c r="C1849" s="1" t="s">
        <v>2145</v>
      </c>
      <c r="D1849" s="1" t="s">
        <v>2146</v>
      </c>
      <c r="E1849" s="3">
        <v>1.0</v>
      </c>
      <c r="F1849" s="3">
        <v>0.0</v>
      </c>
    </row>
    <row r="1850" ht="12.75" customHeight="1">
      <c r="A1850" s="1">
        <v>0.0</v>
      </c>
      <c r="B1850" s="2" t="s">
        <v>2726</v>
      </c>
      <c r="C1850" s="1" t="s">
        <v>2727</v>
      </c>
      <c r="D1850" s="1" t="s">
        <v>2728</v>
      </c>
      <c r="E1850" s="3">
        <v>1.0</v>
      </c>
      <c r="F1850" s="3">
        <v>0.0</v>
      </c>
    </row>
    <row r="1851" ht="12.75" customHeight="1">
      <c r="A1851" s="1">
        <v>0.0</v>
      </c>
      <c r="B1851" s="2" t="s">
        <v>2951</v>
      </c>
      <c r="C1851" s="1" t="s">
        <v>2952</v>
      </c>
      <c r="D1851" s="1" t="s">
        <v>1097</v>
      </c>
      <c r="E1851" s="3">
        <v>1.0</v>
      </c>
      <c r="F1851" s="3">
        <v>0.0</v>
      </c>
    </row>
    <row r="1852" ht="12.75" customHeight="1">
      <c r="A1852" s="1">
        <v>0.0</v>
      </c>
      <c r="B1852" s="2" t="s">
        <v>3072</v>
      </c>
      <c r="C1852" s="1" t="s">
        <v>3073</v>
      </c>
      <c r="D1852" s="1" t="s">
        <v>1120</v>
      </c>
      <c r="E1852" s="3">
        <v>1.0</v>
      </c>
      <c r="F1852" s="3">
        <v>0.0</v>
      </c>
    </row>
    <row r="1853" ht="12.75" customHeight="1">
      <c r="A1853" s="1">
        <v>0.0</v>
      </c>
      <c r="B1853" s="2" t="s">
        <v>1920</v>
      </c>
      <c r="C1853" s="1" t="s">
        <v>1921</v>
      </c>
      <c r="D1853" s="1" t="s">
        <v>718</v>
      </c>
      <c r="E1853" s="3">
        <v>1.0</v>
      </c>
      <c r="F1853" s="3">
        <v>0.0</v>
      </c>
    </row>
    <row r="1854" ht="12.75" customHeight="1">
      <c r="A1854" s="1">
        <v>0.0</v>
      </c>
      <c r="B1854" s="2" t="s">
        <v>3951</v>
      </c>
      <c r="C1854" s="1" t="s">
        <v>3952</v>
      </c>
      <c r="D1854" s="1" t="s">
        <v>3953</v>
      </c>
      <c r="E1854" s="3">
        <v>1.0</v>
      </c>
      <c r="F1854" s="3">
        <v>0.0</v>
      </c>
    </row>
    <row r="1855" ht="12.75" customHeight="1">
      <c r="A1855" s="1">
        <v>0.0</v>
      </c>
      <c r="B1855" s="2" t="s">
        <v>5244</v>
      </c>
      <c r="C1855" s="1" t="s">
        <v>5245</v>
      </c>
      <c r="D1855" s="1" t="s">
        <v>5246</v>
      </c>
      <c r="E1855" s="3">
        <v>1.0</v>
      </c>
      <c r="F1855" s="3">
        <v>0.0</v>
      </c>
    </row>
    <row r="1856" ht="12.75" customHeight="1">
      <c r="A1856" s="1">
        <v>0.0</v>
      </c>
      <c r="B1856" s="2" t="s">
        <v>5247</v>
      </c>
      <c r="C1856" s="1" t="s">
        <v>5248</v>
      </c>
      <c r="D1856" s="1" t="s">
        <v>5249</v>
      </c>
      <c r="E1856" s="3">
        <v>1.0</v>
      </c>
      <c r="F1856" s="3">
        <v>0.0</v>
      </c>
    </row>
    <row r="1857" ht="12.75" customHeight="1">
      <c r="A1857" s="1">
        <v>0.0</v>
      </c>
      <c r="B1857" s="2" t="s">
        <v>5250</v>
      </c>
      <c r="C1857" s="1" t="s">
        <v>5251</v>
      </c>
      <c r="D1857" s="1" t="s">
        <v>5252</v>
      </c>
      <c r="E1857" s="3">
        <v>1.0</v>
      </c>
      <c r="F1857" s="3">
        <v>0.0</v>
      </c>
    </row>
    <row r="1858" ht="12.75" customHeight="1">
      <c r="A1858" s="1">
        <v>0.0</v>
      </c>
      <c r="B1858" s="2" t="s">
        <v>2133</v>
      </c>
      <c r="C1858" s="1" t="s">
        <v>2134</v>
      </c>
      <c r="D1858" s="1" t="s">
        <v>2135</v>
      </c>
      <c r="E1858" s="3">
        <v>1.0</v>
      </c>
      <c r="F1858" s="3">
        <v>0.0</v>
      </c>
    </row>
    <row r="1859" ht="12.75" customHeight="1">
      <c r="A1859" s="1">
        <v>0.0</v>
      </c>
      <c r="B1859" s="2" t="s">
        <v>1734</v>
      </c>
      <c r="C1859" s="1" t="s">
        <v>1735</v>
      </c>
      <c r="D1859" s="1" t="s">
        <v>1736</v>
      </c>
      <c r="E1859" s="3">
        <v>1.0</v>
      </c>
      <c r="F1859" s="3">
        <v>0.0</v>
      </c>
    </row>
    <row r="1860" ht="12.75" customHeight="1">
      <c r="A1860" s="1">
        <v>0.0</v>
      </c>
      <c r="B1860" s="2" t="s">
        <v>5253</v>
      </c>
      <c r="C1860" s="1" t="s">
        <v>5254</v>
      </c>
      <c r="D1860" s="1" t="s">
        <v>5255</v>
      </c>
      <c r="E1860" s="3">
        <v>1.0</v>
      </c>
      <c r="F1860" s="3">
        <v>0.0</v>
      </c>
    </row>
    <row r="1861" ht="12.75" customHeight="1">
      <c r="A1861" s="1">
        <v>0.0</v>
      </c>
      <c r="B1861" s="2" t="s">
        <v>4048</v>
      </c>
      <c r="C1861" s="1" t="s">
        <v>4049</v>
      </c>
      <c r="D1861" s="1" t="s">
        <v>4050</v>
      </c>
      <c r="E1861" s="3">
        <v>1.0</v>
      </c>
      <c r="F1861" s="3">
        <v>0.0</v>
      </c>
    </row>
    <row r="1862" ht="12.75" customHeight="1">
      <c r="A1862" s="1">
        <v>0.0</v>
      </c>
      <c r="B1862" s="2" t="s">
        <v>3843</v>
      </c>
      <c r="C1862" s="1" t="s">
        <v>1339</v>
      </c>
      <c r="D1862" s="1" t="s">
        <v>3844</v>
      </c>
      <c r="E1862" s="3">
        <v>1.0</v>
      </c>
      <c r="F1862" s="3">
        <v>0.0</v>
      </c>
    </row>
    <row r="1863" ht="12.75" customHeight="1">
      <c r="A1863" s="1">
        <v>0.0</v>
      </c>
      <c r="B1863" s="2">
        <v>760810.0</v>
      </c>
      <c r="C1863" s="1" t="s">
        <v>5256</v>
      </c>
      <c r="D1863" s="1" t="s">
        <v>4694</v>
      </c>
      <c r="E1863" s="3">
        <v>1.0</v>
      </c>
      <c r="F1863" s="3">
        <v>0.0</v>
      </c>
    </row>
    <row r="1864" ht="12.75" customHeight="1">
      <c r="A1864" s="1">
        <v>0.0</v>
      </c>
      <c r="B1864" s="2">
        <v>780150.0</v>
      </c>
      <c r="C1864" s="1" t="s">
        <v>5257</v>
      </c>
      <c r="D1864" s="1" t="s">
        <v>5258</v>
      </c>
      <c r="E1864" s="3">
        <v>1.0</v>
      </c>
      <c r="F1864" s="3">
        <v>0.0</v>
      </c>
    </row>
    <row r="1865" ht="12.75" customHeight="1">
      <c r="A1865" s="1">
        <v>0.0</v>
      </c>
      <c r="B1865" s="2">
        <v>860406.0</v>
      </c>
      <c r="C1865" s="1" t="s">
        <v>3715</v>
      </c>
      <c r="D1865" s="1" t="s">
        <v>246</v>
      </c>
      <c r="E1865" s="3">
        <v>1.0</v>
      </c>
      <c r="F1865" s="3">
        <v>0.0</v>
      </c>
    </row>
    <row r="1866" ht="12.75" customHeight="1">
      <c r="A1866" s="1">
        <v>0.0</v>
      </c>
      <c r="B1866" s="2">
        <v>1000102.0</v>
      </c>
      <c r="C1866" s="1" t="s">
        <v>753</v>
      </c>
      <c r="D1866" s="1" t="s">
        <v>2007</v>
      </c>
      <c r="E1866" s="3">
        <v>1.0</v>
      </c>
      <c r="F1866" s="3">
        <v>0.0</v>
      </c>
    </row>
    <row r="1867" ht="12.75" customHeight="1">
      <c r="A1867" s="1">
        <v>0.0</v>
      </c>
      <c r="B1867" s="2">
        <v>1000139.0</v>
      </c>
      <c r="C1867" s="1" t="s">
        <v>753</v>
      </c>
      <c r="D1867" s="1" t="s">
        <v>839</v>
      </c>
      <c r="E1867" s="3">
        <v>1.0</v>
      </c>
      <c r="F1867" s="3">
        <v>0.0</v>
      </c>
    </row>
    <row r="1868" ht="12.75" customHeight="1">
      <c r="A1868" s="1">
        <v>0.0</v>
      </c>
      <c r="B1868" s="2">
        <v>1130801.0</v>
      </c>
      <c r="C1868" s="1" t="s">
        <v>5259</v>
      </c>
      <c r="D1868" s="1" t="s">
        <v>5260</v>
      </c>
      <c r="E1868" s="3">
        <v>1.0</v>
      </c>
      <c r="F1868" s="3">
        <v>0.0</v>
      </c>
    </row>
    <row r="1869" ht="12.75" customHeight="1">
      <c r="A1869" s="1">
        <v>0.0</v>
      </c>
      <c r="B1869" s="2">
        <v>1130802.0</v>
      </c>
      <c r="C1869" s="1" t="s">
        <v>1807</v>
      </c>
      <c r="D1869" s="1" t="s">
        <v>695</v>
      </c>
      <c r="E1869" s="3">
        <v>1.0</v>
      </c>
      <c r="F1869" s="3">
        <v>0.0</v>
      </c>
    </row>
    <row r="1870" ht="12.75" customHeight="1">
      <c r="A1870" s="1">
        <v>0.0</v>
      </c>
      <c r="B1870" s="2">
        <v>1130803.0</v>
      </c>
      <c r="C1870" s="1" t="s">
        <v>2312</v>
      </c>
      <c r="D1870" s="1" t="s">
        <v>854</v>
      </c>
      <c r="E1870" s="3">
        <v>1.0</v>
      </c>
      <c r="F1870" s="3">
        <v>0.0</v>
      </c>
    </row>
    <row r="1871" ht="12.75" customHeight="1">
      <c r="A1871" s="1">
        <v>0.0</v>
      </c>
      <c r="B1871" s="2">
        <v>1130804.0</v>
      </c>
      <c r="C1871" s="1" t="s">
        <v>3398</v>
      </c>
      <c r="D1871" s="1" t="s">
        <v>3396</v>
      </c>
      <c r="E1871" s="3">
        <v>1.0</v>
      </c>
      <c r="F1871" s="3">
        <v>0.0</v>
      </c>
    </row>
    <row r="1872" ht="12.75" customHeight="1">
      <c r="A1872" s="1">
        <v>0.0</v>
      </c>
      <c r="B1872" s="2">
        <v>1130806.0</v>
      </c>
      <c r="C1872" s="1" t="s">
        <v>3608</v>
      </c>
      <c r="D1872" s="1" t="s">
        <v>3609</v>
      </c>
      <c r="E1872" s="3">
        <v>1.0</v>
      </c>
      <c r="F1872" s="3">
        <v>0.0</v>
      </c>
    </row>
    <row r="1873" ht="12.75" customHeight="1">
      <c r="A1873" s="1">
        <v>0.0</v>
      </c>
      <c r="B1873" s="2">
        <v>1130808.0</v>
      </c>
      <c r="C1873" s="1" t="s">
        <v>4002</v>
      </c>
      <c r="D1873" s="1" t="s">
        <v>1353</v>
      </c>
      <c r="E1873" s="3">
        <v>1.0</v>
      </c>
      <c r="F1873" s="3">
        <v>0.0</v>
      </c>
    </row>
    <row r="1874" ht="12.75" customHeight="1">
      <c r="A1874" s="1">
        <v>0.0</v>
      </c>
      <c r="B1874" s="2">
        <v>1130811.0</v>
      </c>
      <c r="C1874" s="1" t="s">
        <v>3559</v>
      </c>
      <c r="D1874" s="1" t="s">
        <v>3560</v>
      </c>
      <c r="E1874" s="3">
        <v>1.0</v>
      </c>
      <c r="F1874" s="3">
        <v>0.0</v>
      </c>
    </row>
    <row r="1875" ht="12.75" customHeight="1">
      <c r="A1875" s="1">
        <v>0.0</v>
      </c>
      <c r="B1875" s="2">
        <v>1130812.0</v>
      </c>
      <c r="C1875" s="1" t="s">
        <v>4003</v>
      </c>
      <c r="D1875" s="1" t="s">
        <v>1353</v>
      </c>
      <c r="E1875" s="3">
        <v>1.0</v>
      </c>
      <c r="F1875" s="3">
        <v>0.0</v>
      </c>
    </row>
    <row r="1876" ht="12.75" customHeight="1">
      <c r="A1876" s="1">
        <v>0.0</v>
      </c>
      <c r="B1876" s="2">
        <v>1130818.0</v>
      </c>
      <c r="C1876" s="1" t="s">
        <v>3192</v>
      </c>
      <c r="D1876" s="1" t="s">
        <v>3193</v>
      </c>
      <c r="E1876" s="3">
        <v>1.0</v>
      </c>
      <c r="F1876" s="3">
        <v>0.0</v>
      </c>
    </row>
    <row r="1877" ht="12.75" customHeight="1">
      <c r="A1877" s="1">
        <v>0.0</v>
      </c>
      <c r="B1877" s="2">
        <v>1130823.0</v>
      </c>
      <c r="C1877" s="1" t="s">
        <v>3088</v>
      </c>
      <c r="D1877" s="1" t="s">
        <v>3089</v>
      </c>
      <c r="E1877" s="3">
        <v>1.0</v>
      </c>
      <c r="F1877" s="3">
        <v>0.0</v>
      </c>
    </row>
    <row r="1878" ht="12.75" customHeight="1">
      <c r="A1878" s="1">
        <v>0.0</v>
      </c>
      <c r="B1878" s="2">
        <v>1130828.0</v>
      </c>
      <c r="C1878" s="1" t="s">
        <v>3172</v>
      </c>
      <c r="D1878" s="1" t="s">
        <v>3173</v>
      </c>
      <c r="E1878" s="3">
        <v>1.0</v>
      </c>
      <c r="F1878" s="3">
        <v>0.0</v>
      </c>
    </row>
    <row r="1879" ht="12.75" customHeight="1">
      <c r="A1879" s="1">
        <v>0.0</v>
      </c>
      <c r="B1879" s="2">
        <v>1130834.0</v>
      </c>
      <c r="C1879" s="1" t="s">
        <v>2548</v>
      </c>
      <c r="D1879" s="1" t="s">
        <v>936</v>
      </c>
      <c r="E1879" s="3">
        <v>1.0</v>
      </c>
      <c r="F1879" s="3">
        <v>0.0</v>
      </c>
    </row>
    <row r="1880" ht="12.75" customHeight="1">
      <c r="A1880" s="1">
        <v>0.0</v>
      </c>
      <c r="B1880" s="2">
        <v>1130835.0</v>
      </c>
      <c r="C1880" s="1" t="s">
        <v>2305</v>
      </c>
      <c r="D1880" s="1" t="s">
        <v>2306</v>
      </c>
      <c r="E1880" s="3">
        <v>1.0</v>
      </c>
      <c r="F1880" s="3">
        <v>0.0</v>
      </c>
    </row>
    <row r="1881" ht="12.75" customHeight="1">
      <c r="A1881" s="1">
        <v>0.0</v>
      </c>
      <c r="B1881" s="2">
        <v>1130836.0</v>
      </c>
      <c r="C1881" s="1" t="s">
        <v>3990</v>
      </c>
      <c r="D1881" s="1" t="s">
        <v>3991</v>
      </c>
      <c r="E1881" s="3">
        <v>1.0</v>
      </c>
      <c r="F1881" s="3">
        <v>0.0</v>
      </c>
    </row>
    <row r="1882" ht="12.75" customHeight="1">
      <c r="A1882" s="1">
        <v>0.0</v>
      </c>
      <c r="B1882" s="2">
        <v>1130842.0</v>
      </c>
      <c r="C1882" s="1" t="s">
        <v>4036</v>
      </c>
      <c r="D1882" s="1" t="s">
        <v>4037</v>
      </c>
      <c r="E1882" s="3">
        <v>1.0</v>
      </c>
      <c r="F1882" s="3">
        <v>0.0</v>
      </c>
    </row>
    <row r="1883" ht="12.75" customHeight="1">
      <c r="A1883" s="1">
        <v>0.0</v>
      </c>
      <c r="B1883" s="2">
        <v>1130844.0</v>
      </c>
      <c r="C1883" s="1" t="s">
        <v>2965</v>
      </c>
      <c r="D1883" s="1" t="s">
        <v>1114</v>
      </c>
      <c r="E1883" s="3">
        <v>1.0</v>
      </c>
      <c r="F1883" s="3">
        <v>0.0</v>
      </c>
    </row>
    <row r="1884" ht="12.75" customHeight="1">
      <c r="A1884" s="1">
        <v>0.0</v>
      </c>
      <c r="B1884" s="2">
        <v>1130860.0</v>
      </c>
      <c r="C1884" s="1" t="s">
        <v>4004</v>
      </c>
      <c r="D1884" s="1" t="s">
        <v>1353</v>
      </c>
      <c r="E1884" s="3">
        <v>1.0</v>
      </c>
      <c r="F1884" s="3">
        <v>0.0</v>
      </c>
    </row>
    <row r="1885" ht="12.75" customHeight="1">
      <c r="A1885" s="1">
        <v>0.0</v>
      </c>
      <c r="B1885" s="2">
        <v>1130862.0</v>
      </c>
      <c r="C1885" s="1" t="s">
        <v>3992</v>
      </c>
      <c r="D1885" s="1" t="s">
        <v>3991</v>
      </c>
      <c r="E1885" s="3">
        <v>1.0</v>
      </c>
      <c r="F1885" s="3">
        <v>0.0</v>
      </c>
    </row>
    <row r="1886" ht="12.75" customHeight="1">
      <c r="A1886" s="1">
        <v>0.0</v>
      </c>
      <c r="B1886" s="2">
        <v>1130865.0</v>
      </c>
      <c r="C1886" s="1" t="s">
        <v>1796</v>
      </c>
      <c r="D1886" s="1" t="s">
        <v>1797</v>
      </c>
      <c r="E1886" s="3">
        <v>1.0</v>
      </c>
      <c r="F1886" s="3">
        <v>0.0</v>
      </c>
    </row>
    <row r="1887" ht="12.75" customHeight="1">
      <c r="A1887" s="1">
        <v>0.0</v>
      </c>
      <c r="B1887" s="2">
        <v>1130867.0</v>
      </c>
      <c r="C1887" s="1" t="s">
        <v>1671</v>
      </c>
      <c r="D1887" s="1" t="s">
        <v>1672</v>
      </c>
      <c r="E1887" s="3">
        <v>1.0</v>
      </c>
      <c r="F1887" s="3">
        <v>0.0</v>
      </c>
    </row>
    <row r="1888" ht="12.75" customHeight="1">
      <c r="A1888" s="1">
        <v>0.0</v>
      </c>
      <c r="B1888" s="2">
        <v>1130869.0</v>
      </c>
      <c r="C1888" s="1" t="s">
        <v>1722</v>
      </c>
      <c r="D1888" s="1" t="s">
        <v>653</v>
      </c>
      <c r="E1888" s="3">
        <v>1.0</v>
      </c>
      <c r="F1888" s="3">
        <v>0.0</v>
      </c>
    </row>
    <row r="1889" ht="12.75" customHeight="1">
      <c r="A1889" s="1">
        <v>0.0</v>
      </c>
      <c r="B1889" s="2">
        <v>1130873.0</v>
      </c>
      <c r="C1889" s="1" t="s">
        <v>2313</v>
      </c>
      <c r="D1889" s="1" t="s">
        <v>854</v>
      </c>
      <c r="E1889" s="3">
        <v>1.0</v>
      </c>
      <c r="F1889" s="3">
        <v>0.0</v>
      </c>
    </row>
    <row r="1890" ht="12.75" customHeight="1">
      <c r="A1890" s="1">
        <v>0.0</v>
      </c>
      <c r="B1890" s="2">
        <v>1130874.0</v>
      </c>
      <c r="C1890" s="1" t="s">
        <v>2268</v>
      </c>
      <c r="D1890" s="1" t="s">
        <v>2269</v>
      </c>
      <c r="E1890" s="3">
        <v>1.0</v>
      </c>
      <c r="F1890" s="3">
        <v>0.0</v>
      </c>
    </row>
    <row r="1891" ht="12.75" customHeight="1">
      <c r="A1891" s="1">
        <v>0.0</v>
      </c>
      <c r="B1891" s="2">
        <v>1300117.0</v>
      </c>
      <c r="C1891" s="1" t="s">
        <v>5261</v>
      </c>
      <c r="D1891" s="1" t="s">
        <v>5262</v>
      </c>
      <c r="E1891" s="3">
        <v>1.0</v>
      </c>
      <c r="F1891" s="3">
        <v>0.0</v>
      </c>
    </row>
    <row r="1892" ht="12.75" customHeight="1">
      <c r="A1892" s="1">
        <v>0.0</v>
      </c>
      <c r="B1892" s="2">
        <v>1300314.0</v>
      </c>
      <c r="C1892" s="1" t="s">
        <v>5263</v>
      </c>
      <c r="D1892" s="1" t="s">
        <v>1777</v>
      </c>
      <c r="E1892" s="3">
        <v>1.0</v>
      </c>
      <c r="F1892" s="3">
        <v>0.0</v>
      </c>
    </row>
    <row r="1893" ht="12.75" customHeight="1">
      <c r="A1893" s="1">
        <v>0.0</v>
      </c>
      <c r="B1893" s="2">
        <v>1300323.0</v>
      </c>
      <c r="C1893" s="1" t="s">
        <v>5264</v>
      </c>
      <c r="D1893" s="1" t="s">
        <v>1777</v>
      </c>
      <c r="E1893" s="3">
        <v>1.0</v>
      </c>
      <c r="F1893" s="3">
        <v>0.0</v>
      </c>
    </row>
    <row r="1894" ht="12.75" customHeight="1">
      <c r="A1894" s="1">
        <v>0.0</v>
      </c>
      <c r="B1894" s="2">
        <v>1300351.0</v>
      </c>
      <c r="C1894" s="1" t="s">
        <v>5265</v>
      </c>
      <c r="D1894" s="1" t="s">
        <v>5266</v>
      </c>
      <c r="E1894" s="3">
        <v>1.0</v>
      </c>
      <c r="F1894" s="3">
        <v>0.0</v>
      </c>
    </row>
    <row r="1895" ht="12.75" customHeight="1">
      <c r="A1895" s="1">
        <v>0.0</v>
      </c>
      <c r="B1895" s="2">
        <v>1300378.0</v>
      </c>
      <c r="C1895" s="1" t="s">
        <v>5267</v>
      </c>
      <c r="D1895" s="1" t="s">
        <v>5268</v>
      </c>
      <c r="E1895" s="3">
        <v>1.0</v>
      </c>
      <c r="F1895" s="3">
        <v>0.0</v>
      </c>
    </row>
    <row r="1896" ht="12.75" customHeight="1">
      <c r="A1896" s="1">
        <v>0.0</v>
      </c>
      <c r="B1896" s="2">
        <v>1300415.0</v>
      </c>
      <c r="C1896" s="1" t="s">
        <v>5269</v>
      </c>
      <c r="D1896" s="1" t="s">
        <v>5270</v>
      </c>
      <c r="E1896" s="3">
        <v>1.0</v>
      </c>
      <c r="F1896" s="3">
        <v>0.0</v>
      </c>
    </row>
    <row r="1897" ht="12.75" customHeight="1">
      <c r="A1897" s="1">
        <v>0.0</v>
      </c>
      <c r="B1897" s="2">
        <v>1300515.0</v>
      </c>
      <c r="C1897" s="1" t="s">
        <v>5263</v>
      </c>
      <c r="D1897" s="1" t="s">
        <v>5271</v>
      </c>
      <c r="E1897" s="3">
        <v>1.0</v>
      </c>
      <c r="F1897" s="3">
        <v>0.0</v>
      </c>
    </row>
    <row r="1898" ht="12.75" customHeight="1">
      <c r="A1898" s="1">
        <v>0.0</v>
      </c>
      <c r="B1898" s="2">
        <v>1300518.0</v>
      </c>
      <c r="C1898" s="1" t="s">
        <v>5272</v>
      </c>
      <c r="D1898" s="1" t="s">
        <v>5273</v>
      </c>
      <c r="E1898" s="3">
        <v>1.0</v>
      </c>
      <c r="F1898" s="3">
        <v>0.0</v>
      </c>
    </row>
    <row r="1899" ht="12.75" customHeight="1">
      <c r="A1899" s="1">
        <v>0.0</v>
      </c>
      <c r="B1899" s="2">
        <v>1300519.0</v>
      </c>
      <c r="C1899" s="1" t="s">
        <v>5274</v>
      </c>
      <c r="D1899" s="1" t="s">
        <v>5275</v>
      </c>
      <c r="E1899" s="3">
        <v>1.0</v>
      </c>
      <c r="F1899" s="3">
        <v>0.0</v>
      </c>
    </row>
    <row r="1900" ht="12.75" customHeight="1">
      <c r="A1900" s="1">
        <v>0.0</v>
      </c>
      <c r="B1900" s="2">
        <v>1300521.0</v>
      </c>
      <c r="C1900" s="1" t="s">
        <v>5263</v>
      </c>
      <c r="D1900" s="1" t="s">
        <v>5276</v>
      </c>
      <c r="E1900" s="3">
        <v>1.0</v>
      </c>
      <c r="F1900" s="3">
        <v>0.0</v>
      </c>
    </row>
    <row r="1901" ht="12.75" customHeight="1">
      <c r="A1901" s="1">
        <v>0.0</v>
      </c>
      <c r="B1901" s="2">
        <v>1300528.0</v>
      </c>
      <c r="C1901" s="1" t="s">
        <v>5269</v>
      </c>
      <c r="D1901" s="1" t="s">
        <v>1780</v>
      </c>
      <c r="E1901" s="3">
        <v>1.0</v>
      </c>
      <c r="F1901" s="3">
        <v>0.0</v>
      </c>
    </row>
    <row r="1902" ht="12.75" customHeight="1">
      <c r="A1902" s="1">
        <v>0.0</v>
      </c>
      <c r="B1902" s="2" t="s">
        <v>5277</v>
      </c>
      <c r="C1902" s="1" t="s">
        <v>5278</v>
      </c>
      <c r="D1902" s="1" t="s">
        <v>5266</v>
      </c>
      <c r="E1902" s="3">
        <v>1.0</v>
      </c>
      <c r="F1902" s="3">
        <v>0.0</v>
      </c>
    </row>
    <row r="1903" ht="12.75" customHeight="1">
      <c r="A1903" s="1">
        <v>0.0</v>
      </c>
      <c r="B1903" s="2">
        <v>1300532.0</v>
      </c>
      <c r="C1903" s="1" t="s">
        <v>5279</v>
      </c>
      <c r="D1903" s="1" t="s">
        <v>1780</v>
      </c>
      <c r="E1903" s="3">
        <v>1.0</v>
      </c>
      <c r="F1903" s="3">
        <v>0.0</v>
      </c>
    </row>
    <row r="1904" ht="12.75" customHeight="1">
      <c r="A1904" s="1">
        <v>0.0</v>
      </c>
      <c r="B1904" s="2">
        <v>1300542.0</v>
      </c>
      <c r="C1904" s="1" t="s">
        <v>5280</v>
      </c>
      <c r="D1904" s="1" t="s">
        <v>5281</v>
      </c>
      <c r="E1904" s="3">
        <v>1.0</v>
      </c>
      <c r="F1904" s="3">
        <v>0.0</v>
      </c>
    </row>
    <row r="1905" ht="12.75" customHeight="1">
      <c r="A1905" s="1">
        <v>0.0</v>
      </c>
      <c r="B1905" s="2" t="s">
        <v>5282</v>
      </c>
      <c r="C1905" s="1" t="s">
        <v>5283</v>
      </c>
      <c r="D1905" s="1" t="s">
        <v>1780</v>
      </c>
      <c r="E1905" s="3">
        <v>1.0</v>
      </c>
      <c r="F1905" s="3">
        <v>0.0</v>
      </c>
    </row>
    <row r="1906" ht="12.75" customHeight="1">
      <c r="A1906" s="1">
        <v>0.0</v>
      </c>
      <c r="B1906" s="2" t="s">
        <v>5284</v>
      </c>
      <c r="C1906" s="1" t="s">
        <v>5285</v>
      </c>
      <c r="D1906" s="1" t="s">
        <v>5286</v>
      </c>
      <c r="E1906" s="3">
        <v>1.0</v>
      </c>
      <c r="F1906" s="3">
        <v>0.0</v>
      </c>
    </row>
    <row r="1907" ht="12.75" customHeight="1">
      <c r="A1907" s="1">
        <v>0.0</v>
      </c>
      <c r="B1907" s="2" t="s">
        <v>5287</v>
      </c>
      <c r="C1907" s="1" t="s">
        <v>5288</v>
      </c>
      <c r="D1907" s="1" t="s">
        <v>5289</v>
      </c>
      <c r="E1907" s="3">
        <v>1.0</v>
      </c>
      <c r="F1907" s="3">
        <v>0.0</v>
      </c>
    </row>
    <row r="1908" ht="12.75" customHeight="1">
      <c r="A1908" s="1">
        <v>0.0</v>
      </c>
      <c r="B1908" s="2" t="s">
        <v>5290</v>
      </c>
      <c r="C1908" s="1" t="s">
        <v>5291</v>
      </c>
      <c r="D1908" s="1" t="s">
        <v>1780</v>
      </c>
      <c r="E1908" s="3">
        <v>1.0</v>
      </c>
      <c r="F1908" s="3">
        <v>0.0</v>
      </c>
    </row>
    <row r="1909" ht="12.75" customHeight="1">
      <c r="A1909" s="1">
        <v>0.0</v>
      </c>
      <c r="B1909" s="2" t="s">
        <v>5292</v>
      </c>
      <c r="C1909" s="1" t="s">
        <v>5293</v>
      </c>
      <c r="D1909" s="1" t="s">
        <v>1780</v>
      </c>
      <c r="E1909" s="3">
        <v>1.0</v>
      </c>
      <c r="F1909" s="3">
        <v>0.0</v>
      </c>
    </row>
    <row r="1910" ht="12.75" customHeight="1">
      <c r="A1910" s="1">
        <v>0.0</v>
      </c>
      <c r="B1910" s="2" t="s">
        <v>1775</v>
      </c>
      <c r="C1910" s="1" t="s">
        <v>1776</v>
      </c>
      <c r="D1910" s="1" t="s">
        <v>1777</v>
      </c>
      <c r="E1910" s="3">
        <v>1.0</v>
      </c>
      <c r="F1910" s="3">
        <v>0.0</v>
      </c>
    </row>
    <row r="1911" ht="12.75" customHeight="1">
      <c r="A1911" s="1">
        <v>0.0</v>
      </c>
      <c r="B1911" s="2">
        <v>1302002.0</v>
      </c>
      <c r="C1911" s="1" t="s">
        <v>4549</v>
      </c>
      <c r="D1911" s="1" t="s">
        <v>1780</v>
      </c>
      <c r="E1911" s="3">
        <v>1.0</v>
      </c>
      <c r="F1911" s="3">
        <v>0.0</v>
      </c>
    </row>
    <row r="1912" ht="12.75" customHeight="1">
      <c r="A1912" s="1">
        <v>0.0</v>
      </c>
      <c r="B1912" s="2">
        <v>1302028.0</v>
      </c>
      <c r="C1912" s="1" t="s">
        <v>5294</v>
      </c>
      <c r="D1912" s="1" t="s">
        <v>5295</v>
      </c>
      <c r="E1912" s="3">
        <v>1.0</v>
      </c>
      <c r="F1912" s="3">
        <v>0.0</v>
      </c>
    </row>
    <row r="1913" ht="12.75" customHeight="1">
      <c r="A1913" s="1">
        <v>0.0</v>
      </c>
      <c r="B1913" s="2">
        <v>1302138.0</v>
      </c>
      <c r="C1913" s="1" t="s">
        <v>5296</v>
      </c>
      <c r="D1913" s="1" t="s">
        <v>5297</v>
      </c>
      <c r="E1913" s="3">
        <v>1.0</v>
      </c>
      <c r="F1913" s="3">
        <v>0.0</v>
      </c>
    </row>
    <row r="1914" ht="12.75" customHeight="1">
      <c r="A1914" s="1">
        <v>0.0</v>
      </c>
      <c r="B1914" s="2">
        <v>1360315.0</v>
      </c>
      <c r="C1914" s="1" t="s">
        <v>2739</v>
      </c>
      <c r="D1914" s="1" t="s">
        <v>354</v>
      </c>
      <c r="E1914" s="3">
        <v>1.0</v>
      </c>
      <c r="F1914" s="3">
        <v>0.0</v>
      </c>
    </row>
    <row r="1915" ht="12.75" customHeight="1">
      <c r="A1915" s="1">
        <v>0.0</v>
      </c>
      <c r="B1915" s="2">
        <v>1450102.0</v>
      </c>
      <c r="C1915" s="1" t="s">
        <v>5298</v>
      </c>
      <c r="D1915" s="1" t="s">
        <v>5299</v>
      </c>
      <c r="E1915" s="3">
        <v>1.0</v>
      </c>
      <c r="F1915" s="3">
        <v>0.0</v>
      </c>
    </row>
    <row r="1916" ht="12.75" customHeight="1">
      <c r="A1916" s="1">
        <v>0.0</v>
      </c>
      <c r="B1916" s="2">
        <v>1660209.0</v>
      </c>
      <c r="C1916" s="1" t="s">
        <v>2271</v>
      </c>
      <c r="D1916" s="1" t="s">
        <v>67</v>
      </c>
      <c r="E1916" s="3">
        <v>1.0</v>
      </c>
      <c r="F1916" s="3">
        <v>0.0</v>
      </c>
    </row>
    <row r="1917" ht="12.75" customHeight="1">
      <c r="A1917" s="1">
        <v>0.0</v>
      </c>
      <c r="B1917" s="2">
        <v>1870107.0</v>
      </c>
      <c r="C1917" s="1" t="s">
        <v>473</v>
      </c>
      <c r="D1917" s="1" t="s">
        <v>2008</v>
      </c>
      <c r="E1917" s="3">
        <v>1.0</v>
      </c>
      <c r="F1917" s="3">
        <v>0.0</v>
      </c>
    </row>
    <row r="1918" ht="12.75" customHeight="1">
      <c r="A1918" s="1">
        <v>0.0</v>
      </c>
      <c r="B1918" s="2">
        <v>1990105.0</v>
      </c>
      <c r="C1918" s="1" t="s">
        <v>117</v>
      </c>
      <c r="D1918" s="1" t="s">
        <v>1663</v>
      </c>
      <c r="E1918" s="3">
        <v>1.0</v>
      </c>
      <c r="F1918" s="3">
        <v>0.0</v>
      </c>
    </row>
    <row r="1919" ht="12.75" customHeight="1">
      <c r="A1919" s="1">
        <v>0.0</v>
      </c>
      <c r="B1919" s="2">
        <v>1990109.0</v>
      </c>
      <c r="C1919" s="1" t="s">
        <v>117</v>
      </c>
      <c r="D1919" s="1" t="s">
        <v>1664</v>
      </c>
      <c r="E1919" s="3">
        <v>1.0</v>
      </c>
      <c r="F1919" s="3">
        <v>0.0</v>
      </c>
    </row>
    <row r="1920" ht="12.75" customHeight="1">
      <c r="A1920" s="1">
        <v>0.0</v>
      </c>
      <c r="B1920" s="2">
        <v>1990112.0</v>
      </c>
      <c r="C1920" s="1" t="s">
        <v>1661</v>
      </c>
      <c r="D1920" s="1" t="s">
        <v>1662</v>
      </c>
      <c r="E1920" s="3">
        <v>1.0</v>
      </c>
      <c r="F1920" s="3">
        <v>0.0</v>
      </c>
    </row>
    <row r="1921" ht="12.75" customHeight="1">
      <c r="A1921" s="1">
        <v>0.0</v>
      </c>
      <c r="B1921" s="2">
        <v>1990201.0</v>
      </c>
      <c r="C1921" s="1" t="s">
        <v>117</v>
      </c>
      <c r="D1921" s="1" t="s">
        <v>1762</v>
      </c>
      <c r="E1921" s="3">
        <v>1.0</v>
      </c>
      <c r="F1921" s="3">
        <v>0.0</v>
      </c>
    </row>
    <row r="1922" ht="12.75" customHeight="1">
      <c r="A1922" s="1">
        <v>0.0</v>
      </c>
      <c r="B1922" s="2">
        <v>2000103.0</v>
      </c>
      <c r="C1922" s="1" t="s">
        <v>117</v>
      </c>
      <c r="D1922" s="1" t="s">
        <v>1660</v>
      </c>
      <c r="E1922" s="3">
        <v>1.0</v>
      </c>
      <c r="F1922" s="3">
        <v>0.0</v>
      </c>
    </row>
    <row r="1923" ht="12.75" customHeight="1">
      <c r="A1923" s="1">
        <v>0.0</v>
      </c>
      <c r="B1923" s="2">
        <v>2000105.0</v>
      </c>
      <c r="C1923" s="1" t="s">
        <v>117</v>
      </c>
      <c r="D1923" s="1" t="s">
        <v>626</v>
      </c>
      <c r="E1923" s="3">
        <v>1.0</v>
      </c>
      <c r="F1923" s="3">
        <v>0.0</v>
      </c>
    </row>
    <row r="1924" ht="12.75" customHeight="1">
      <c r="A1924" s="1">
        <v>0.0</v>
      </c>
      <c r="B1924" s="2">
        <v>2070002.0</v>
      </c>
      <c r="C1924" s="1" t="s">
        <v>5300</v>
      </c>
      <c r="D1924" s="1" t="s">
        <v>4874</v>
      </c>
      <c r="E1924" s="3">
        <v>1.0</v>
      </c>
      <c r="F1924" s="3">
        <v>0.0</v>
      </c>
    </row>
    <row r="1925" ht="12.75" customHeight="1">
      <c r="A1925" s="1">
        <v>0.0</v>
      </c>
      <c r="B1925" s="2">
        <v>2070113.0</v>
      </c>
      <c r="C1925" s="1" t="s">
        <v>5301</v>
      </c>
      <c r="D1925" s="1" t="s">
        <v>2017</v>
      </c>
      <c r="E1925" s="3">
        <v>1.0</v>
      </c>
      <c r="F1925" s="3">
        <v>0.0</v>
      </c>
    </row>
    <row r="1926" ht="12.75" customHeight="1">
      <c r="A1926" s="1">
        <v>0.0</v>
      </c>
      <c r="B1926" s="2">
        <v>2070204.0</v>
      </c>
      <c r="C1926" s="1" t="s">
        <v>5300</v>
      </c>
      <c r="D1926" s="1" t="s">
        <v>5302</v>
      </c>
      <c r="E1926" s="3">
        <v>1.0</v>
      </c>
      <c r="F1926" s="3">
        <v>0.0</v>
      </c>
    </row>
    <row r="1927" ht="12.75" customHeight="1">
      <c r="A1927" s="1">
        <v>0.0</v>
      </c>
      <c r="B1927" s="2">
        <v>2480102.0</v>
      </c>
      <c r="C1927" s="1" t="s">
        <v>5303</v>
      </c>
      <c r="D1927" s="1" t="s">
        <v>855</v>
      </c>
      <c r="E1927" s="3">
        <v>1.0</v>
      </c>
      <c r="F1927" s="3">
        <v>0.0</v>
      </c>
    </row>
    <row r="1928" ht="12.75" customHeight="1">
      <c r="A1928" s="1">
        <v>0.0</v>
      </c>
      <c r="B1928" s="2">
        <v>2480104.0</v>
      </c>
      <c r="C1928" s="1" t="s">
        <v>5303</v>
      </c>
      <c r="D1928" s="1" t="s">
        <v>1361</v>
      </c>
      <c r="E1928" s="3">
        <v>1.0</v>
      </c>
      <c r="F1928" s="3">
        <v>0.0</v>
      </c>
    </row>
    <row r="1929" ht="12.75" customHeight="1">
      <c r="A1929" s="1">
        <v>0.0</v>
      </c>
      <c r="B1929" s="2">
        <v>2480106.0</v>
      </c>
      <c r="C1929" s="1" t="s">
        <v>5303</v>
      </c>
      <c r="D1929" s="1" t="s">
        <v>562</v>
      </c>
      <c r="E1929" s="3">
        <v>1.0</v>
      </c>
      <c r="F1929" s="3">
        <v>0.0</v>
      </c>
    </row>
    <row r="1930" ht="12.75" customHeight="1">
      <c r="A1930" s="1">
        <v>0.0</v>
      </c>
      <c r="B1930" s="2">
        <v>2480108.0</v>
      </c>
      <c r="C1930" s="1" t="s">
        <v>5303</v>
      </c>
      <c r="D1930" s="1" t="s">
        <v>3877</v>
      </c>
      <c r="E1930" s="3">
        <v>1.0</v>
      </c>
      <c r="F1930" s="3">
        <v>0.0</v>
      </c>
    </row>
    <row r="1931" ht="12.75" customHeight="1">
      <c r="A1931" s="1">
        <v>0.0</v>
      </c>
      <c r="B1931" s="2">
        <v>2480128.0</v>
      </c>
      <c r="C1931" s="1" t="s">
        <v>561</v>
      </c>
      <c r="D1931" s="1" t="s">
        <v>3877</v>
      </c>
      <c r="E1931" s="3">
        <v>1.0</v>
      </c>
      <c r="F1931" s="3">
        <v>0.0</v>
      </c>
    </row>
    <row r="1932" ht="12.75" customHeight="1">
      <c r="A1932" s="1">
        <v>0.0</v>
      </c>
      <c r="B1932" s="2">
        <v>2480130.0</v>
      </c>
      <c r="C1932" s="1" t="s">
        <v>5304</v>
      </c>
      <c r="D1932" s="1" t="s">
        <v>5305</v>
      </c>
      <c r="E1932" s="3">
        <v>1.0</v>
      </c>
      <c r="F1932" s="3">
        <v>0.0</v>
      </c>
    </row>
    <row r="1933" ht="12.75" customHeight="1">
      <c r="A1933" s="1">
        <v>0.0</v>
      </c>
      <c r="B1933" s="2">
        <v>2620701.0</v>
      </c>
      <c r="C1933" s="1" t="s">
        <v>5306</v>
      </c>
      <c r="D1933" s="1" t="s">
        <v>1689</v>
      </c>
      <c r="E1933" s="3">
        <v>1.0</v>
      </c>
      <c r="F1933" s="3">
        <v>0.0</v>
      </c>
    </row>
    <row r="1934" ht="12.75" customHeight="1">
      <c r="A1934" s="1">
        <v>0.0</v>
      </c>
      <c r="B1934" s="2">
        <v>2860101.0</v>
      </c>
      <c r="C1934" s="1" t="s">
        <v>3236</v>
      </c>
      <c r="D1934" s="1" t="s">
        <v>3237</v>
      </c>
      <c r="E1934" s="3">
        <v>1.0</v>
      </c>
      <c r="F1934" s="3">
        <v>0.0</v>
      </c>
    </row>
    <row r="1935" ht="12.75" customHeight="1">
      <c r="A1935" s="1">
        <v>0.0</v>
      </c>
      <c r="B1935" s="2">
        <v>3321204.0</v>
      </c>
      <c r="C1935" s="1" t="s">
        <v>1163</v>
      </c>
      <c r="D1935" s="1" t="s">
        <v>3226</v>
      </c>
      <c r="E1935" s="3">
        <v>1.0</v>
      </c>
      <c r="F1935" s="3">
        <v>0.0</v>
      </c>
    </row>
    <row r="1936" ht="12.75" customHeight="1">
      <c r="A1936" s="1">
        <v>0.0</v>
      </c>
      <c r="B1936" s="2">
        <v>3321210.0</v>
      </c>
      <c r="C1936" s="1" t="s">
        <v>1163</v>
      </c>
      <c r="D1936" s="1" t="s">
        <v>418</v>
      </c>
      <c r="E1936" s="3">
        <v>1.0</v>
      </c>
      <c r="F1936" s="3">
        <v>0.0</v>
      </c>
    </row>
    <row r="1937" ht="12.75" customHeight="1">
      <c r="A1937" s="1">
        <v>0.0</v>
      </c>
      <c r="B1937" s="2">
        <v>3450412.0</v>
      </c>
      <c r="C1937" s="1" t="s">
        <v>5307</v>
      </c>
      <c r="D1937" s="1" t="s">
        <v>5308</v>
      </c>
      <c r="E1937" s="3">
        <v>1.0</v>
      </c>
      <c r="F1937" s="3">
        <v>0.0</v>
      </c>
    </row>
    <row r="1938" ht="12.75" customHeight="1">
      <c r="A1938" s="1">
        <v>0.0</v>
      </c>
      <c r="B1938" s="2">
        <v>3550103.0</v>
      </c>
      <c r="C1938" s="1" t="s">
        <v>5309</v>
      </c>
      <c r="D1938" s="1" t="s">
        <v>5310</v>
      </c>
      <c r="E1938" s="3">
        <v>1.0</v>
      </c>
      <c r="F1938" s="3">
        <v>0.0</v>
      </c>
    </row>
    <row r="1939" ht="12.75" customHeight="1">
      <c r="A1939" s="1">
        <v>0.0</v>
      </c>
      <c r="B1939" s="2">
        <v>3550802.0</v>
      </c>
      <c r="C1939" s="1" t="s">
        <v>789</v>
      </c>
      <c r="D1939" s="1" t="s">
        <v>2444</v>
      </c>
      <c r="E1939" s="3">
        <v>1.0</v>
      </c>
      <c r="F1939" s="3">
        <v>0.0</v>
      </c>
    </row>
    <row r="1940" ht="12.75" customHeight="1">
      <c r="A1940" s="1">
        <v>0.0</v>
      </c>
      <c r="B1940" s="2">
        <v>3720204.0</v>
      </c>
      <c r="C1940" s="1" t="s">
        <v>2016</v>
      </c>
      <c r="D1940" s="1" t="s">
        <v>2017</v>
      </c>
      <c r="E1940" s="3">
        <v>1.0</v>
      </c>
      <c r="F1940" s="3">
        <v>0.0</v>
      </c>
    </row>
    <row r="1941" ht="12.75" customHeight="1">
      <c r="A1941" s="1">
        <v>0.0</v>
      </c>
      <c r="B1941" s="2" t="s">
        <v>5311</v>
      </c>
      <c r="C1941" s="1" t="s">
        <v>5312</v>
      </c>
      <c r="D1941" s="1" t="s">
        <v>854</v>
      </c>
      <c r="E1941" s="3">
        <v>1.0</v>
      </c>
      <c r="F1941" s="3">
        <v>0.0</v>
      </c>
    </row>
    <row r="1942" ht="12.75" customHeight="1">
      <c r="A1942" s="1">
        <v>0.0</v>
      </c>
      <c r="B1942" s="2" t="s">
        <v>2392</v>
      </c>
      <c r="C1942" s="1" t="s">
        <v>2393</v>
      </c>
      <c r="D1942" s="1" t="s">
        <v>2394</v>
      </c>
      <c r="E1942" s="3">
        <v>1.0</v>
      </c>
      <c r="F1942" s="3">
        <v>0.0</v>
      </c>
    </row>
    <row r="1943" ht="12.75" customHeight="1">
      <c r="A1943" s="1">
        <v>0.0</v>
      </c>
      <c r="B1943" s="2">
        <v>3800268.0</v>
      </c>
      <c r="C1943" s="1" t="s">
        <v>25</v>
      </c>
      <c r="D1943" s="1" t="s">
        <v>3942</v>
      </c>
      <c r="E1943" s="3">
        <v>1.0</v>
      </c>
      <c r="F1943" s="3">
        <v>0.0</v>
      </c>
    </row>
    <row r="1944" ht="12.75" customHeight="1">
      <c r="A1944" s="1">
        <v>0.0</v>
      </c>
      <c r="B1944" s="2">
        <v>3800335.0</v>
      </c>
      <c r="C1944" s="1" t="s">
        <v>37</v>
      </c>
      <c r="D1944" s="1" t="s">
        <v>2421</v>
      </c>
      <c r="E1944" s="3">
        <v>1.0</v>
      </c>
      <c r="F1944" s="3">
        <v>0.0</v>
      </c>
    </row>
    <row r="1945" ht="12.75" customHeight="1">
      <c r="A1945" s="1">
        <v>0.0</v>
      </c>
      <c r="B1945" s="2">
        <v>3800479.0</v>
      </c>
      <c r="C1945" s="1" t="s">
        <v>3164</v>
      </c>
      <c r="D1945" s="1" t="s">
        <v>3165</v>
      </c>
      <c r="E1945" s="3">
        <v>1.0</v>
      </c>
      <c r="F1945" s="3">
        <v>0.0</v>
      </c>
    </row>
    <row r="1946" ht="12.75" customHeight="1">
      <c r="A1946" s="1">
        <v>0.0</v>
      </c>
      <c r="B1946" s="2">
        <v>3800480.0</v>
      </c>
      <c r="C1946" s="1" t="s">
        <v>5313</v>
      </c>
      <c r="D1946" s="1" t="s">
        <v>854</v>
      </c>
      <c r="E1946" s="3">
        <v>1.0</v>
      </c>
      <c r="F1946" s="3">
        <v>0.0</v>
      </c>
    </row>
    <row r="1947" ht="12.75" customHeight="1">
      <c r="A1947" s="1">
        <v>0.0</v>
      </c>
      <c r="B1947" s="2">
        <v>3800481.0</v>
      </c>
      <c r="C1947" s="1" t="s">
        <v>2272</v>
      </c>
      <c r="D1947" s="1" t="s">
        <v>2273</v>
      </c>
      <c r="E1947" s="3">
        <v>1.0</v>
      </c>
      <c r="F1947" s="3">
        <v>0.0</v>
      </c>
    </row>
    <row r="1948" ht="12.75" customHeight="1">
      <c r="A1948" s="1">
        <v>0.0</v>
      </c>
      <c r="B1948" s="2">
        <v>3800601.0</v>
      </c>
      <c r="C1948" s="1" t="s">
        <v>3390</v>
      </c>
      <c r="D1948" s="1" t="s">
        <v>3391</v>
      </c>
      <c r="E1948" s="3">
        <v>1.0</v>
      </c>
      <c r="F1948" s="3">
        <v>0.0</v>
      </c>
    </row>
    <row r="1949" ht="12.75" customHeight="1">
      <c r="A1949" s="1">
        <v>0.0</v>
      </c>
      <c r="B1949" s="2">
        <v>3801048.0</v>
      </c>
      <c r="C1949" s="1" t="s">
        <v>528</v>
      </c>
      <c r="D1949" s="1" t="s">
        <v>2835</v>
      </c>
      <c r="E1949" s="3">
        <v>1.0</v>
      </c>
      <c r="F1949" s="3">
        <v>0.0</v>
      </c>
    </row>
    <row r="1950" ht="12.75" customHeight="1">
      <c r="A1950" s="1">
        <v>0.0</v>
      </c>
      <c r="B1950" s="2">
        <v>3801188.0</v>
      </c>
      <c r="C1950" s="1" t="s">
        <v>3194</v>
      </c>
      <c r="D1950" s="1" t="s">
        <v>3195</v>
      </c>
      <c r="E1950" s="3">
        <v>1.0</v>
      </c>
      <c r="F1950" s="3">
        <v>0.0</v>
      </c>
    </row>
    <row r="1951" ht="12.75" customHeight="1">
      <c r="A1951" s="1">
        <v>0.0</v>
      </c>
      <c r="B1951" s="2">
        <v>3801311.0</v>
      </c>
      <c r="C1951" s="1" t="s">
        <v>312</v>
      </c>
      <c r="D1951" s="1" t="s">
        <v>1803</v>
      </c>
      <c r="E1951" s="3">
        <v>1.0</v>
      </c>
      <c r="F1951" s="3">
        <v>0.0</v>
      </c>
    </row>
    <row r="1952" ht="12.75" customHeight="1">
      <c r="A1952" s="1">
        <v>0.0</v>
      </c>
      <c r="B1952" s="2">
        <v>3801343.0</v>
      </c>
      <c r="C1952" s="1" t="s">
        <v>312</v>
      </c>
      <c r="D1952" s="1" t="s">
        <v>3662</v>
      </c>
      <c r="E1952" s="3">
        <v>1.0</v>
      </c>
      <c r="F1952" s="3">
        <v>0.0</v>
      </c>
    </row>
    <row r="1953" ht="12.75" customHeight="1">
      <c r="A1953" s="1">
        <v>0.0</v>
      </c>
      <c r="B1953" s="2">
        <v>3801359.0</v>
      </c>
      <c r="C1953" s="1" t="s">
        <v>312</v>
      </c>
      <c r="D1953" s="1" t="s">
        <v>3754</v>
      </c>
      <c r="E1953" s="3">
        <v>1.0</v>
      </c>
      <c r="F1953" s="3">
        <v>0.0</v>
      </c>
    </row>
    <row r="1954" ht="12.75" customHeight="1">
      <c r="A1954" s="1">
        <v>0.0</v>
      </c>
      <c r="B1954" s="2">
        <v>3801363.0</v>
      </c>
      <c r="C1954" s="1" t="s">
        <v>3752</v>
      </c>
      <c r="D1954" s="1" t="s">
        <v>3753</v>
      </c>
      <c r="E1954" s="3">
        <v>1.0</v>
      </c>
      <c r="F1954" s="3">
        <v>0.0</v>
      </c>
    </row>
    <row r="1955" ht="12.75" customHeight="1">
      <c r="A1955" s="1">
        <v>0.0</v>
      </c>
      <c r="B1955" s="2">
        <v>3801375.0</v>
      </c>
      <c r="C1955" s="1" t="s">
        <v>312</v>
      </c>
      <c r="D1955" s="1" t="s">
        <v>4071</v>
      </c>
      <c r="E1955" s="3">
        <v>1.0</v>
      </c>
      <c r="F1955" s="3">
        <v>0.0</v>
      </c>
    </row>
    <row r="1956" ht="12.75" customHeight="1">
      <c r="A1956" s="1">
        <v>0.0</v>
      </c>
      <c r="B1956" s="2">
        <v>3801377.0</v>
      </c>
      <c r="C1956" s="1" t="s">
        <v>312</v>
      </c>
      <c r="D1956" s="1" t="s">
        <v>4072</v>
      </c>
      <c r="E1956" s="3">
        <v>1.0</v>
      </c>
      <c r="F1956" s="3">
        <v>0.0</v>
      </c>
    </row>
    <row r="1957" ht="12.75" customHeight="1">
      <c r="A1957" s="1">
        <v>0.0</v>
      </c>
      <c r="B1957" s="2">
        <v>3801504.0</v>
      </c>
      <c r="C1957" s="1" t="s">
        <v>21</v>
      </c>
      <c r="D1957" s="1" t="s">
        <v>1760</v>
      </c>
      <c r="E1957" s="3">
        <v>1.0</v>
      </c>
      <c r="F1957" s="3">
        <v>0.0</v>
      </c>
    </row>
    <row r="1958" ht="12.75" customHeight="1">
      <c r="A1958" s="1">
        <v>0.0</v>
      </c>
      <c r="B1958" s="2">
        <v>3801513.0</v>
      </c>
      <c r="C1958" s="1" t="s">
        <v>21</v>
      </c>
      <c r="D1958" s="1" t="s">
        <v>1761</v>
      </c>
      <c r="E1958" s="3">
        <v>1.0</v>
      </c>
      <c r="F1958" s="3">
        <v>0.0</v>
      </c>
    </row>
    <row r="1959" ht="12.75" customHeight="1">
      <c r="A1959" s="1">
        <v>0.0</v>
      </c>
      <c r="B1959" s="2">
        <v>3801516.0</v>
      </c>
      <c r="C1959" s="1" t="s">
        <v>21</v>
      </c>
      <c r="D1959" s="1" t="s">
        <v>2707</v>
      </c>
      <c r="E1959" s="3">
        <v>1.0</v>
      </c>
      <c r="F1959" s="3">
        <v>0.0</v>
      </c>
    </row>
    <row r="1960" ht="12.75" customHeight="1">
      <c r="A1960" s="1">
        <v>0.0</v>
      </c>
      <c r="B1960" s="2">
        <v>3801519.0</v>
      </c>
      <c r="C1960" s="1" t="s">
        <v>21</v>
      </c>
      <c r="D1960" s="1" t="s">
        <v>2708</v>
      </c>
      <c r="E1960" s="3">
        <v>1.0</v>
      </c>
      <c r="F1960" s="3">
        <v>0.0</v>
      </c>
    </row>
    <row r="1961" ht="12.75" customHeight="1">
      <c r="A1961" s="1">
        <v>0.0</v>
      </c>
      <c r="B1961" s="2">
        <v>3801526.0</v>
      </c>
      <c r="C1961" s="1" t="s">
        <v>47</v>
      </c>
      <c r="D1961" s="1" t="s">
        <v>2729</v>
      </c>
      <c r="E1961" s="3">
        <v>1.0</v>
      </c>
      <c r="F1961" s="3">
        <v>0.0</v>
      </c>
    </row>
    <row r="1962" ht="12.75" customHeight="1">
      <c r="A1962" s="1">
        <v>0.0</v>
      </c>
      <c r="B1962" s="2">
        <v>3801533.0</v>
      </c>
      <c r="C1962" s="1" t="s">
        <v>21</v>
      </c>
      <c r="D1962" s="1" t="s">
        <v>2706</v>
      </c>
      <c r="E1962" s="3">
        <v>1.0</v>
      </c>
      <c r="F1962" s="3">
        <v>0.0</v>
      </c>
    </row>
    <row r="1963" ht="12.75" customHeight="1">
      <c r="A1963" s="1">
        <v>0.0</v>
      </c>
      <c r="B1963" s="2">
        <v>3801536.0</v>
      </c>
      <c r="C1963" s="1" t="s">
        <v>21</v>
      </c>
      <c r="D1963" s="1" t="s">
        <v>2703</v>
      </c>
      <c r="E1963" s="3">
        <v>1.0</v>
      </c>
      <c r="F1963" s="3">
        <v>0.0</v>
      </c>
    </row>
    <row r="1964" ht="12.75" customHeight="1">
      <c r="A1964" s="1">
        <v>0.0</v>
      </c>
      <c r="B1964" s="2">
        <v>3801546.0</v>
      </c>
      <c r="C1964" s="1" t="s">
        <v>47</v>
      </c>
      <c r="D1964" s="1" t="s">
        <v>1758</v>
      </c>
      <c r="E1964" s="3">
        <v>1.0</v>
      </c>
      <c r="F1964" s="3">
        <v>0.0</v>
      </c>
    </row>
    <row r="1965" ht="12.75" customHeight="1">
      <c r="A1965" s="1">
        <v>0.0</v>
      </c>
      <c r="B1965" s="2">
        <v>3801547.0</v>
      </c>
      <c r="C1965" s="1" t="s">
        <v>47</v>
      </c>
      <c r="D1965" s="1" t="s">
        <v>146</v>
      </c>
      <c r="E1965" s="3">
        <v>1.0</v>
      </c>
      <c r="F1965" s="3">
        <v>0.0</v>
      </c>
    </row>
    <row r="1966" ht="12.75" customHeight="1">
      <c r="A1966" s="1">
        <v>0.0</v>
      </c>
      <c r="B1966" s="2">
        <v>3801553.0</v>
      </c>
      <c r="C1966" s="1" t="s">
        <v>47</v>
      </c>
      <c r="D1966" s="1" t="s">
        <v>451</v>
      </c>
      <c r="E1966" s="3">
        <v>1.0</v>
      </c>
      <c r="F1966" s="3">
        <v>0.0</v>
      </c>
    </row>
    <row r="1967" ht="12.75" customHeight="1">
      <c r="A1967" s="1">
        <v>0.0</v>
      </c>
      <c r="B1967" s="2">
        <v>3801555.0</v>
      </c>
      <c r="C1967" s="1" t="s">
        <v>47</v>
      </c>
      <c r="D1967" s="1" t="s">
        <v>1759</v>
      </c>
      <c r="E1967" s="3">
        <v>1.0</v>
      </c>
      <c r="F1967" s="3">
        <v>0.0</v>
      </c>
    </row>
    <row r="1968" ht="12.75" customHeight="1">
      <c r="A1968" s="1">
        <v>0.0</v>
      </c>
      <c r="B1968" s="2">
        <v>3801569.0</v>
      </c>
      <c r="C1968" s="1" t="s">
        <v>21</v>
      </c>
      <c r="D1968" s="1" t="s">
        <v>2689</v>
      </c>
      <c r="E1968" s="3">
        <v>1.0</v>
      </c>
      <c r="F1968" s="3">
        <v>0.0</v>
      </c>
    </row>
    <row r="1969" ht="12.75" customHeight="1">
      <c r="A1969" s="1">
        <v>0.0</v>
      </c>
      <c r="B1969" s="2">
        <v>3801584.0</v>
      </c>
      <c r="C1969" s="1" t="s">
        <v>21</v>
      </c>
      <c r="D1969" s="1" t="s">
        <v>1754</v>
      </c>
      <c r="E1969" s="3">
        <v>1.0</v>
      </c>
      <c r="F1969" s="3">
        <v>0.0</v>
      </c>
    </row>
    <row r="1970" ht="12.75" customHeight="1">
      <c r="A1970" s="1">
        <v>0.0</v>
      </c>
      <c r="B1970" s="2">
        <v>3801705.0</v>
      </c>
      <c r="C1970" s="1" t="s">
        <v>2108</v>
      </c>
      <c r="D1970" s="1" t="s">
        <v>2109</v>
      </c>
      <c r="E1970" s="3">
        <v>1.0</v>
      </c>
      <c r="F1970" s="3">
        <v>0.0</v>
      </c>
    </row>
    <row r="1971" ht="12.75" customHeight="1">
      <c r="A1971" s="1">
        <v>0.0</v>
      </c>
      <c r="B1971" s="2">
        <v>3801910.0</v>
      </c>
      <c r="C1971" s="1" t="s">
        <v>3943</v>
      </c>
      <c r="D1971" s="1" t="s">
        <v>3944</v>
      </c>
      <c r="E1971" s="3">
        <v>1.0</v>
      </c>
      <c r="F1971" s="3">
        <v>0.0</v>
      </c>
    </row>
    <row r="1972" ht="12.75" customHeight="1">
      <c r="A1972" s="1">
        <v>0.0</v>
      </c>
      <c r="B1972" s="2">
        <v>3801966.0</v>
      </c>
      <c r="C1972" s="1" t="s">
        <v>25</v>
      </c>
      <c r="D1972" s="1" t="s">
        <v>3134</v>
      </c>
      <c r="E1972" s="3">
        <v>1.0</v>
      </c>
      <c r="F1972" s="3">
        <v>0.0</v>
      </c>
    </row>
    <row r="1973" ht="12.75" customHeight="1">
      <c r="A1973" s="1">
        <v>0.0</v>
      </c>
      <c r="B1973" s="2">
        <v>3801968.0</v>
      </c>
      <c r="C1973" s="1" t="s">
        <v>25</v>
      </c>
      <c r="D1973" s="1" t="s">
        <v>3135</v>
      </c>
      <c r="E1973" s="3">
        <v>1.0</v>
      </c>
      <c r="F1973" s="3">
        <v>0.0</v>
      </c>
    </row>
    <row r="1974" ht="12.75" customHeight="1">
      <c r="A1974" s="1">
        <v>0.0</v>
      </c>
      <c r="B1974" s="2" t="s">
        <v>2166</v>
      </c>
      <c r="C1974" s="1" t="s">
        <v>25</v>
      </c>
      <c r="D1974" s="1" t="s">
        <v>2167</v>
      </c>
      <c r="E1974" s="3">
        <v>1.0</v>
      </c>
      <c r="F1974" s="3">
        <v>0.0</v>
      </c>
    </row>
    <row r="1975" ht="12.75" customHeight="1">
      <c r="A1975" s="1">
        <v>0.0</v>
      </c>
      <c r="B1975" s="2" t="s">
        <v>2168</v>
      </c>
      <c r="C1975" s="1" t="s">
        <v>2169</v>
      </c>
      <c r="D1975" s="1" t="s">
        <v>2170</v>
      </c>
      <c r="E1975" s="3">
        <v>1.0</v>
      </c>
      <c r="F1975" s="3">
        <v>0.0</v>
      </c>
    </row>
    <row r="1976" ht="12.75" customHeight="1">
      <c r="A1976" s="1">
        <v>0.0</v>
      </c>
      <c r="B1976" s="2">
        <v>3802010.0</v>
      </c>
      <c r="C1976" s="1" t="s">
        <v>25</v>
      </c>
      <c r="D1976" s="1" t="s">
        <v>1532</v>
      </c>
      <c r="E1976" s="3">
        <v>1.0</v>
      </c>
      <c r="F1976" s="3">
        <v>0.0</v>
      </c>
    </row>
    <row r="1977" ht="12.75" customHeight="1">
      <c r="A1977" s="1">
        <v>0.0</v>
      </c>
      <c r="B1977" s="2">
        <v>3802069.0</v>
      </c>
      <c r="C1977" s="1" t="s">
        <v>25</v>
      </c>
      <c r="D1977" s="1" t="s">
        <v>3941</v>
      </c>
      <c r="E1977" s="3">
        <v>1.0</v>
      </c>
      <c r="F1977" s="3">
        <v>0.0</v>
      </c>
    </row>
    <row r="1978" ht="12.75" customHeight="1">
      <c r="A1978" s="1">
        <v>0.0</v>
      </c>
      <c r="B1978" s="2">
        <v>3802301.0</v>
      </c>
      <c r="C1978" s="1" t="s">
        <v>5314</v>
      </c>
      <c r="D1978" s="1" t="s">
        <v>5315</v>
      </c>
      <c r="E1978" s="3">
        <v>1.0</v>
      </c>
      <c r="F1978" s="3">
        <v>0.0</v>
      </c>
    </row>
    <row r="1979" ht="12.75" customHeight="1">
      <c r="A1979" s="1">
        <v>0.0</v>
      </c>
      <c r="B1979" s="2">
        <v>3802427.0</v>
      </c>
      <c r="C1979" s="1" t="s">
        <v>2370</v>
      </c>
      <c r="D1979" s="1" t="s">
        <v>2371</v>
      </c>
      <c r="E1979" s="3">
        <v>1.0</v>
      </c>
      <c r="F1979" s="3">
        <v>0.0</v>
      </c>
    </row>
    <row r="1980" ht="12.75" customHeight="1">
      <c r="A1980" s="1">
        <v>0.0</v>
      </c>
      <c r="B1980" s="2">
        <v>3802433.0</v>
      </c>
      <c r="C1980" s="1" t="s">
        <v>2372</v>
      </c>
      <c r="D1980" s="1" t="s">
        <v>2373</v>
      </c>
      <c r="E1980" s="3">
        <v>1.0</v>
      </c>
      <c r="F1980" s="3">
        <v>0.0</v>
      </c>
    </row>
    <row r="1981" ht="12.75" customHeight="1">
      <c r="A1981" s="1">
        <v>0.0</v>
      </c>
      <c r="B1981" s="2">
        <v>3802556.0</v>
      </c>
      <c r="C1981" s="1" t="s">
        <v>101</v>
      </c>
      <c r="D1981" s="1" t="s">
        <v>2165</v>
      </c>
      <c r="E1981" s="3">
        <v>1.0</v>
      </c>
      <c r="F1981" s="3">
        <v>0.0</v>
      </c>
    </row>
    <row r="1982" ht="12.75" customHeight="1">
      <c r="A1982" s="1">
        <v>0.0</v>
      </c>
      <c r="B1982" s="2">
        <v>3802557.0</v>
      </c>
      <c r="C1982" s="1" t="s">
        <v>207</v>
      </c>
      <c r="D1982" s="1" t="s">
        <v>2164</v>
      </c>
      <c r="E1982" s="3">
        <v>1.0</v>
      </c>
      <c r="F1982" s="3">
        <v>0.0</v>
      </c>
    </row>
    <row r="1983" ht="12.75" customHeight="1">
      <c r="A1983" s="1">
        <v>0.0</v>
      </c>
      <c r="B1983" s="2">
        <v>3802562.0</v>
      </c>
      <c r="C1983" s="1" t="s">
        <v>2162</v>
      </c>
      <c r="D1983" s="1" t="s">
        <v>2163</v>
      </c>
      <c r="E1983" s="3">
        <v>1.0</v>
      </c>
      <c r="F1983" s="3">
        <v>0.0</v>
      </c>
    </row>
    <row r="1984" ht="12.75" customHeight="1">
      <c r="A1984" s="1">
        <v>0.0</v>
      </c>
      <c r="B1984" s="2">
        <v>3803621.0</v>
      </c>
      <c r="C1984" s="1" t="s">
        <v>3418</v>
      </c>
      <c r="D1984" s="1" t="s">
        <v>3419</v>
      </c>
      <c r="E1984" s="3">
        <v>1.0</v>
      </c>
      <c r="F1984" s="3">
        <v>0.0</v>
      </c>
    </row>
    <row r="1985" ht="12.75" customHeight="1">
      <c r="A1985" s="1">
        <v>0.0</v>
      </c>
      <c r="B1985" s="2">
        <v>3803622.0</v>
      </c>
      <c r="C1985" s="1" t="s">
        <v>1946</v>
      </c>
      <c r="D1985" s="1" t="s">
        <v>1947</v>
      </c>
      <c r="E1985" s="3">
        <v>1.0</v>
      </c>
      <c r="F1985" s="3">
        <v>0.0</v>
      </c>
    </row>
    <row r="1986" ht="12.75" customHeight="1">
      <c r="A1986" s="1">
        <v>0.0</v>
      </c>
      <c r="B1986" s="2">
        <v>3805020.0</v>
      </c>
      <c r="C1986" s="1" t="s">
        <v>162</v>
      </c>
      <c r="D1986" s="1" t="s">
        <v>2161</v>
      </c>
      <c r="E1986" s="3">
        <v>1.0</v>
      </c>
      <c r="F1986" s="3">
        <v>0.0</v>
      </c>
    </row>
    <row r="1987" ht="12.75" customHeight="1">
      <c r="A1987" s="1">
        <v>0.0</v>
      </c>
      <c r="B1987" s="2">
        <v>3806001.0</v>
      </c>
      <c r="C1987" s="1" t="s">
        <v>2314</v>
      </c>
      <c r="D1987" s="1" t="s">
        <v>854</v>
      </c>
      <c r="E1987" s="3">
        <v>1.0</v>
      </c>
      <c r="F1987" s="3">
        <v>0.0</v>
      </c>
    </row>
    <row r="1988" ht="12.75" customHeight="1">
      <c r="A1988" s="1">
        <v>0.0</v>
      </c>
      <c r="B1988" s="2">
        <v>4060109.0</v>
      </c>
      <c r="C1988" s="1" t="s">
        <v>1235</v>
      </c>
      <c r="D1988" s="1" t="s">
        <v>757</v>
      </c>
      <c r="E1988" s="3">
        <v>1.0</v>
      </c>
      <c r="F1988" s="3">
        <v>0.0</v>
      </c>
    </row>
    <row r="1989" ht="12.75" customHeight="1">
      <c r="A1989" s="1">
        <v>0.0</v>
      </c>
      <c r="B1989" s="2" t="s">
        <v>2041</v>
      </c>
      <c r="C1989" s="1" t="s">
        <v>2042</v>
      </c>
      <c r="D1989" s="1" t="s">
        <v>757</v>
      </c>
      <c r="E1989" s="3">
        <v>1.0</v>
      </c>
      <c r="F1989" s="3">
        <v>0.0</v>
      </c>
    </row>
    <row r="1990" ht="12.75" customHeight="1">
      <c r="A1990" s="1">
        <v>0.0</v>
      </c>
      <c r="B1990" s="2">
        <v>4060110.0</v>
      </c>
      <c r="C1990" s="1" t="s">
        <v>2026</v>
      </c>
      <c r="D1990" s="1" t="s">
        <v>2027</v>
      </c>
      <c r="E1990" s="3">
        <v>1.0</v>
      </c>
      <c r="F1990" s="3">
        <v>0.0</v>
      </c>
    </row>
    <row r="1991" ht="12.75" customHeight="1">
      <c r="A1991" s="1">
        <v>0.0</v>
      </c>
      <c r="B1991" s="2">
        <v>4060116.0</v>
      </c>
      <c r="C1991" s="1" t="s">
        <v>2030</v>
      </c>
      <c r="D1991" s="1" t="s">
        <v>757</v>
      </c>
      <c r="E1991" s="3">
        <v>1.0</v>
      </c>
      <c r="F1991" s="3">
        <v>0.0</v>
      </c>
    </row>
    <row r="1992" ht="12.75" customHeight="1">
      <c r="A1992" s="1">
        <v>0.0</v>
      </c>
      <c r="B1992" s="2" t="s">
        <v>3529</v>
      </c>
      <c r="C1992" s="1" t="s">
        <v>3530</v>
      </c>
      <c r="D1992" s="1" t="s">
        <v>916</v>
      </c>
      <c r="E1992" s="3">
        <v>1.0</v>
      </c>
      <c r="F1992" s="3">
        <v>0.0</v>
      </c>
    </row>
    <row r="1993" ht="12.75" customHeight="1">
      <c r="A1993" s="1">
        <v>0.0</v>
      </c>
      <c r="B1993" s="2" t="s">
        <v>2043</v>
      </c>
      <c r="C1993" s="1" t="s">
        <v>2044</v>
      </c>
      <c r="D1993" s="1" t="s">
        <v>757</v>
      </c>
      <c r="E1993" s="3">
        <v>1.0</v>
      </c>
      <c r="F1993" s="3">
        <v>0.0</v>
      </c>
    </row>
    <row r="1994" ht="12.75" customHeight="1">
      <c r="A1994" s="1">
        <v>0.0</v>
      </c>
      <c r="B1994" s="2" t="s">
        <v>2045</v>
      </c>
      <c r="C1994" s="1" t="s">
        <v>2046</v>
      </c>
      <c r="D1994" s="1" t="s">
        <v>757</v>
      </c>
      <c r="E1994" s="3">
        <v>1.0</v>
      </c>
      <c r="F1994" s="3">
        <v>0.0</v>
      </c>
    </row>
    <row r="1995" ht="12.75" customHeight="1">
      <c r="A1995" s="1">
        <v>0.0</v>
      </c>
      <c r="B1995" s="2" t="s">
        <v>2047</v>
      </c>
      <c r="C1995" s="1" t="s">
        <v>2048</v>
      </c>
      <c r="D1995" s="1" t="s">
        <v>757</v>
      </c>
      <c r="E1995" s="3">
        <v>1.0</v>
      </c>
      <c r="F1995" s="3">
        <v>0.0</v>
      </c>
    </row>
    <row r="1996" ht="12.75" customHeight="1">
      <c r="A1996" s="1">
        <v>0.0</v>
      </c>
      <c r="B1996" s="2" t="s">
        <v>2049</v>
      </c>
      <c r="C1996" s="1" t="s">
        <v>2050</v>
      </c>
      <c r="D1996" s="1" t="s">
        <v>757</v>
      </c>
      <c r="E1996" s="3">
        <v>1.0</v>
      </c>
      <c r="F1996" s="3">
        <v>0.0</v>
      </c>
    </row>
    <row r="1997" ht="12.75" customHeight="1">
      <c r="A1997" s="1">
        <v>0.0</v>
      </c>
      <c r="B1997" s="2">
        <v>4060181.0</v>
      </c>
      <c r="C1997" s="1" t="s">
        <v>5316</v>
      </c>
      <c r="D1997" s="1" t="s">
        <v>1691</v>
      </c>
      <c r="E1997" s="3">
        <v>1.0</v>
      </c>
      <c r="F1997" s="3">
        <v>0.0</v>
      </c>
    </row>
    <row r="1998" ht="12.75" customHeight="1">
      <c r="A1998" s="1">
        <v>0.0</v>
      </c>
      <c r="B1998" s="2">
        <v>4060193.0</v>
      </c>
      <c r="C1998" s="1" t="s">
        <v>2024</v>
      </c>
      <c r="D1998" s="1" t="s">
        <v>2025</v>
      </c>
      <c r="E1998" s="3">
        <v>1.0</v>
      </c>
      <c r="F1998" s="3">
        <v>0.0</v>
      </c>
    </row>
    <row r="1999" ht="12.75" customHeight="1">
      <c r="A1999" s="1">
        <v>0.0</v>
      </c>
      <c r="B1999" s="2" t="s">
        <v>1712</v>
      </c>
      <c r="C1999" s="1" t="s">
        <v>984</v>
      </c>
      <c r="D1999" s="1" t="s">
        <v>1713</v>
      </c>
      <c r="E1999" s="3">
        <v>1.0</v>
      </c>
      <c r="F1999" s="3">
        <v>0.0</v>
      </c>
    </row>
    <row r="2000" ht="12.75" customHeight="1">
      <c r="A2000" s="1">
        <v>0.0</v>
      </c>
      <c r="B2000" s="2" t="s">
        <v>2051</v>
      </c>
      <c r="C2000" s="1" t="s">
        <v>2052</v>
      </c>
      <c r="D2000" s="1" t="s">
        <v>757</v>
      </c>
      <c r="E2000" s="3">
        <v>1.0</v>
      </c>
      <c r="F2000" s="3">
        <v>0.0</v>
      </c>
    </row>
    <row r="2001" ht="12.75" customHeight="1">
      <c r="A2001" s="1">
        <v>0.0</v>
      </c>
      <c r="B2001" s="2" t="s">
        <v>2626</v>
      </c>
      <c r="C2001" s="1" t="s">
        <v>984</v>
      </c>
      <c r="D2001" s="1" t="s">
        <v>985</v>
      </c>
      <c r="E2001" s="3">
        <v>1.0</v>
      </c>
      <c r="F2001" s="3">
        <v>0.0</v>
      </c>
    </row>
    <row r="2002" ht="12.75" customHeight="1">
      <c r="A2002" s="1">
        <v>0.0</v>
      </c>
      <c r="B2002" s="2" t="s">
        <v>2627</v>
      </c>
      <c r="C2002" s="1" t="s">
        <v>984</v>
      </c>
      <c r="D2002" s="1" t="s">
        <v>985</v>
      </c>
      <c r="E2002" s="3">
        <v>1.0</v>
      </c>
      <c r="F2002" s="3">
        <v>0.0</v>
      </c>
    </row>
    <row r="2003" ht="12.75" customHeight="1">
      <c r="A2003" s="1">
        <v>0.0</v>
      </c>
      <c r="B2003" s="2" t="s">
        <v>2628</v>
      </c>
      <c r="C2003" s="1" t="s">
        <v>984</v>
      </c>
      <c r="D2003" s="1" t="s">
        <v>985</v>
      </c>
      <c r="E2003" s="3">
        <v>1.0</v>
      </c>
      <c r="F2003" s="3">
        <v>0.0</v>
      </c>
    </row>
    <row r="2004" ht="12.75" customHeight="1">
      <c r="A2004" s="1">
        <v>0.0</v>
      </c>
      <c r="B2004" s="2" t="s">
        <v>2629</v>
      </c>
      <c r="C2004" s="1" t="s">
        <v>984</v>
      </c>
      <c r="D2004" s="1" t="s">
        <v>985</v>
      </c>
      <c r="E2004" s="3">
        <v>1.0</v>
      </c>
      <c r="F2004" s="3">
        <v>0.0</v>
      </c>
    </row>
    <row r="2005" ht="12.75" customHeight="1">
      <c r="A2005" s="1">
        <v>0.0</v>
      </c>
      <c r="B2005" s="2" t="s">
        <v>2630</v>
      </c>
      <c r="C2005" s="1" t="s">
        <v>984</v>
      </c>
      <c r="D2005" s="1" t="s">
        <v>985</v>
      </c>
      <c r="E2005" s="3">
        <v>1.0</v>
      </c>
      <c r="F2005" s="3">
        <v>0.0</v>
      </c>
    </row>
    <row r="2006" ht="12.75" customHeight="1">
      <c r="A2006" s="1">
        <v>0.0</v>
      </c>
      <c r="B2006" s="2" t="s">
        <v>2631</v>
      </c>
      <c r="C2006" s="1" t="s">
        <v>984</v>
      </c>
      <c r="D2006" s="1" t="s">
        <v>985</v>
      </c>
      <c r="E2006" s="3">
        <v>1.0</v>
      </c>
      <c r="F2006" s="3">
        <v>0.0</v>
      </c>
    </row>
    <row r="2007" ht="12.75" customHeight="1">
      <c r="A2007" s="1">
        <v>0.0</v>
      </c>
      <c r="B2007" s="2" t="s">
        <v>2632</v>
      </c>
      <c r="C2007" s="1" t="s">
        <v>984</v>
      </c>
      <c r="D2007" s="1" t="s">
        <v>985</v>
      </c>
      <c r="E2007" s="3">
        <v>1.0</v>
      </c>
      <c r="F2007" s="3">
        <v>0.0</v>
      </c>
    </row>
    <row r="2008" ht="12.75" customHeight="1">
      <c r="A2008" s="1">
        <v>0.0</v>
      </c>
      <c r="B2008" s="2" t="s">
        <v>2091</v>
      </c>
      <c r="C2008" s="1" t="s">
        <v>2092</v>
      </c>
      <c r="D2008" s="1" t="s">
        <v>769</v>
      </c>
      <c r="E2008" s="3">
        <v>1.0</v>
      </c>
      <c r="F2008" s="3">
        <v>0.0</v>
      </c>
    </row>
    <row r="2009" ht="12.75" customHeight="1">
      <c r="A2009" s="1">
        <v>0.0</v>
      </c>
      <c r="B2009" s="2" t="s">
        <v>2633</v>
      </c>
      <c r="C2009" s="1" t="s">
        <v>984</v>
      </c>
      <c r="D2009" s="1" t="s">
        <v>985</v>
      </c>
      <c r="E2009" s="3">
        <v>1.0</v>
      </c>
      <c r="F2009" s="3">
        <v>0.0</v>
      </c>
    </row>
    <row r="2010" ht="12.75" customHeight="1">
      <c r="A2010" s="1">
        <v>0.0</v>
      </c>
      <c r="B2010" s="2" t="s">
        <v>2053</v>
      </c>
      <c r="C2010" s="1" t="s">
        <v>2054</v>
      </c>
      <c r="D2010" s="1" t="s">
        <v>757</v>
      </c>
      <c r="E2010" s="3">
        <v>1.0</v>
      </c>
      <c r="F2010" s="3">
        <v>0.0</v>
      </c>
    </row>
    <row r="2011" ht="12.75" customHeight="1">
      <c r="A2011" s="1">
        <v>0.0</v>
      </c>
      <c r="B2011" s="2" t="s">
        <v>2136</v>
      </c>
      <c r="C2011" s="1" t="s">
        <v>757</v>
      </c>
      <c r="D2011" s="1" t="s">
        <v>2137</v>
      </c>
      <c r="E2011" s="3">
        <v>1.0</v>
      </c>
      <c r="F2011" s="3">
        <v>0.0</v>
      </c>
    </row>
    <row r="2012" ht="12.75" customHeight="1">
      <c r="A2012" s="1">
        <v>0.0</v>
      </c>
      <c r="B2012" s="2" t="s">
        <v>1791</v>
      </c>
      <c r="C2012" s="1" t="s">
        <v>757</v>
      </c>
      <c r="D2012" s="1" t="s">
        <v>1792</v>
      </c>
      <c r="E2012" s="3">
        <v>1.0</v>
      </c>
      <c r="F2012" s="3">
        <v>0.0</v>
      </c>
    </row>
    <row r="2013" ht="12.75" customHeight="1">
      <c r="A2013" s="1">
        <v>0.0</v>
      </c>
      <c r="B2013" s="2" t="s">
        <v>2005</v>
      </c>
      <c r="C2013" s="1" t="s">
        <v>757</v>
      </c>
      <c r="D2013" s="1" t="s">
        <v>2006</v>
      </c>
      <c r="E2013" s="3">
        <v>1.0</v>
      </c>
      <c r="F2013" s="3">
        <v>0.0</v>
      </c>
    </row>
    <row r="2014" ht="12.75" customHeight="1">
      <c r="A2014" s="1">
        <v>0.0</v>
      </c>
      <c r="B2014" s="2" t="s">
        <v>2346</v>
      </c>
      <c r="C2014" s="1" t="s">
        <v>757</v>
      </c>
      <c r="D2014" s="1" t="s">
        <v>854</v>
      </c>
      <c r="E2014" s="3">
        <v>1.0</v>
      </c>
      <c r="F2014" s="3">
        <v>0.0</v>
      </c>
    </row>
    <row r="2015" ht="12.75" customHeight="1">
      <c r="A2015" s="1">
        <v>0.0</v>
      </c>
      <c r="B2015" s="2" t="s">
        <v>2347</v>
      </c>
      <c r="C2015" s="1" t="s">
        <v>757</v>
      </c>
      <c r="D2015" s="1" t="s">
        <v>854</v>
      </c>
      <c r="E2015" s="3">
        <v>1.0</v>
      </c>
      <c r="F2015" s="3">
        <v>0.0</v>
      </c>
    </row>
    <row r="2016" ht="12.75" customHeight="1">
      <c r="A2016" s="1">
        <v>0.0</v>
      </c>
      <c r="B2016" s="2" t="s">
        <v>2456</v>
      </c>
      <c r="C2016" s="1" t="s">
        <v>757</v>
      </c>
      <c r="D2016" s="1" t="s">
        <v>2457</v>
      </c>
      <c r="E2016" s="3">
        <v>1.0</v>
      </c>
      <c r="F2016" s="3">
        <v>0.0</v>
      </c>
    </row>
    <row r="2017" ht="12.75" customHeight="1">
      <c r="A2017" s="1">
        <v>0.0</v>
      </c>
      <c r="B2017" s="2" t="s">
        <v>2458</v>
      </c>
      <c r="C2017" s="1" t="s">
        <v>757</v>
      </c>
      <c r="D2017" s="1" t="s">
        <v>921</v>
      </c>
      <c r="E2017" s="3">
        <v>1.0</v>
      </c>
      <c r="F2017" s="3">
        <v>0.0</v>
      </c>
    </row>
    <row r="2018" ht="12.75" customHeight="1">
      <c r="A2018" s="1">
        <v>0.0</v>
      </c>
      <c r="B2018" s="2" t="s">
        <v>2634</v>
      </c>
      <c r="C2018" s="1" t="s">
        <v>757</v>
      </c>
      <c r="D2018" s="1" t="s">
        <v>985</v>
      </c>
      <c r="E2018" s="3">
        <v>1.0</v>
      </c>
      <c r="F2018" s="3">
        <v>0.0</v>
      </c>
    </row>
    <row r="2019" ht="12.75" customHeight="1">
      <c r="A2019" s="1">
        <v>0.0</v>
      </c>
      <c r="B2019" s="2" t="s">
        <v>2055</v>
      </c>
      <c r="C2019" s="1" t="s">
        <v>2056</v>
      </c>
      <c r="D2019" s="1" t="s">
        <v>757</v>
      </c>
      <c r="E2019" s="3">
        <v>1.0</v>
      </c>
      <c r="F2019" s="3">
        <v>0.0</v>
      </c>
    </row>
    <row r="2020" ht="12.75" customHeight="1">
      <c r="A2020" s="1">
        <v>0.0</v>
      </c>
      <c r="B2020" s="2" t="s">
        <v>2076</v>
      </c>
      <c r="C2020" s="1" t="s">
        <v>2077</v>
      </c>
      <c r="D2020" s="1" t="s">
        <v>766</v>
      </c>
      <c r="E2020" s="3">
        <v>1.0</v>
      </c>
      <c r="F2020" s="3">
        <v>0.0</v>
      </c>
    </row>
    <row r="2021" ht="12.75" customHeight="1">
      <c r="A2021" s="1">
        <v>0.0</v>
      </c>
      <c r="B2021" s="2" t="s">
        <v>2083</v>
      </c>
      <c r="C2021" s="1" t="s">
        <v>2084</v>
      </c>
      <c r="D2021" s="1" t="s">
        <v>2082</v>
      </c>
      <c r="E2021" s="3">
        <v>1.0</v>
      </c>
      <c r="F2021" s="3">
        <v>0.0</v>
      </c>
    </row>
    <row r="2022" ht="12.75" customHeight="1">
      <c r="A2022" s="1">
        <v>0.0</v>
      </c>
      <c r="B2022" s="2" t="s">
        <v>2013</v>
      </c>
      <c r="C2022" s="1" t="s">
        <v>2014</v>
      </c>
      <c r="D2022" s="1" t="s">
        <v>2015</v>
      </c>
      <c r="E2022" s="3">
        <v>1.0</v>
      </c>
      <c r="F2022" s="3">
        <v>0.0</v>
      </c>
    </row>
    <row r="2023" ht="12.75" customHeight="1">
      <c r="A2023" s="1">
        <v>0.0</v>
      </c>
      <c r="B2023" s="2" t="s">
        <v>3531</v>
      </c>
      <c r="C2023" s="1" t="s">
        <v>757</v>
      </c>
      <c r="D2023" s="1" t="s">
        <v>916</v>
      </c>
      <c r="E2023" s="3">
        <v>1.0</v>
      </c>
      <c r="F2023" s="3">
        <v>0.0</v>
      </c>
    </row>
    <row r="2024" ht="12.75" customHeight="1">
      <c r="A2024" s="1">
        <v>0.0</v>
      </c>
      <c r="B2024" s="2" t="s">
        <v>3544</v>
      </c>
      <c r="C2024" s="1" t="s">
        <v>757</v>
      </c>
      <c r="D2024" s="1" t="s">
        <v>3545</v>
      </c>
      <c r="E2024" s="3">
        <v>1.0</v>
      </c>
      <c r="F2024" s="3">
        <v>0.0</v>
      </c>
    </row>
    <row r="2025" ht="12.75" customHeight="1">
      <c r="A2025" s="1">
        <v>0.0</v>
      </c>
      <c r="B2025" s="2" t="s">
        <v>2057</v>
      </c>
      <c r="C2025" s="1" t="s">
        <v>2058</v>
      </c>
      <c r="D2025" s="1" t="s">
        <v>757</v>
      </c>
      <c r="E2025" s="3">
        <v>1.0</v>
      </c>
      <c r="F2025" s="3">
        <v>0.0</v>
      </c>
    </row>
    <row r="2026" ht="12.75" customHeight="1">
      <c r="A2026" s="1">
        <v>0.0</v>
      </c>
      <c r="B2026" s="2" t="s">
        <v>2059</v>
      </c>
      <c r="C2026" s="1" t="s">
        <v>2060</v>
      </c>
      <c r="D2026" s="1" t="s">
        <v>757</v>
      </c>
      <c r="E2026" s="3">
        <v>1.0</v>
      </c>
      <c r="F2026" s="3">
        <v>0.0</v>
      </c>
    </row>
    <row r="2027" ht="12.75" customHeight="1">
      <c r="A2027" s="1">
        <v>0.0</v>
      </c>
      <c r="B2027" s="2" t="s">
        <v>2635</v>
      </c>
      <c r="C2027" s="1" t="s">
        <v>2636</v>
      </c>
      <c r="D2027" s="1" t="s">
        <v>985</v>
      </c>
      <c r="E2027" s="3">
        <v>1.0</v>
      </c>
      <c r="F2027" s="3">
        <v>0.0</v>
      </c>
    </row>
    <row r="2028" ht="12.75" customHeight="1">
      <c r="A2028" s="1">
        <v>0.0</v>
      </c>
      <c r="B2028" s="2" t="s">
        <v>2085</v>
      </c>
      <c r="C2028" s="1" t="s">
        <v>2086</v>
      </c>
      <c r="D2028" s="1" t="s">
        <v>2082</v>
      </c>
      <c r="E2028" s="3">
        <v>1.0</v>
      </c>
      <c r="F2028" s="3">
        <v>0.0</v>
      </c>
    </row>
    <row r="2029" ht="12.75" customHeight="1">
      <c r="A2029" s="1">
        <v>0.0</v>
      </c>
      <c r="B2029" s="2" t="s">
        <v>2087</v>
      </c>
      <c r="C2029" s="1" t="s">
        <v>2088</v>
      </c>
      <c r="D2029" s="1" t="s">
        <v>2082</v>
      </c>
      <c r="E2029" s="3">
        <v>1.0</v>
      </c>
      <c r="F2029" s="3">
        <v>0.0</v>
      </c>
    </row>
    <row r="2030" ht="12.75" customHeight="1">
      <c r="A2030" s="1">
        <v>0.0</v>
      </c>
      <c r="B2030" s="2" t="s">
        <v>2061</v>
      </c>
      <c r="C2030" s="1" t="s">
        <v>854</v>
      </c>
      <c r="D2030" s="1" t="s">
        <v>757</v>
      </c>
      <c r="E2030" s="3">
        <v>1.0</v>
      </c>
      <c r="F2030" s="3">
        <v>0.0</v>
      </c>
    </row>
    <row r="2031" ht="12.75" customHeight="1">
      <c r="A2031" s="1">
        <v>0.0</v>
      </c>
      <c r="B2031" s="2" t="s">
        <v>2062</v>
      </c>
      <c r="C2031" s="1" t="s">
        <v>2063</v>
      </c>
      <c r="D2031" s="1" t="s">
        <v>757</v>
      </c>
      <c r="E2031" s="3">
        <v>1.0</v>
      </c>
      <c r="F2031" s="3">
        <v>0.0</v>
      </c>
    </row>
    <row r="2032" ht="12.75" customHeight="1">
      <c r="A2032" s="1">
        <v>0.0</v>
      </c>
      <c r="B2032" s="2" t="s">
        <v>2064</v>
      </c>
      <c r="C2032" s="1" t="s">
        <v>2065</v>
      </c>
      <c r="D2032" s="1" t="s">
        <v>757</v>
      </c>
      <c r="E2032" s="3">
        <v>1.0</v>
      </c>
      <c r="F2032" s="3">
        <v>0.0</v>
      </c>
    </row>
    <row r="2033" ht="12.75" customHeight="1">
      <c r="A2033" s="1">
        <v>0.0</v>
      </c>
      <c r="B2033" s="2" t="s">
        <v>2066</v>
      </c>
      <c r="C2033" s="1" t="s">
        <v>2067</v>
      </c>
      <c r="D2033" s="1" t="s">
        <v>757</v>
      </c>
      <c r="E2033" s="3">
        <v>1.0</v>
      </c>
      <c r="F2033" s="3">
        <v>0.0</v>
      </c>
    </row>
    <row r="2034" ht="12.75" customHeight="1">
      <c r="A2034" s="1">
        <v>0.0</v>
      </c>
      <c r="B2034" s="2" t="s">
        <v>2619</v>
      </c>
      <c r="C2034" s="1" t="s">
        <v>2063</v>
      </c>
      <c r="D2034" s="1" t="s">
        <v>2620</v>
      </c>
      <c r="E2034" s="3">
        <v>1.0</v>
      </c>
      <c r="F2034" s="3">
        <v>0.0</v>
      </c>
    </row>
    <row r="2035" ht="12.75" customHeight="1">
      <c r="A2035" s="1">
        <v>0.0</v>
      </c>
      <c r="B2035" s="2" t="s">
        <v>2068</v>
      </c>
      <c r="C2035" s="1" t="s">
        <v>2069</v>
      </c>
      <c r="D2035" s="1" t="s">
        <v>757</v>
      </c>
      <c r="E2035" s="3">
        <v>1.0</v>
      </c>
      <c r="F2035" s="3">
        <v>0.0</v>
      </c>
    </row>
    <row r="2036" ht="12.75" customHeight="1">
      <c r="A2036" s="1">
        <v>0.0</v>
      </c>
      <c r="B2036" s="2" t="s">
        <v>2073</v>
      </c>
      <c r="C2036" s="1" t="s">
        <v>2074</v>
      </c>
      <c r="D2036" s="1" t="s">
        <v>2075</v>
      </c>
      <c r="E2036" s="3">
        <v>1.0</v>
      </c>
      <c r="F2036" s="3">
        <v>0.0</v>
      </c>
    </row>
    <row r="2037" ht="12.75" customHeight="1">
      <c r="A2037" s="1">
        <v>0.0</v>
      </c>
      <c r="B2037" s="2">
        <v>4310102.0</v>
      </c>
      <c r="C2037" s="1" t="s">
        <v>2477</v>
      </c>
      <c r="D2037" s="1" t="s">
        <v>2478</v>
      </c>
      <c r="E2037" s="3">
        <v>1.0</v>
      </c>
      <c r="F2037" s="3">
        <v>0.0</v>
      </c>
    </row>
    <row r="2038" ht="12.75" customHeight="1">
      <c r="A2038" s="1">
        <v>0.0</v>
      </c>
      <c r="B2038" s="2">
        <v>4490113.0</v>
      </c>
      <c r="C2038" s="1" t="s">
        <v>109</v>
      </c>
      <c r="D2038" s="1" t="s">
        <v>2639</v>
      </c>
      <c r="E2038" s="3">
        <v>1.0</v>
      </c>
      <c r="F2038" s="3">
        <v>0.0</v>
      </c>
    </row>
    <row r="2039" ht="12.75" customHeight="1">
      <c r="A2039" s="1">
        <v>0.0</v>
      </c>
      <c r="B2039" s="2">
        <v>4950102.0</v>
      </c>
      <c r="C2039" s="1" t="s">
        <v>2721</v>
      </c>
      <c r="D2039" s="1" t="s">
        <v>2722</v>
      </c>
      <c r="E2039" s="3">
        <v>1.0</v>
      </c>
      <c r="F2039" s="3">
        <v>0.0</v>
      </c>
    </row>
    <row r="2040" ht="12.75" customHeight="1">
      <c r="A2040" s="1">
        <v>0.0</v>
      </c>
      <c r="B2040" s="2">
        <v>5090020.0</v>
      </c>
      <c r="C2040" s="1" t="s">
        <v>261</v>
      </c>
      <c r="D2040" s="1" t="s">
        <v>3837</v>
      </c>
      <c r="E2040" s="3">
        <v>1.0</v>
      </c>
      <c r="F2040" s="3">
        <v>0.0</v>
      </c>
    </row>
    <row r="2041" ht="12.75" customHeight="1">
      <c r="A2041" s="1">
        <v>0.0</v>
      </c>
      <c r="B2041" s="2">
        <v>5090030.0</v>
      </c>
      <c r="C2041" s="1" t="s">
        <v>1944</v>
      </c>
      <c r="D2041" s="1" t="s">
        <v>1945</v>
      </c>
      <c r="E2041" s="3">
        <v>1.0</v>
      </c>
      <c r="F2041" s="3">
        <v>0.0</v>
      </c>
    </row>
    <row r="2042" ht="12.75" customHeight="1">
      <c r="A2042" s="1">
        <v>0.0</v>
      </c>
      <c r="B2042" s="2" t="s">
        <v>1786</v>
      </c>
      <c r="C2042" s="1" t="s">
        <v>261</v>
      </c>
      <c r="D2042" s="1" t="s">
        <v>1787</v>
      </c>
      <c r="E2042" s="3">
        <v>1.0</v>
      </c>
      <c r="F2042" s="3">
        <v>0.0</v>
      </c>
    </row>
    <row r="2043" ht="12.75" customHeight="1">
      <c r="A2043" s="1">
        <v>0.0</v>
      </c>
      <c r="B2043" s="2" t="s">
        <v>1948</v>
      </c>
      <c r="C2043" s="1" t="s">
        <v>1949</v>
      </c>
      <c r="D2043" s="1" t="s">
        <v>1950</v>
      </c>
      <c r="E2043" s="3">
        <v>1.0</v>
      </c>
      <c r="F2043" s="3">
        <v>0.0</v>
      </c>
    </row>
    <row r="2044" ht="12.75" customHeight="1">
      <c r="A2044" s="1">
        <v>0.0</v>
      </c>
      <c r="B2044" s="2" t="s">
        <v>1993</v>
      </c>
      <c r="C2044" s="1" t="s">
        <v>261</v>
      </c>
      <c r="D2044" s="1" t="s">
        <v>1994</v>
      </c>
      <c r="E2044" s="3">
        <v>1.0</v>
      </c>
      <c r="F2044" s="3">
        <v>0.0</v>
      </c>
    </row>
    <row r="2045" ht="12.75" customHeight="1">
      <c r="A2045" s="1">
        <v>0.0</v>
      </c>
      <c r="B2045" s="2" t="s">
        <v>1785</v>
      </c>
      <c r="C2045" s="1" t="s">
        <v>261</v>
      </c>
      <c r="D2045" s="1" t="s">
        <v>262</v>
      </c>
      <c r="E2045" s="3">
        <v>1.0</v>
      </c>
      <c r="F2045" s="3">
        <v>0.0</v>
      </c>
    </row>
    <row r="2046" ht="12.75" customHeight="1">
      <c r="A2046" s="1">
        <v>0.0</v>
      </c>
      <c r="B2046" s="2" t="s">
        <v>3498</v>
      </c>
      <c r="C2046" s="1" t="s">
        <v>261</v>
      </c>
      <c r="D2046" s="1" t="s">
        <v>3499</v>
      </c>
      <c r="E2046" s="3">
        <v>1.0</v>
      </c>
      <c r="F2046" s="3">
        <v>0.0</v>
      </c>
    </row>
    <row r="2047" ht="12.75" customHeight="1">
      <c r="A2047" s="1">
        <v>0.0</v>
      </c>
      <c r="B2047" s="2">
        <v>5090206.0</v>
      </c>
      <c r="C2047" s="1" t="s">
        <v>167</v>
      </c>
      <c r="D2047" s="1" t="s">
        <v>3880</v>
      </c>
      <c r="E2047" s="3">
        <v>1.0</v>
      </c>
      <c r="F2047" s="3">
        <v>0.0</v>
      </c>
    </row>
    <row r="2048" ht="12.75" customHeight="1">
      <c r="A2048" s="1">
        <v>0.0</v>
      </c>
      <c r="B2048" s="2">
        <v>5090208.0</v>
      </c>
      <c r="C2048" s="1" t="s">
        <v>2759</v>
      </c>
      <c r="D2048" s="1" t="s">
        <v>2760</v>
      </c>
      <c r="E2048" s="3">
        <v>1.0</v>
      </c>
      <c r="F2048" s="3">
        <v>0.0</v>
      </c>
    </row>
    <row r="2049" ht="12.75" customHeight="1">
      <c r="A2049" s="1">
        <v>0.0</v>
      </c>
      <c r="B2049" s="2">
        <v>5090229.0</v>
      </c>
      <c r="C2049" s="1" t="s">
        <v>1939</v>
      </c>
      <c r="D2049" s="1" t="s">
        <v>1940</v>
      </c>
      <c r="E2049" s="3">
        <v>1.0</v>
      </c>
      <c r="F2049" s="3">
        <v>0.0</v>
      </c>
    </row>
    <row r="2050" ht="12.75" customHeight="1">
      <c r="A2050" s="1">
        <v>0.0</v>
      </c>
      <c r="B2050" s="2">
        <v>5090329.0</v>
      </c>
      <c r="C2050" s="1" t="s">
        <v>261</v>
      </c>
      <c r="D2050" s="1" t="s">
        <v>1995</v>
      </c>
      <c r="E2050" s="3">
        <v>1.0</v>
      </c>
      <c r="F2050" s="3">
        <v>0.0</v>
      </c>
    </row>
    <row r="2051" ht="12.75" customHeight="1">
      <c r="A2051" s="1">
        <v>0.0</v>
      </c>
      <c r="B2051" s="2">
        <v>5090330.0</v>
      </c>
      <c r="C2051" s="1" t="s">
        <v>261</v>
      </c>
      <c r="D2051" s="1" t="s">
        <v>1996</v>
      </c>
      <c r="E2051" s="3">
        <v>1.0</v>
      </c>
      <c r="F2051" s="3">
        <v>0.0</v>
      </c>
    </row>
    <row r="2052" ht="12.75" customHeight="1">
      <c r="A2052" s="1">
        <v>0.0</v>
      </c>
      <c r="B2052" s="2">
        <v>5090337.0</v>
      </c>
      <c r="C2052" s="1" t="s">
        <v>261</v>
      </c>
      <c r="D2052" s="1" t="s">
        <v>2249</v>
      </c>
      <c r="E2052" s="3">
        <v>1.0</v>
      </c>
      <c r="F2052" s="3">
        <v>0.0</v>
      </c>
    </row>
    <row r="2053" ht="12.75" customHeight="1">
      <c r="A2053" s="1">
        <v>0.0</v>
      </c>
      <c r="B2053" s="2">
        <v>5090402.0</v>
      </c>
      <c r="C2053" s="1" t="s">
        <v>261</v>
      </c>
      <c r="D2053" s="1" t="s">
        <v>1390</v>
      </c>
      <c r="E2053" s="3">
        <v>1.0</v>
      </c>
      <c r="F2053" s="3">
        <v>0.0</v>
      </c>
    </row>
    <row r="2054" ht="12.75" customHeight="1">
      <c r="A2054" s="1">
        <v>0.0</v>
      </c>
      <c r="B2054" s="2">
        <v>5100204.0</v>
      </c>
      <c r="C2054" s="1" t="s">
        <v>2771</v>
      </c>
      <c r="D2054" s="1" t="s">
        <v>1064</v>
      </c>
      <c r="E2054" s="3">
        <v>1.0</v>
      </c>
      <c r="F2054" s="3">
        <v>0.0</v>
      </c>
    </row>
    <row r="2055" ht="12.75" customHeight="1">
      <c r="A2055" s="1">
        <v>0.0</v>
      </c>
      <c r="B2055" s="2">
        <v>5100206.0</v>
      </c>
      <c r="C2055" s="1" t="s">
        <v>2771</v>
      </c>
      <c r="D2055" s="1" t="s">
        <v>318</v>
      </c>
      <c r="E2055" s="3">
        <v>1.0</v>
      </c>
      <c r="F2055" s="3">
        <v>0.0</v>
      </c>
    </row>
    <row r="2056" ht="12.75" customHeight="1">
      <c r="A2056" s="1">
        <v>0.0</v>
      </c>
      <c r="B2056" s="2">
        <v>5480221.0</v>
      </c>
      <c r="C2056" s="1" t="s">
        <v>2270</v>
      </c>
      <c r="D2056" s="1" t="s">
        <v>2269</v>
      </c>
      <c r="E2056" s="3">
        <v>1.0</v>
      </c>
      <c r="F2056" s="3">
        <v>0.0</v>
      </c>
    </row>
    <row r="2057" ht="12.75" customHeight="1">
      <c r="A2057" s="1">
        <v>0.0</v>
      </c>
      <c r="B2057" s="2">
        <v>5690103.0</v>
      </c>
      <c r="C2057" s="1" t="s">
        <v>2836</v>
      </c>
      <c r="D2057" s="1" t="s">
        <v>2837</v>
      </c>
      <c r="E2057" s="3">
        <v>1.0</v>
      </c>
      <c r="F2057" s="3">
        <v>0.0</v>
      </c>
    </row>
    <row r="2058" ht="12.75" customHeight="1">
      <c r="A2058" s="1">
        <v>0.0</v>
      </c>
      <c r="B2058" s="2">
        <v>5720102.0</v>
      </c>
      <c r="C2058" s="1" t="s">
        <v>3915</v>
      </c>
      <c r="D2058" s="1" t="s">
        <v>3916</v>
      </c>
      <c r="E2058" s="3">
        <v>1.0</v>
      </c>
      <c r="F2058" s="3">
        <v>0.0</v>
      </c>
    </row>
    <row r="2059" ht="12.75" customHeight="1">
      <c r="A2059" s="1">
        <v>0.0</v>
      </c>
      <c r="B2059" s="2">
        <v>5770102.0</v>
      </c>
      <c r="C2059" s="1" t="s">
        <v>3552</v>
      </c>
      <c r="D2059" s="1" t="s">
        <v>3553</v>
      </c>
      <c r="E2059" s="3">
        <v>1.0</v>
      </c>
      <c r="F2059" s="3">
        <v>0.0</v>
      </c>
    </row>
    <row r="2060" ht="12.75" customHeight="1">
      <c r="A2060" s="1">
        <v>0.0</v>
      </c>
      <c r="B2060" s="2">
        <v>6100202.0</v>
      </c>
      <c r="C2060" s="1" t="s">
        <v>3209</v>
      </c>
      <c r="D2060" s="1" t="s">
        <v>3210</v>
      </c>
      <c r="E2060" s="3">
        <v>1.0</v>
      </c>
      <c r="F2060" s="3">
        <v>0.0</v>
      </c>
    </row>
    <row r="2061" ht="12.75" customHeight="1">
      <c r="A2061" s="1">
        <v>0.0</v>
      </c>
      <c r="B2061" s="2">
        <v>6270502.0</v>
      </c>
      <c r="C2061" s="1" t="s">
        <v>2227</v>
      </c>
      <c r="D2061" s="1" t="s">
        <v>2228</v>
      </c>
      <c r="E2061" s="3">
        <v>1.0</v>
      </c>
      <c r="F2061" s="3">
        <v>0.0</v>
      </c>
    </row>
    <row r="2062" ht="12.75" customHeight="1">
      <c r="A2062" s="1">
        <v>0.0</v>
      </c>
      <c r="B2062" s="2">
        <v>6380103.0</v>
      </c>
      <c r="C2062" s="1" t="s">
        <v>1655</v>
      </c>
      <c r="D2062" s="1">
        <v>2000.0</v>
      </c>
      <c r="E2062" s="3">
        <v>1.0</v>
      </c>
      <c r="F2062" s="3">
        <v>0.0</v>
      </c>
    </row>
    <row r="2063" ht="12.75" customHeight="1">
      <c r="A2063" s="1">
        <v>0.0</v>
      </c>
      <c r="B2063" s="2">
        <v>6459007.0</v>
      </c>
      <c r="C2063" s="1" t="s">
        <v>3151</v>
      </c>
      <c r="D2063" s="1" t="s">
        <v>3158</v>
      </c>
      <c r="E2063" s="3">
        <v>1.0</v>
      </c>
      <c r="F2063" s="3">
        <v>0.0</v>
      </c>
    </row>
    <row r="2064" ht="12.75" customHeight="1">
      <c r="A2064" s="1">
        <v>0.0</v>
      </c>
      <c r="B2064" s="2">
        <v>6610102.0</v>
      </c>
      <c r="C2064" s="1" t="s">
        <v>613</v>
      </c>
      <c r="D2064" s="1" t="s">
        <v>2233</v>
      </c>
      <c r="E2064" s="3">
        <v>1.0</v>
      </c>
      <c r="F2064" s="3">
        <v>0.0</v>
      </c>
    </row>
    <row r="2065" ht="12.75" customHeight="1">
      <c r="A2065" s="1">
        <v>0.0</v>
      </c>
      <c r="B2065" s="2">
        <v>6820102.0</v>
      </c>
      <c r="C2065" s="1" t="s">
        <v>2643</v>
      </c>
      <c r="D2065" s="1" t="s">
        <v>995</v>
      </c>
      <c r="E2065" s="3">
        <v>1.0</v>
      </c>
      <c r="F2065" s="3">
        <v>0.0</v>
      </c>
    </row>
    <row r="2066" ht="12.75" customHeight="1">
      <c r="A2066" s="1">
        <v>0.0</v>
      </c>
      <c r="B2066" s="2">
        <v>7090500.0</v>
      </c>
      <c r="C2066" s="1" t="s">
        <v>112</v>
      </c>
      <c r="D2066" s="1" t="s">
        <v>1784</v>
      </c>
      <c r="E2066" s="3">
        <v>1.0</v>
      </c>
      <c r="F2066" s="3">
        <v>0.0</v>
      </c>
    </row>
    <row r="2067" ht="12.75" customHeight="1">
      <c r="A2067" s="1">
        <v>0.0</v>
      </c>
      <c r="B2067" s="2">
        <v>7100104.0</v>
      </c>
      <c r="C2067" s="1" t="s">
        <v>563</v>
      </c>
      <c r="D2067" s="1" t="s">
        <v>4045</v>
      </c>
      <c r="E2067" s="3">
        <v>1.0</v>
      </c>
      <c r="F2067" s="3">
        <v>0.0</v>
      </c>
    </row>
    <row r="2068" ht="12.75" customHeight="1">
      <c r="A2068" s="1">
        <v>0.0</v>
      </c>
      <c r="B2068" s="2">
        <v>7300104.0</v>
      </c>
      <c r="C2068" s="1" t="s">
        <v>364</v>
      </c>
      <c r="D2068" s="1" t="s">
        <v>3879</v>
      </c>
      <c r="E2068" s="3">
        <v>1.0</v>
      </c>
      <c r="F2068" s="3">
        <v>0.0</v>
      </c>
    </row>
    <row r="2069" ht="12.75" customHeight="1">
      <c r="A2069" s="1">
        <v>0.0</v>
      </c>
      <c r="B2069" s="2">
        <v>7300106.0</v>
      </c>
      <c r="C2069" s="1" t="s">
        <v>364</v>
      </c>
      <c r="D2069" s="1" t="s">
        <v>2764</v>
      </c>
      <c r="E2069" s="3">
        <v>1.0</v>
      </c>
      <c r="F2069" s="3">
        <v>0.0</v>
      </c>
    </row>
    <row r="2070" ht="12.75" customHeight="1">
      <c r="A2070" s="1">
        <v>0.0</v>
      </c>
      <c r="B2070" s="2">
        <v>7310107.0</v>
      </c>
      <c r="C2070" s="1" t="s">
        <v>1194</v>
      </c>
      <c r="D2070" s="1" t="s">
        <v>3409</v>
      </c>
      <c r="E2070" s="3">
        <v>1.0</v>
      </c>
      <c r="F2070" s="3">
        <v>0.0</v>
      </c>
    </row>
    <row r="2071" ht="12.75" customHeight="1">
      <c r="A2071" s="1">
        <v>0.0</v>
      </c>
      <c r="B2071" s="2">
        <v>7340102.0</v>
      </c>
      <c r="C2071" s="1" t="s">
        <v>627</v>
      </c>
      <c r="D2071" s="1" t="s">
        <v>3345</v>
      </c>
      <c r="E2071" s="3">
        <v>1.0</v>
      </c>
      <c r="F2071" s="3">
        <v>0.0</v>
      </c>
    </row>
    <row r="2072" ht="12.75" customHeight="1">
      <c r="A2072" s="1">
        <v>0.0</v>
      </c>
      <c r="B2072" s="2">
        <v>7340103.0</v>
      </c>
      <c r="C2072" s="1" t="s">
        <v>627</v>
      </c>
      <c r="D2072" s="1" t="s">
        <v>3346</v>
      </c>
      <c r="E2072" s="3">
        <v>1.0</v>
      </c>
      <c r="F2072" s="3">
        <v>0.0</v>
      </c>
    </row>
    <row r="2073" ht="12.75" customHeight="1">
      <c r="A2073" s="1">
        <v>0.0</v>
      </c>
      <c r="B2073" s="2">
        <v>7340104.0</v>
      </c>
      <c r="C2073" s="1" t="s">
        <v>627</v>
      </c>
      <c r="D2073" s="1" t="s">
        <v>3909</v>
      </c>
      <c r="E2073" s="3">
        <v>1.0</v>
      </c>
      <c r="F2073" s="3">
        <v>0.0</v>
      </c>
    </row>
    <row r="2074" ht="12.75" customHeight="1">
      <c r="A2074" s="1">
        <v>0.0</v>
      </c>
      <c r="B2074" s="2">
        <v>7480301.0</v>
      </c>
      <c r="C2074" s="1" t="s">
        <v>3120</v>
      </c>
      <c r="D2074" s="1" t="s">
        <v>3121</v>
      </c>
      <c r="E2074" s="3">
        <v>1.0</v>
      </c>
      <c r="F2074" s="3">
        <v>0.0</v>
      </c>
    </row>
    <row r="2075" ht="12.75" customHeight="1">
      <c r="A2075" s="1">
        <v>0.0</v>
      </c>
      <c r="B2075" s="2">
        <v>7900099.0</v>
      </c>
      <c r="C2075" s="1" t="s">
        <v>2507</v>
      </c>
      <c r="D2075" s="1" t="s">
        <v>912</v>
      </c>
      <c r="E2075" s="3">
        <v>1.0</v>
      </c>
      <c r="F2075" s="3">
        <v>0.0</v>
      </c>
    </row>
    <row r="2076" ht="12.75" customHeight="1">
      <c r="A2076" s="1">
        <v>0.0</v>
      </c>
      <c r="B2076" s="2">
        <v>7900101.0</v>
      </c>
      <c r="C2076" s="1" t="s">
        <v>2081</v>
      </c>
      <c r="D2076" s="1" t="s">
        <v>2082</v>
      </c>
      <c r="E2076" s="3">
        <v>1.0</v>
      </c>
      <c r="F2076" s="3">
        <v>0.0</v>
      </c>
    </row>
    <row r="2077" ht="12.75" customHeight="1">
      <c r="A2077" s="1">
        <v>0.0</v>
      </c>
      <c r="B2077" s="2">
        <v>7900102.0</v>
      </c>
      <c r="C2077" s="1" t="s">
        <v>916</v>
      </c>
      <c r="D2077" s="1" t="s">
        <v>703</v>
      </c>
      <c r="E2077" s="3">
        <v>1.0</v>
      </c>
      <c r="F2077" s="3">
        <v>0.0</v>
      </c>
    </row>
    <row r="2078" ht="12.75" customHeight="1">
      <c r="A2078" s="1">
        <v>0.0</v>
      </c>
      <c r="B2078" s="2">
        <v>7900104.0</v>
      </c>
      <c r="C2078" s="1" t="s">
        <v>916</v>
      </c>
      <c r="D2078" s="1" t="s">
        <v>4051</v>
      </c>
      <c r="E2078" s="3">
        <v>1.0</v>
      </c>
      <c r="F2078" s="3">
        <v>0.0</v>
      </c>
    </row>
    <row r="2079" ht="12.75" customHeight="1">
      <c r="A2079" s="1">
        <v>0.0</v>
      </c>
      <c r="B2079" s="2">
        <v>7900106.0</v>
      </c>
      <c r="C2079" s="1" t="s">
        <v>916</v>
      </c>
      <c r="D2079" s="1" t="s">
        <v>3876</v>
      </c>
      <c r="E2079" s="3">
        <v>1.0</v>
      </c>
      <c r="F2079" s="3">
        <v>0.0</v>
      </c>
    </row>
    <row r="2080" ht="12.75" customHeight="1">
      <c r="A2080" s="1">
        <v>0.0</v>
      </c>
      <c r="B2080" s="2">
        <v>7900107.0</v>
      </c>
      <c r="C2080" s="1" t="s">
        <v>892</v>
      </c>
      <c r="D2080" s="1" t="s">
        <v>1253</v>
      </c>
      <c r="E2080" s="3">
        <v>1.0</v>
      </c>
      <c r="F2080" s="3">
        <v>0.0</v>
      </c>
    </row>
    <row r="2081" ht="12.75" customHeight="1">
      <c r="A2081" s="1">
        <v>0.0</v>
      </c>
      <c r="B2081" s="2">
        <v>7900108.0</v>
      </c>
      <c r="C2081" s="1" t="s">
        <v>916</v>
      </c>
      <c r="D2081" s="1" t="s">
        <v>705</v>
      </c>
      <c r="E2081" s="3">
        <v>1.0</v>
      </c>
      <c r="F2081" s="3">
        <v>0.0</v>
      </c>
    </row>
    <row r="2082" ht="12.75" customHeight="1">
      <c r="A2082" s="1">
        <v>0.0</v>
      </c>
      <c r="B2082" s="2">
        <v>7900109.0</v>
      </c>
      <c r="C2082" s="1" t="s">
        <v>5317</v>
      </c>
      <c r="D2082" s="1" t="s">
        <v>4584</v>
      </c>
      <c r="E2082" s="3">
        <v>1.0</v>
      </c>
      <c r="F2082" s="3">
        <v>0.0</v>
      </c>
    </row>
    <row r="2083" ht="12.75" customHeight="1">
      <c r="A2083" s="1">
        <v>0.0</v>
      </c>
      <c r="B2083" s="2">
        <v>7900110.0</v>
      </c>
      <c r="C2083" s="1" t="s">
        <v>916</v>
      </c>
      <c r="D2083" s="1" t="s">
        <v>1814</v>
      </c>
      <c r="E2083" s="3">
        <v>1.0</v>
      </c>
      <c r="F2083" s="3">
        <v>0.0</v>
      </c>
    </row>
    <row r="2084" ht="12.75" customHeight="1">
      <c r="A2084" s="1">
        <v>0.0</v>
      </c>
      <c r="B2084" s="2">
        <v>7900112.0</v>
      </c>
      <c r="C2084" s="1" t="s">
        <v>916</v>
      </c>
      <c r="D2084" s="1" t="s">
        <v>467</v>
      </c>
      <c r="E2084" s="3">
        <v>1.0</v>
      </c>
      <c r="F2084" s="3">
        <v>0.0</v>
      </c>
    </row>
    <row r="2085" ht="12.75" customHeight="1">
      <c r="A2085" s="1">
        <v>0.0</v>
      </c>
      <c r="B2085" s="2">
        <v>7900114.0</v>
      </c>
      <c r="C2085" s="1" t="s">
        <v>916</v>
      </c>
      <c r="D2085" s="1" t="s">
        <v>700</v>
      </c>
      <c r="E2085" s="3">
        <v>1.0</v>
      </c>
      <c r="F2085" s="3">
        <v>0.0</v>
      </c>
    </row>
    <row r="2086" ht="12.75" customHeight="1">
      <c r="A2086" s="1">
        <v>0.0</v>
      </c>
      <c r="B2086" s="2" t="s">
        <v>1824</v>
      </c>
      <c r="C2086" s="1" t="s">
        <v>1825</v>
      </c>
      <c r="D2086" s="1" t="s">
        <v>467</v>
      </c>
      <c r="E2086" s="3">
        <v>1.0</v>
      </c>
      <c r="F2086" s="3">
        <v>0.0</v>
      </c>
    </row>
    <row r="2087" ht="12.75" customHeight="1">
      <c r="A2087" s="1">
        <v>0.0</v>
      </c>
      <c r="B2087" s="2" t="s">
        <v>1842</v>
      </c>
      <c r="C2087" s="1" t="s">
        <v>1843</v>
      </c>
      <c r="D2087" s="1" t="s">
        <v>700</v>
      </c>
      <c r="E2087" s="3">
        <v>1.0</v>
      </c>
      <c r="F2087" s="3">
        <v>0.0</v>
      </c>
    </row>
    <row r="2088" ht="12.75" customHeight="1">
      <c r="A2088" s="1">
        <v>0.0</v>
      </c>
      <c r="B2088" s="2" t="s">
        <v>1968</v>
      </c>
      <c r="C2088" s="1" t="s">
        <v>1969</v>
      </c>
      <c r="D2088" s="1" t="s">
        <v>745</v>
      </c>
      <c r="E2088" s="3">
        <v>1.0</v>
      </c>
      <c r="F2088" s="3">
        <v>0.0</v>
      </c>
    </row>
    <row r="2089" ht="12.75" customHeight="1">
      <c r="A2089" s="1">
        <v>0.0</v>
      </c>
      <c r="B2089" s="2" t="s">
        <v>1976</v>
      </c>
      <c r="C2089" s="1" t="s">
        <v>1977</v>
      </c>
      <c r="D2089" s="1" t="s">
        <v>1975</v>
      </c>
      <c r="E2089" s="3">
        <v>1.0</v>
      </c>
      <c r="F2089" s="3">
        <v>0.0</v>
      </c>
    </row>
    <row r="2090" ht="12.75" customHeight="1">
      <c r="A2090" s="1">
        <v>0.0</v>
      </c>
      <c r="B2090" s="2" t="s">
        <v>1981</v>
      </c>
      <c r="C2090" s="1" t="s">
        <v>1982</v>
      </c>
      <c r="D2090" s="1" t="s">
        <v>1983</v>
      </c>
      <c r="E2090" s="3">
        <v>1.0</v>
      </c>
      <c r="F2090" s="3">
        <v>0.0</v>
      </c>
    </row>
    <row r="2091" ht="12.75" customHeight="1">
      <c r="A2091" s="1">
        <v>0.0</v>
      </c>
      <c r="B2091" s="2" t="s">
        <v>1820</v>
      </c>
      <c r="C2091" s="1" t="s">
        <v>466</v>
      </c>
      <c r="D2091" s="1" t="s">
        <v>1821</v>
      </c>
      <c r="E2091" s="3">
        <v>1.0</v>
      </c>
      <c r="F2091" s="3">
        <v>0.0</v>
      </c>
    </row>
    <row r="2092" ht="12.75" customHeight="1">
      <c r="A2092" s="1">
        <v>0.0</v>
      </c>
      <c r="B2092" s="2" t="s">
        <v>1826</v>
      </c>
      <c r="C2092" s="1" t="s">
        <v>1827</v>
      </c>
      <c r="D2092" s="1" t="s">
        <v>467</v>
      </c>
      <c r="E2092" s="3">
        <v>1.0</v>
      </c>
      <c r="F2092" s="3">
        <v>0.0</v>
      </c>
    </row>
    <row r="2093" ht="12.75" customHeight="1">
      <c r="A2093" s="1">
        <v>0.0</v>
      </c>
      <c r="B2093" s="2">
        <v>7.9001E8</v>
      </c>
      <c r="C2093" s="1" t="s">
        <v>466</v>
      </c>
      <c r="D2093" s="1" t="s">
        <v>700</v>
      </c>
      <c r="E2093" s="3">
        <v>1.0</v>
      </c>
      <c r="F2093" s="3">
        <v>0.0</v>
      </c>
    </row>
    <row r="2094" ht="12.75" customHeight="1">
      <c r="A2094" s="1">
        <v>0.0</v>
      </c>
      <c r="B2094" s="2" t="s">
        <v>1863</v>
      </c>
      <c r="C2094" s="1" t="s">
        <v>1864</v>
      </c>
      <c r="D2094" s="1" t="s">
        <v>1860</v>
      </c>
      <c r="E2094" s="3">
        <v>1.0</v>
      </c>
      <c r="F2094" s="3">
        <v>0.0</v>
      </c>
    </row>
    <row r="2095" ht="12.75" customHeight="1">
      <c r="A2095" s="1">
        <v>0.0</v>
      </c>
      <c r="B2095" s="2" t="s">
        <v>1883</v>
      </c>
      <c r="C2095" s="1" t="s">
        <v>466</v>
      </c>
      <c r="D2095" s="1" t="s">
        <v>1884</v>
      </c>
      <c r="E2095" s="3">
        <v>1.0</v>
      </c>
      <c r="F2095" s="3">
        <v>0.0</v>
      </c>
    </row>
    <row r="2096" ht="12.75" customHeight="1">
      <c r="A2096" s="1">
        <v>0.0</v>
      </c>
      <c r="B2096" s="2" t="s">
        <v>1865</v>
      </c>
      <c r="C2096" s="1" t="s">
        <v>466</v>
      </c>
      <c r="D2096" s="1" t="s">
        <v>1860</v>
      </c>
      <c r="E2096" s="3">
        <v>1.0</v>
      </c>
      <c r="F2096" s="3">
        <v>0.0</v>
      </c>
    </row>
    <row r="2097" ht="12.75" customHeight="1">
      <c r="A2097" s="1">
        <v>0.0</v>
      </c>
      <c r="B2097" s="2" t="s">
        <v>1898</v>
      </c>
      <c r="C2097" s="1" t="s">
        <v>466</v>
      </c>
      <c r="D2097" s="1" t="s">
        <v>708</v>
      </c>
      <c r="E2097" s="3">
        <v>1.0</v>
      </c>
      <c r="F2097" s="3">
        <v>0.0</v>
      </c>
    </row>
    <row r="2098" ht="12.75" customHeight="1">
      <c r="A2098" s="1">
        <v>0.0</v>
      </c>
      <c r="B2098" s="2" t="s">
        <v>1885</v>
      </c>
      <c r="C2098" s="1" t="s">
        <v>466</v>
      </c>
      <c r="D2098" s="1" t="s">
        <v>1886</v>
      </c>
      <c r="E2098" s="3">
        <v>1.0</v>
      </c>
      <c r="F2098" s="3">
        <v>0.0</v>
      </c>
    </row>
    <row r="2099" ht="12.75" customHeight="1">
      <c r="A2099" s="1">
        <v>0.0</v>
      </c>
      <c r="B2099" s="2" t="s">
        <v>1890</v>
      </c>
      <c r="C2099" s="1" t="s">
        <v>466</v>
      </c>
      <c r="D2099" s="1" t="s">
        <v>1891</v>
      </c>
      <c r="E2099" s="3">
        <v>1.0</v>
      </c>
      <c r="F2099" s="3">
        <v>0.0</v>
      </c>
    </row>
    <row r="2100" ht="12.75" customHeight="1">
      <c r="A2100" s="1">
        <v>0.0</v>
      </c>
      <c r="B2100" s="2" t="s">
        <v>1892</v>
      </c>
      <c r="C2100" s="1" t="s">
        <v>466</v>
      </c>
      <c r="D2100" s="1" t="s">
        <v>703</v>
      </c>
      <c r="E2100" s="3">
        <v>1.0</v>
      </c>
      <c r="F2100" s="3">
        <v>0.0</v>
      </c>
    </row>
    <row r="2101" ht="12.75" customHeight="1">
      <c r="A2101" s="1">
        <v>0.0</v>
      </c>
      <c r="B2101" s="2" t="s">
        <v>1900</v>
      </c>
      <c r="C2101" s="1" t="s">
        <v>466</v>
      </c>
      <c r="D2101" s="1" t="s">
        <v>1901</v>
      </c>
      <c r="E2101" s="3">
        <v>1.0</v>
      </c>
      <c r="F2101" s="3">
        <v>0.0</v>
      </c>
    </row>
    <row r="2102" ht="12.75" customHeight="1">
      <c r="A2102" s="1">
        <v>0.0</v>
      </c>
      <c r="B2102" s="2" t="s">
        <v>1828</v>
      </c>
      <c r="C2102" s="1" t="s">
        <v>1829</v>
      </c>
      <c r="D2102" s="1" t="s">
        <v>467</v>
      </c>
      <c r="E2102" s="3">
        <v>1.0</v>
      </c>
      <c r="F2102" s="3">
        <v>0.0</v>
      </c>
    </row>
    <row r="2103" ht="12.75" customHeight="1">
      <c r="A2103" s="1">
        <v>0.0</v>
      </c>
      <c r="B2103" s="2" t="s">
        <v>1880</v>
      </c>
      <c r="C2103" s="1" t="s">
        <v>1881</v>
      </c>
      <c r="D2103" s="1" t="s">
        <v>1882</v>
      </c>
      <c r="E2103" s="3">
        <v>1.0</v>
      </c>
      <c r="F2103" s="3">
        <v>0.0</v>
      </c>
    </row>
    <row r="2104" ht="12.75" customHeight="1">
      <c r="A2104" s="1">
        <v>0.0</v>
      </c>
      <c r="B2104" s="2" t="s">
        <v>1893</v>
      </c>
      <c r="C2104" s="1" t="s">
        <v>1831</v>
      </c>
      <c r="D2104" s="1" t="s">
        <v>703</v>
      </c>
      <c r="E2104" s="3">
        <v>1.0</v>
      </c>
      <c r="F2104" s="3">
        <v>0.0</v>
      </c>
    </row>
    <row r="2105" ht="12.75" customHeight="1">
      <c r="A2105" s="1">
        <v>0.0</v>
      </c>
      <c r="B2105" s="2" t="s">
        <v>1866</v>
      </c>
      <c r="C2105" s="1" t="s">
        <v>699</v>
      </c>
      <c r="D2105" s="1" t="s">
        <v>1860</v>
      </c>
      <c r="E2105" s="3">
        <v>1.0</v>
      </c>
      <c r="F2105" s="3">
        <v>0.0</v>
      </c>
    </row>
    <row r="2106" ht="12.75" customHeight="1">
      <c r="A2106" s="1">
        <v>0.0</v>
      </c>
      <c r="B2106" s="2" t="s">
        <v>1830</v>
      </c>
      <c r="C2106" s="1" t="s">
        <v>1831</v>
      </c>
      <c r="D2106" s="1" t="s">
        <v>467</v>
      </c>
      <c r="E2106" s="3">
        <v>1.0</v>
      </c>
      <c r="F2106" s="3">
        <v>0.0</v>
      </c>
    </row>
    <row r="2107" ht="12.75" customHeight="1">
      <c r="A2107" s="1">
        <v>0.0</v>
      </c>
      <c r="B2107" s="2" t="s">
        <v>1844</v>
      </c>
      <c r="C2107" s="1" t="s">
        <v>1831</v>
      </c>
      <c r="D2107" s="1" t="s">
        <v>700</v>
      </c>
      <c r="E2107" s="3">
        <v>1.0</v>
      </c>
      <c r="F2107" s="3">
        <v>0.0</v>
      </c>
    </row>
    <row r="2108" ht="12.75" customHeight="1">
      <c r="A2108" s="1">
        <v>0.0</v>
      </c>
      <c r="B2108" s="2" t="s">
        <v>1832</v>
      </c>
      <c r="C2108" s="1" t="s">
        <v>1833</v>
      </c>
      <c r="D2108" s="1" t="s">
        <v>467</v>
      </c>
      <c r="E2108" s="3">
        <v>1.0</v>
      </c>
      <c r="F2108" s="3">
        <v>0.0</v>
      </c>
    </row>
    <row r="2109" ht="12.75" customHeight="1">
      <c r="A2109" s="1">
        <v>0.0</v>
      </c>
      <c r="B2109" s="2" t="s">
        <v>1856</v>
      </c>
      <c r="C2109" s="1" t="s">
        <v>1857</v>
      </c>
      <c r="D2109" s="1" t="s">
        <v>1858</v>
      </c>
      <c r="E2109" s="3">
        <v>1.0</v>
      </c>
      <c r="F2109" s="3">
        <v>0.0</v>
      </c>
    </row>
    <row r="2110" ht="12.75" customHeight="1">
      <c r="A2110" s="1">
        <v>0.0</v>
      </c>
      <c r="B2110" s="2" t="s">
        <v>1834</v>
      </c>
      <c r="C2110" s="1" t="s">
        <v>1835</v>
      </c>
      <c r="D2110" s="1" t="s">
        <v>467</v>
      </c>
      <c r="E2110" s="3">
        <v>1.0</v>
      </c>
      <c r="F2110" s="3">
        <v>0.0</v>
      </c>
    </row>
    <row r="2111" ht="12.75" customHeight="1">
      <c r="A2111" s="1">
        <v>0.0</v>
      </c>
      <c r="B2111" s="2" t="s">
        <v>1867</v>
      </c>
      <c r="C2111" s="1" t="s">
        <v>1868</v>
      </c>
      <c r="D2111" s="1" t="s">
        <v>1860</v>
      </c>
      <c r="E2111" s="3">
        <v>1.0</v>
      </c>
      <c r="F2111" s="3">
        <v>0.0</v>
      </c>
    </row>
    <row r="2112" ht="12.75" customHeight="1">
      <c r="A2112" s="1">
        <v>0.0</v>
      </c>
      <c r="B2112" s="2" t="s">
        <v>1845</v>
      </c>
      <c r="C2112" s="1" t="s">
        <v>1846</v>
      </c>
      <c r="D2112" s="1" t="s">
        <v>700</v>
      </c>
      <c r="E2112" s="3">
        <v>1.0</v>
      </c>
      <c r="F2112" s="3">
        <v>0.0</v>
      </c>
    </row>
    <row r="2113" ht="12.75" customHeight="1">
      <c r="A2113" s="1">
        <v>0.0</v>
      </c>
      <c r="B2113" s="2" t="s">
        <v>1847</v>
      </c>
      <c r="C2113" s="1" t="s">
        <v>921</v>
      </c>
      <c r="D2113" s="1" t="s">
        <v>700</v>
      </c>
      <c r="E2113" s="3">
        <v>1.0</v>
      </c>
      <c r="F2113" s="3">
        <v>0.0</v>
      </c>
    </row>
    <row r="2114" ht="12.75" customHeight="1">
      <c r="A2114" s="1">
        <v>0.0</v>
      </c>
      <c r="B2114" s="2" t="s">
        <v>1869</v>
      </c>
      <c r="C2114" s="1" t="s">
        <v>1870</v>
      </c>
      <c r="D2114" s="1" t="s">
        <v>1860</v>
      </c>
      <c r="E2114" s="3">
        <v>1.0</v>
      </c>
      <c r="F2114" s="3">
        <v>0.0</v>
      </c>
    </row>
    <row r="2115" ht="12.75" customHeight="1">
      <c r="A2115" s="1">
        <v>0.0</v>
      </c>
      <c r="B2115" s="2" t="s">
        <v>1848</v>
      </c>
      <c r="C2115" s="1" t="s">
        <v>1849</v>
      </c>
      <c r="D2115" s="1" t="s">
        <v>700</v>
      </c>
      <c r="E2115" s="3">
        <v>1.0</v>
      </c>
      <c r="F2115" s="3">
        <v>0.0</v>
      </c>
    </row>
    <row r="2116" ht="12.75" customHeight="1">
      <c r="A2116" s="1">
        <v>0.0</v>
      </c>
      <c r="B2116" s="2" t="s">
        <v>1850</v>
      </c>
      <c r="C2116" s="1" t="s">
        <v>1851</v>
      </c>
      <c r="D2116" s="1" t="s">
        <v>700</v>
      </c>
      <c r="E2116" s="3">
        <v>1.0</v>
      </c>
      <c r="F2116" s="3">
        <v>0.0</v>
      </c>
    </row>
    <row r="2117" ht="12.75" customHeight="1">
      <c r="A2117" s="1">
        <v>0.0</v>
      </c>
      <c r="B2117" s="2" t="s">
        <v>1960</v>
      </c>
      <c r="C2117" s="1" t="s">
        <v>1961</v>
      </c>
      <c r="D2117" s="1" t="s">
        <v>1962</v>
      </c>
      <c r="E2117" s="3">
        <v>1.0</v>
      </c>
      <c r="F2117" s="3">
        <v>0.0</v>
      </c>
    </row>
    <row r="2118" ht="12.75" customHeight="1">
      <c r="A2118" s="1">
        <v>0.0</v>
      </c>
      <c r="B2118" s="2" t="s">
        <v>1887</v>
      </c>
      <c r="C2118" s="1" t="s">
        <v>1888</v>
      </c>
      <c r="D2118" s="1" t="s">
        <v>1889</v>
      </c>
      <c r="E2118" s="3">
        <v>1.0</v>
      </c>
      <c r="F2118" s="3">
        <v>0.0</v>
      </c>
    </row>
    <row r="2119" ht="12.75" customHeight="1">
      <c r="A2119" s="1">
        <v>0.0</v>
      </c>
      <c r="B2119" s="2" t="s">
        <v>1815</v>
      </c>
      <c r="C2119" s="1" t="s">
        <v>1816</v>
      </c>
      <c r="D2119" s="1" t="s">
        <v>1814</v>
      </c>
      <c r="E2119" s="3">
        <v>1.0</v>
      </c>
      <c r="F2119" s="3">
        <v>0.0</v>
      </c>
    </row>
    <row r="2120" ht="12.75" customHeight="1">
      <c r="A2120" s="1">
        <v>0.0</v>
      </c>
      <c r="B2120" s="2" t="s">
        <v>1963</v>
      </c>
      <c r="C2120" s="1" t="s">
        <v>1964</v>
      </c>
      <c r="D2120" s="1" t="s">
        <v>1962</v>
      </c>
      <c r="E2120" s="3">
        <v>1.0</v>
      </c>
      <c r="F2120" s="3">
        <v>0.0</v>
      </c>
    </row>
    <row r="2121" ht="12.75" customHeight="1">
      <c r="A2121" s="1">
        <v>0.0</v>
      </c>
      <c r="B2121" s="2" t="s">
        <v>2253</v>
      </c>
      <c r="C2121" s="1" t="s">
        <v>2254</v>
      </c>
      <c r="D2121" s="1" t="s">
        <v>2255</v>
      </c>
      <c r="E2121" s="3">
        <v>1.0</v>
      </c>
      <c r="F2121" s="3">
        <v>0.0</v>
      </c>
    </row>
    <row r="2122" ht="12.75" customHeight="1">
      <c r="A2122" s="1">
        <v>0.0</v>
      </c>
      <c r="B2122" s="2" t="s">
        <v>1871</v>
      </c>
      <c r="C2122" s="1" t="s">
        <v>1872</v>
      </c>
      <c r="D2122" s="1" t="s">
        <v>1860</v>
      </c>
      <c r="E2122" s="3">
        <v>1.0</v>
      </c>
      <c r="F2122" s="3">
        <v>0.0</v>
      </c>
    </row>
    <row r="2123" ht="12.75" customHeight="1">
      <c r="A2123" s="1">
        <v>0.0</v>
      </c>
      <c r="B2123" s="2" t="s">
        <v>1852</v>
      </c>
      <c r="C2123" s="1" t="s">
        <v>1853</v>
      </c>
      <c r="D2123" s="1" t="s">
        <v>700</v>
      </c>
      <c r="E2123" s="3">
        <v>1.0</v>
      </c>
      <c r="F2123" s="3">
        <v>0.0</v>
      </c>
    </row>
    <row r="2124" ht="12.75" customHeight="1">
      <c r="A2124" s="1">
        <v>0.0</v>
      </c>
      <c r="B2124" s="2" t="s">
        <v>1836</v>
      </c>
      <c r="C2124" s="1" t="s">
        <v>1837</v>
      </c>
      <c r="D2124" s="1" t="s">
        <v>467</v>
      </c>
      <c r="E2124" s="3">
        <v>1.0</v>
      </c>
      <c r="F2124" s="3">
        <v>0.0</v>
      </c>
    </row>
    <row r="2125" ht="12.75" customHeight="1">
      <c r="A2125" s="1">
        <v>0.0</v>
      </c>
      <c r="B2125" s="2" t="s">
        <v>1838</v>
      </c>
      <c r="C2125" s="1" t="s">
        <v>1839</v>
      </c>
      <c r="D2125" s="1" t="s">
        <v>467</v>
      </c>
      <c r="E2125" s="3">
        <v>1.0</v>
      </c>
      <c r="F2125" s="3">
        <v>0.0</v>
      </c>
    </row>
    <row r="2126" ht="12.75" customHeight="1">
      <c r="A2126" s="1">
        <v>0.0</v>
      </c>
      <c r="B2126" s="2" t="s">
        <v>1873</v>
      </c>
      <c r="C2126" s="1" t="s">
        <v>1874</v>
      </c>
      <c r="D2126" s="1" t="s">
        <v>1860</v>
      </c>
      <c r="E2126" s="3">
        <v>1.0</v>
      </c>
      <c r="F2126" s="3">
        <v>0.0</v>
      </c>
    </row>
    <row r="2127" ht="12.75" customHeight="1">
      <c r="A2127" s="1">
        <v>0.0</v>
      </c>
      <c r="B2127" s="2" t="s">
        <v>1812</v>
      </c>
      <c r="C2127" s="1" t="s">
        <v>1813</v>
      </c>
      <c r="D2127" s="1" t="s">
        <v>697</v>
      </c>
      <c r="E2127" s="3">
        <v>1.0</v>
      </c>
      <c r="F2127" s="3">
        <v>0.0</v>
      </c>
    </row>
    <row r="2128" ht="12.75" customHeight="1">
      <c r="A2128" s="1">
        <v>0.0</v>
      </c>
      <c r="B2128" s="2" t="s">
        <v>1840</v>
      </c>
      <c r="C2128" s="1" t="s">
        <v>1841</v>
      </c>
      <c r="D2128" s="1" t="s">
        <v>467</v>
      </c>
      <c r="E2128" s="3">
        <v>1.0</v>
      </c>
      <c r="F2128" s="3">
        <v>0.0</v>
      </c>
    </row>
    <row r="2129" ht="12.75" customHeight="1">
      <c r="A2129" s="1">
        <v>0.0</v>
      </c>
      <c r="B2129" s="2" t="s">
        <v>1854</v>
      </c>
      <c r="C2129" s="1" t="s">
        <v>1855</v>
      </c>
      <c r="D2129" s="1" t="s">
        <v>700</v>
      </c>
      <c r="E2129" s="3">
        <v>1.0</v>
      </c>
      <c r="F2129" s="3">
        <v>0.0</v>
      </c>
    </row>
    <row r="2130" ht="12.75" customHeight="1">
      <c r="A2130" s="1">
        <v>0.0</v>
      </c>
      <c r="B2130" s="2" t="s">
        <v>3549</v>
      </c>
      <c r="C2130" s="1" t="s">
        <v>3550</v>
      </c>
      <c r="D2130" s="1" t="s">
        <v>3551</v>
      </c>
      <c r="E2130" s="3">
        <v>1.0</v>
      </c>
      <c r="F2130" s="3">
        <v>0.0</v>
      </c>
    </row>
    <row r="2131" ht="12.75" customHeight="1">
      <c r="A2131" s="1">
        <v>0.0</v>
      </c>
      <c r="B2131" s="2" t="s">
        <v>1875</v>
      </c>
      <c r="C2131" s="1" t="s">
        <v>1876</v>
      </c>
      <c r="D2131" s="1" t="s">
        <v>1860</v>
      </c>
      <c r="E2131" s="3">
        <v>1.0</v>
      </c>
      <c r="F2131" s="3">
        <v>0.0</v>
      </c>
    </row>
    <row r="2132" ht="12.75" customHeight="1">
      <c r="A2132" s="1">
        <v>0.0</v>
      </c>
      <c r="B2132" s="2">
        <v>7900202.0</v>
      </c>
      <c r="C2132" s="1" t="s">
        <v>916</v>
      </c>
      <c r="D2132" s="1" t="s">
        <v>1894</v>
      </c>
      <c r="E2132" s="3">
        <v>1.0</v>
      </c>
      <c r="F2132" s="3">
        <v>0.0</v>
      </c>
    </row>
    <row r="2133" ht="12.75" customHeight="1">
      <c r="A2133" s="1">
        <v>0.0</v>
      </c>
      <c r="B2133" s="2">
        <v>7900204.0</v>
      </c>
      <c r="C2133" s="1" t="s">
        <v>916</v>
      </c>
      <c r="D2133" s="1" t="s">
        <v>3776</v>
      </c>
      <c r="E2133" s="3">
        <v>1.0</v>
      </c>
      <c r="F2133" s="3">
        <v>0.0</v>
      </c>
    </row>
    <row r="2134" ht="12.75" customHeight="1">
      <c r="A2134" s="1">
        <v>0.0</v>
      </c>
      <c r="B2134" s="2">
        <v>8021206.0</v>
      </c>
      <c r="C2134" s="1" t="s">
        <v>2243</v>
      </c>
      <c r="D2134" s="1" t="s">
        <v>2244</v>
      </c>
      <c r="E2134" s="3">
        <v>1.0</v>
      </c>
      <c r="F2134" s="3">
        <v>0.0</v>
      </c>
    </row>
    <row r="2135" ht="12.75" customHeight="1">
      <c r="A2135" s="1">
        <v>0.0</v>
      </c>
      <c r="B2135" s="2">
        <v>8021608.0</v>
      </c>
      <c r="C2135" s="1" t="s">
        <v>2243</v>
      </c>
      <c r="D2135" s="1" t="s">
        <v>2245</v>
      </c>
      <c r="E2135" s="3">
        <v>1.0</v>
      </c>
      <c r="F2135" s="3">
        <v>0.0</v>
      </c>
    </row>
    <row r="2136" ht="12.75" customHeight="1">
      <c r="A2136" s="1">
        <v>0.0</v>
      </c>
      <c r="B2136" s="2">
        <v>8050111.0</v>
      </c>
      <c r="C2136" s="1" t="s">
        <v>6</v>
      </c>
      <c r="D2136" s="1" t="s">
        <v>3673</v>
      </c>
      <c r="E2136" s="3">
        <v>1.0</v>
      </c>
      <c r="F2136" s="3">
        <v>0.0</v>
      </c>
    </row>
    <row r="2137" ht="12.75" customHeight="1">
      <c r="A2137" s="1">
        <v>0.0</v>
      </c>
      <c r="B2137" s="2">
        <v>8050113.0</v>
      </c>
      <c r="C2137" s="1" t="s">
        <v>6</v>
      </c>
      <c r="D2137" s="1" t="s">
        <v>3674</v>
      </c>
      <c r="E2137" s="3">
        <v>1.0</v>
      </c>
      <c r="F2137" s="3">
        <v>0.0</v>
      </c>
    </row>
    <row r="2138" ht="12.75" customHeight="1">
      <c r="A2138" s="1">
        <v>0.0</v>
      </c>
      <c r="B2138" s="2">
        <v>8050121.0</v>
      </c>
      <c r="C2138" s="1" t="s">
        <v>3675</v>
      </c>
      <c r="D2138" s="1" t="s">
        <v>35</v>
      </c>
      <c r="E2138" s="3">
        <v>1.0</v>
      </c>
      <c r="F2138" s="3">
        <v>0.0</v>
      </c>
    </row>
    <row r="2139" ht="12.75" customHeight="1">
      <c r="A2139" s="1">
        <v>0.0</v>
      </c>
      <c r="B2139" s="2">
        <v>8050140.0</v>
      </c>
      <c r="C2139" s="1" t="s">
        <v>6</v>
      </c>
      <c r="D2139" s="1" t="s">
        <v>1659</v>
      </c>
      <c r="E2139" s="3">
        <v>1.0</v>
      </c>
      <c r="F2139" s="3">
        <v>0.0</v>
      </c>
    </row>
    <row r="2140" ht="12.75" customHeight="1">
      <c r="A2140" s="1">
        <v>0.0</v>
      </c>
      <c r="B2140" s="2">
        <v>8050201.0</v>
      </c>
      <c r="C2140" s="1" t="s">
        <v>6</v>
      </c>
      <c r="D2140" s="1" t="s">
        <v>3878</v>
      </c>
      <c r="E2140" s="3">
        <v>1.0</v>
      </c>
      <c r="F2140" s="3">
        <v>0.0</v>
      </c>
    </row>
    <row r="2141" ht="12.75" customHeight="1">
      <c r="A2141" s="1">
        <v>0.0</v>
      </c>
      <c r="B2141" s="2">
        <v>8050203.0</v>
      </c>
      <c r="C2141" s="1" t="s">
        <v>6</v>
      </c>
      <c r="D2141" s="1" t="s">
        <v>3679</v>
      </c>
      <c r="E2141" s="3">
        <v>1.0</v>
      </c>
      <c r="F2141" s="3">
        <v>0.0</v>
      </c>
    </row>
    <row r="2142" ht="12.75" customHeight="1">
      <c r="A2142" s="1">
        <v>0.0</v>
      </c>
      <c r="B2142" s="2">
        <v>8050204.0</v>
      </c>
      <c r="C2142" s="1" t="s">
        <v>6</v>
      </c>
      <c r="D2142" s="1" t="s">
        <v>3680</v>
      </c>
      <c r="E2142" s="3">
        <v>1.0</v>
      </c>
      <c r="F2142" s="3">
        <v>0.0</v>
      </c>
    </row>
    <row r="2143" ht="12.75" customHeight="1">
      <c r="A2143" s="1">
        <v>0.0</v>
      </c>
      <c r="B2143" s="2">
        <v>8050501.0</v>
      </c>
      <c r="C2143" s="1" t="s">
        <v>6</v>
      </c>
      <c r="D2143" s="1" t="s">
        <v>3686</v>
      </c>
      <c r="E2143" s="3">
        <v>1.0</v>
      </c>
      <c r="F2143" s="3">
        <v>0.0</v>
      </c>
    </row>
    <row r="2144" ht="12.75" customHeight="1">
      <c r="A2144" s="1">
        <v>0.0</v>
      </c>
      <c r="B2144" s="2">
        <v>8050521.0</v>
      </c>
      <c r="C2144" s="1" t="s">
        <v>3676</v>
      </c>
      <c r="D2144" s="1" t="s">
        <v>35</v>
      </c>
      <c r="E2144" s="3">
        <v>1.0</v>
      </c>
      <c r="F2144" s="3">
        <v>0.0</v>
      </c>
    </row>
    <row r="2145" ht="12.75" customHeight="1">
      <c r="A2145" s="1">
        <v>0.0</v>
      </c>
      <c r="B2145" s="2">
        <v>8050604.0</v>
      </c>
      <c r="C2145" s="1" t="s">
        <v>6</v>
      </c>
      <c r="D2145" s="1" t="s">
        <v>3687</v>
      </c>
      <c r="E2145" s="3">
        <v>1.0</v>
      </c>
      <c r="F2145" s="3">
        <v>0.0</v>
      </c>
    </row>
    <row r="2146" ht="12.75" customHeight="1">
      <c r="A2146" s="1">
        <v>0.0</v>
      </c>
      <c r="B2146" s="2">
        <v>8050606.0</v>
      </c>
      <c r="C2146" s="1" t="s">
        <v>6</v>
      </c>
      <c r="D2146" s="1" t="s">
        <v>3688</v>
      </c>
      <c r="E2146" s="3">
        <v>1.0</v>
      </c>
      <c r="F2146" s="3">
        <v>0.0</v>
      </c>
    </row>
    <row r="2147" ht="12.75" customHeight="1">
      <c r="A2147" s="1">
        <v>0.0</v>
      </c>
      <c r="B2147" s="2">
        <v>8051103.0</v>
      </c>
      <c r="C2147" s="1" t="s">
        <v>6</v>
      </c>
      <c r="D2147" s="1" t="s">
        <v>2216</v>
      </c>
      <c r="E2147" s="3">
        <v>1.0</v>
      </c>
      <c r="F2147" s="3">
        <v>0.0</v>
      </c>
    </row>
    <row r="2148" ht="12.75" customHeight="1">
      <c r="A2148" s="1">
        <v>0.0</v>
      </c>
      <c r="B2148" s="2">
        <v>8051404.0</v>
      </c>
      <c r="C2148" s="1" t="s">
        <v>6</v>
      </c>
      <c r="D2148" s="1" t="s">
        <v>3678</v>
      </c>
      <c r="E2148" s="3">
        <v>1.0</v>
      </c>
      <c r="F2148" s="3">
        <v>0.0</v>
      </c>
    </row>
    <row r="2149" ht="12.75" customHeight="1">
      <c r="A2149" s="1">
        <v>0.0</v>
      </c>
      <c r="B2149" s="2">
        <v>8051405.0</v>
      </c>
      <c r="C2149" s="1" t="s">
        <v>6</v>
      </c>
      <c r="D2149" s="1" t="s">
        <v>3677</v>
      </c>
      <c r="E2149" s="3">
        <v>1.0</v>
      </c>
      <c r="F2149" s="3">
        <v>0.0</v>
      </c>
    </row>
    <row r="2150" ht="12.75" customHeight="1">
      <c r="A2150" s="1">
        <v>0.0</v>
      </c>
      <c r="B2150" s="2">
        <v>8053605.0</v>
      </c>
      <c r="C2150" s="1" t="s">
        <v>6</v>
      </c>
      <c r="D2150" s="1" t="s">
        <v>3672</v>
      </c>
      <c r="E2150" s="3">
        <v>1.0</v>
      </c>
      <c r="F2150" s="3">
        <v>0.0</v>
      </c>
    </row>
    <row r="2151" ht="12.75" customHeight="1">
      <c r="A2151" s="1">
        <v>0.0</v>
      </c>
      <c r="B2151" s="2">
        <v>8058604.0</v>
      </c>
      <c r="C2151" s="1" t="s">
        <v>6</v>
      </c>
      <c r="D2151" s="1" t="s">
        <v>4044</v>
      </c>
      <c r="E2151" s="3">
        <v>1.0</v>
      </c>
      <c r="F2151" s="3">
        <v>0.0</v>
      </c>
    </row>
    <row r="2152" ht="12.75" customHeight="1">
      <c r="A2152" s="1">
        <v>0.0</v>
      </c>
      <c r="B2152" s="2">
        <v>8059001.0</v>
      </c>
      <c r="C2152" s="1" t="s">
        <v>6</v>
      </c>
      <c r="D2152" s="1" t="s">
        <v>2740</v>
      </c>
      <c r="E2152" s="3">
        <v>1.0</v>
      </c>
      <c r="F2152" s="3">
        <v>0.0</v>
      </c>
    </row>
    <row r="2153" ht="12.75" customHeight="1">
      <c r="A2153" s="1">
        <v>0.0</v>
      </c>
      <c r="B2153" s="2">
        <v>8320100.0</v>
      </c>
      <c r="C2153" s="1" t="s">
        <v>278</v>
      </c>
      <c r="D2153" s="1" t="s">
        <v>3838</v>
      </c>
      <c r="E2153" s="3">
        <v>1.0</v>
      </c>
      <c r="F2153" s="3">
        <v>0.0</v>
      </c>
    </row>
    <row r="2154" ht="12.75" customHeight="1">
      <c r="A2154" s="1">
        <v>0.0</v>
      </c>
      <c r="B2154" s="2">
        <v>8320202.0</v>
      </c>
      <c r="C2154" s="1" t="s">
        <v>278</v>
      </c>
      <c r="D2154" s="1" t="s">
        <v>3902</v>
      </c>
      <c r="E2154" s="3">
        <v>1.0</v>
      </c>
      <c r="F2154" s="3">
        <v>0.0</v>
      </c>
    </row>
    <row r="2155" ht="12.75" customHeight="1">
      <c r="A2155" s="1">
        <v>0.0</v>
      </c>
      <c r="B2155" s="2">
        <v>8320204.0</v>
      </c>
      <c r="C2155" s="1" t="s">
        <v>278</v>
      </c>
      <c r="D2155" s="1" t="s">
        <v>3903</v>
      </c>
      <c r="E2155" s="3">
        <v>1.0</v>
      </c>
      <c r="F2155" s="3">
        <v>0.0</v>
      </c>
    </row>
    <row r="2156" ht="12.75" customHeight="1">
      <c r="A2156" s="1">
        <v>0.0</v>
      </c>
      <c r="B2156" s="2">
        <v>8321008.0</v>
      </c>
      <c r="C2156" s="1" t="s">
        <v>278</v>
      </c>
      <c r="D2156" s="1" t="s">
        <v>2009</v>
      </c>
      <c r="E2156" s="3">
        <v>1.0</v>
      </c>
      <c r="F2156" s="3">
        <v>0.0</v>
      </c>
    </row>
    <row r="2157" ht="12.75" customHeight="1">
      <c r="A2157" s="1">
        <v>0.0</v>
      </c>
      <c r="B2157" s="2">
        <v>8321504.0</v>
      </c>
      <c r="C2157" s="1" t="s">
        <v>278</v>
      </c>
      <c r="D2157" s="1" t="s">
        <v>3831</v>
      </c>
      <c r="E2157" s="3">
        <v>1.0</v>
      </c>
      <c r="F2157" s="3">
        <v>0.0</v>
      </c>
    </row>
    <row r="2158" ht="12.75" customHeight="1">
      <c r="A2158" s="1">
        <v>0.0</v>
      </c>
      <c r="B2158" s="2">
        <v>8321507.0</v>
      </c>
      <c r="C2158" s="1" t="s">
        <v>278</v>
      </c>
      <c r="D2158" s="1" t="s">
        <v>2152</v>
      </c>
      <c r="E2158" s="3">
        <v>1.0</v>
      </c>
      <c r="F2158" s="3">
        <v>0.0</v>
      </c>
    </row>
    <row r="2159" ht="12.75" customHeight="1">
      <c r="A2159" s="1">
        <v>0.0</v>
      </c>
      <c r="B2159" s="2">
        <v>8321509.0</v>
      </c>
      <c r="C2159" s="1" t="s">
        <v>278</v>
      </c>
      <c r="D2159" s="1" t="s">
        <v>2400</v>
      </c>
      <c r="E2159" s="3">
        <v>1.0</v>
      </c>
      <c r="F2159" s="3">
        <v>0.0</v>
      </c>
    </row>
    <row r="2160" ht="12.75" customHeight="1">
      <c r="A2160" s="1">
        <v>0.0</v>
      </c>
      <c r="B2160" s="2">
        <v>8321602.0</v>
      </c>
      <c r="C2160" s="1" t="s">
        <v>278</v>
      </c>
      <c r="D2160" s="1" t="s">
        <v>3840</v>
      </c>
      <c r="E2160" s="3">
        <v>1.0</v>
      </c>
      <c r="F2160" s="3">
        <v>0.0</v>
      </c>
    </row>
    <row r="2161" ht="12.75" customHeight="1">
      <c r="A2161" s="1">
        <v>0.0</v>
      </c>
      <c r="B2161" s="2">
        <v>8321604.0</v>
      </c>
      <c r="C2161" s="1" t="s">
        <v>278</v>
      </c>
      <c r="D2161" s="1" t="s">
        <v>3839</v>
      </c>
      <c r="E2161" s="3">
        <v>1.0</v>
      </c>
      <c r="F2161" s="3">
        <v>0.0</v>
      </c>
    </row>
    <row r="2162" ht="12.75" customHeight="1">
      <c r="A2162" s="1">
        <v>0.0</v>
      </c>
      <c r="B2162" s="2">
        <v>8321605.0</v>
      </c>
      <c r="C2162" s="1" t="s">
        <v>3832</v>
      </c>
      <c r="D2162" s="1" t="s">
        <v>3833</v>
      </c>
      <c r="E2162" s="3">
        <v>1.0</v>
      </c>
      <c r="F2162" s="3">
        <v>0.0</v>
      </c>
    </row>
    <row r="2163" ht="12.75" customHeight="1">
      <c r="A2163" s="1">
        <v>0.0</v>
      </c>
      <c r="B2163" s="2">
        <v>8501005.0</v>
      </c>
      <c r="C2163" s="1" t="s">
        <v>2427</v>
      </c>
      <c r="D2163" s="1" t="s">
        <v>492</v>
      </c>
      <c r="E2163" s="3">
        <v>1.0</v>
      </c>
      <c r="F2163" s="3">
        <v>0.0</v>
      </c>
    </row>
    <row r="2164" ht="12.75" customHeight="1">
      <c r="A2164" s="1">
        <v>0.0</v>
      </c>
      <c r="B2164" s="2">
        <v>8821616.0</v>
      </c>
      <c r="C2164" s="1" t="s">
        <v>173</v>
      </c>
      <c r="D2164" s="1" t="s">
        <v>3809</v>
      </c>
      <c r="E2164" s="3">
        <v>1.0</v>
      </c>
      <c r="F2164" s="3">
        <v>0.0</v>
      </c>
    </row>
    <row r="2165" ht="12.75" customHeight="1">
      <c r="A2165" s="1">
        <v>0.0</v>
      </c>
      <c r="B2165" s="2">
        <v>8821635.0</v>
      </c>
      <c r="C2165" s="1" t="s">
        <v>3807</v>
      </c>
      <c r="D2165" s="1" t="s">
        <v>3808</v>
      </c>
      <c r="E2165" s="3">
        <v>1.0</v>
      </c>
      <c r="F2165" s="3">
        <v>0.0</v>
      </c>
    </row>
    <row r="2166" ht="12.75" customHeight="1">
      <c r="A2166" s="1">
        <v>0.0</v>
      </c>
      <c r="B2166" s="2">
        <v>8821637.0</v>
      </c>
      <c r="C2166" s="1" t="s">
        <v>1326</v>
      </c>
      <c r="D2166" s="1" t="s">
        <v>3815</v>
      </c>
      <c r="E2166" s="3">
        <v>1.0</v>
      </c>
      <c r="F2166" s="3">
        <v>0.0</v>
      </c>
    </row>
    <row r="2167" ht="12.75" customHeight="1">
      <c r="A2167" s="1">
        <v>0.0</v>
      </c>
      <c r="B2167" s="2">
        <v>8821638.0</v>
      </c>
      <c r="C2167" s="1" t="s">
        <v>173</v>
      </c>
      <c r="D2167" s="1" t="s">
        <v>3816</v>
      </c>
      <c r="E2167" s="3">
        <v>1.0</v>
      </c>
      <c r="F2167" s="3">
        <v>0.0</v>
      </c>
    </row>
    <row r="2168" ht="12.75" customHeight="1">
      <c r="A2168" s="1">
        <v>0.0</v>
      </c>
      <c r="B2168" s="2">
        <v>8821639.0</v>
      </c>
      <c r="C2168" s="1" t="s">
        <v>173</v>
      </c>
      <c r="D2168" s="1" t="s">
        <v>2656</v>
      </c>
      <c r="E2168" s="3">
        <v>1.0</v>
      </c>
      <c r="F2168" s="3">
        <v>0.0</v>
      </c>
    </row>
    <row r="2169" ht="12.75" customHeight="1">
      <c r="A2169" s="1">
        <v>0.0</v>
      </c>
      <c r="B2169" s="2">
        <v>8821645.0</v>
      </c>
      <c r="C2169" s="1" t="s">
        <v>3829</v>
      </c>
      <c r="D2169" s="1" t="s">
        <v>3830</v>
      </c>
      <c r="E2169" s="3">
        <v>1.0</v>
      </c>
      <c r="F2169" s="3">
        <v>0.0</v>
      </c>
    </row>
    <row r="2170" ht="12.75" customHeight="1">
      <c r="A2170" s="1">
        <v>0.0</v>
      </c>
      <c r="B2170" s="2">
        <v>8821653.0</v>
      </c>
      <c r="C2170" s="1" t="s">
        <v>3820</v>
      </c>
      <c r="D2170" s="1" t="s">
        <v>3821</v>
      </c>
      <c r="E2170" s="3">
        <v>1.0</v>
      </c>
      <c r="F2170" s="3">
        <v>0.0</v>
      </c>
    </row>
    <row r="2171" ht="12.75" customHeight="1">
      <c r="A2171" s="1">
        <v>0.0</v>
      </c>
      <c r="B2171" s="2">
        <v>8821654.0</v>
      </c>
      <c r="C2171" s="1" t="s">
        <v>178</v>
      </c>
      <c r="D2171" s="1" t="s">
        <v>3828</v>
      </c>
      <c r="E2171" s="3">
        <v>1.0</v>
      </c>
      <c r="F2171" s="3">
        <v>0.0</v>
      </c>
    </row>
    <row r="2172" ht="12.75" customHeight="1">
      <c r="A2172" s="1">
        <v>0.0</v>
      </c>
      <c r="B2172" s="2">
        <v>8821656.0</v>
      </c>
      <c r="C2172" s="1" t="s">
        <v>178</v>
      </c>
      <c r="D2172" s="1" t="s">
        <v>3824</v>
      </c>
      <c r="E2172" s="3">
        <v>1.0</v>
      </c>
      <c r="F2172" s="3">
        <v>0.0</v>
      </c>
    </row>
    <row r="2173" ht="12.75" customHeight="1">
      <c r="A2173" s="1">
        <v>0.0</v>
      </c>
      <c r="B2173" s="2">
        <v>8822010.0</v>
      </c>
      <c r="C2173" s="1" t="s">
        <v>2657</v>
      </c>
      <c r="D2173" s="1" t="s">
        <v>2658</v>
      </c>
      <c r="E2173" s="3">
        <v>1.0</v>
      </c>
      <c r="F2173" s="3">
        <v>0.0</v>
      </c>
    </row>
    <row r="2174" ht="12.75" customHeight="1">
      <c r="A2174" s="1">
        <v>0.0</v>
      </c>
      <c r="B2174" s="2">
        <v>8851402.0</v>
      </c>
      <c r="C2174" s="1" t="s">
        <v>1389</v>
      </c>
      <c r="D2174" s="1" t="s">
        <v>3881</v>
      </c>
      <c r="E2174" s="3">
        <v>1.0</v>
      </c>
      <c r="F2174" s="3">
        <v>0.0</v>
      </c>
    </row>
    <row r="2175" ht="12.75" customHeight="1">
      <c r="A2175" s="1">
        <v>0.0</v>
      </c>
      <c r="B2175" s="2">
        <v>9330102.0</v>
      </c>
      <c r="C2175" s="1" t="s">
        <v>3912</v>
      </c>
      <c r="D2175" s="1" t="s">
        <v>3913</v>
      </c>
      <c r="E2175" s="3">
        <v>1.0</v>
      </c>
      <c r="F2175" s="3">
        <v>0.0</v>
      </c>
    </row>
    <row r="2176" ht="12.75" customHeight="1">
      <c r="A2176" s="1">
        <v>0.0</v>
      </c>
      <c r="B2176" s="2">
        <v>9480105.0</v>
      </c>
      <c r="C2176" s="1" t="s">
        <v>3841</v>
      </c>
      <c r="D2176" s="1" t="s">
        <v>3842</v>
      </c>
      <c r="E2176" s="3">
        <v>1.0</v>
      </c>
      <c r="F2176" s="3">
        <v>0.0</v>
      </c>
    </row>
    <row r="2177" ht="12.75" customHeight="1">
      <c r="A2177" s="1">
        <v>0.0</v>
      </c>
      <c r="B2177" s="2">
        <v>9570602.0</v>
      </c>
      <c r="C2177" s="1" t="s">
        <v>5318</v>
      </c>
      <c r="D2177" s="1" t="s">
        <v>3236</v>
      </c>
      <c r="E2177" s="3">
        <v>1.0</v>
      </c>
      <c r="F2177" s="3">
        <v>0.0</v>
      </c>
    </row>
    <row r="2178" ht="12.75" customHeight="1">
      <c r="A2178" s="1">
        <v>0.0</v>
      </c>
      <c r="B2178" s="2">
        <v>9600204.0</v>
      </c>
      <c r="C2178" s="1" t="s">
        <v>2018</v>
      </c>
      <c r="D2178" s="1" t="s">
        <v>2019</v>
      </c>
      <c r="E2178" s="3">
        <v>1.0</v>
      </c>
      <c r="F2178" s="3">
        <v>0.0</v>
      </c>
    </row>
    <row r="2179" ht="12.75" customHeight="1">
      <c r="A2179" s="1">
        <v>0.0</v>
      </c>
      <c r="B2179" s="2">
        <v>9620212.0</v>
      </c>
      <c r="C2179" s="1" t="s">
        <v>3227</v>
      </c>
      <c r="D2179" s="1" t="s">
        <v>418</v>
      </c>
      <c r="E2179" s="3">
        <v>1.0</v>
      </c>
      <c r="F2179" s="3">
        <v>0.0</v>
      </c>
    </row>
    <row r="2180" ht="12.75" customHeight="1">
      <c r="A2180" s="1">
        <v>0.0</v>
      </c>
      <c r="B2180" s="2">
        <v>9810105.0</v>
      </c>
      <c r="C2180" s="1" t="s">
        <v>3810</v>
      </c>
      <c r="D2180" s="1" t="s">
        <v>3811</v>
      </c>
      <c r="E2180" s="3">
        <v>1.0</v>
      </c>
      <c r="F2180" s="3">
        <v>0.0</v>
      </c>
    </row>
    <row r="2181" ht="12.75" customHeight="1">
      <c r="A2181" s="1">
        <v>0.0</v>
      </c>
      <c r="B2181" s="2">
        <v>9900102.0</v>
      </c>
      <c r="C2181" s="1" t="s">
        <v>3798</v>
      </c>
      <c r="D2181" s="1" t="s">
        <v>3799</v>
      </c>
      <c r="E2181" s="3">
        <v>1.0</v>
      </c>
      <c r="F2181" s="3">
        <v>0.0</v>
      </c>
    </row>
    <row r="2182" ht="12.75" customHeight="1">
      <c r="A2182" s="1">
        <v>0.0</v>
      </c>
      <c r="B2182" s="2">
        <v>9999999.0</v>
      </c>
      <c r="C2182" s="1" t="s">
        <v>3914</v>
      </c>
      <c r="D2182" s="1" t="s">
        <v>3914</v>
      </c>
      <c r="E2182" s="3">
        <v>1.0</v>
      </c>
      <c r="F2182" s="3">
        <v>0.0</v>
      </c>
    </row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38.13"/>
    <col customWidth="1" min="4" max="4" width="25.13"/>
    <col customWidth="1" min="5" max="7" width="11.5"/>
    <col customWidth="1" min="8" max="26" width="8.63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ht="12.75" customHeight="1">
      <c r="A2" s="1">
        <v>39.0</v>
      </c>
      <c r="B2" s="2">
        <v>3801549.0</v>
      </c>
      <c r="C2" s="1" t="s">
        <v>47</v>
      </c>
      <c r="D2" s="1" t="s">
        <v>48</v>
      </c>
      <c r="E2" s="3">
        <v>1.0</v>
      </c>
      <c r="F2" s="3">
        <v>11.0</v>
      </c>
      <c r="G2" s="1" t="s">
        <v>39</v>
      </c>
    </row>
    <row r="3" ht="12.75" customHeight="1">
      <c r="A3" s="1">
        <v>33.0</v>
      </c>
      <c r="B3" s="2">
        <v>1130872.0</v>
      </c>
      <c r="C3" s="1" t="s">
        <v>59</v>
      </c>
      <c r="D3" s="1" t="s">
        <v>60</v>
      </c>
      <c r="E3" s="3">
        <v>1.0</v>
      </c>
      <c r="F3" s="3">
        <v>8.0</v>
      </c>
      <c r="G3" s="1" t="s">
        <v>34</v>
      </c>
    </row>
    <row r="4" ht="12.75" customHeight="1">
      <c r="A4" s="1">
        <v>26.0</v>
      </c>
      <c r="B4" s="2" t="s">
        <v>86</v>
      </c>
      <c r="C4" s="1" t="s">
        <v>87</v>
      </c>
      <c r="D4" s="1" t="s">
        <v>88</v>
      </c>
      <c r="E4" s="3">
        <v>1.0</v>
      </c>
      <c r="F4" s="3">
        <v>8.0</v>
      </c>
      <c r="G4" s="1" t="s">
        <v>34</v>
      </c>
    </row>
    <row r="5" ht="12.75" customHeight="1">
      <c r="A5" s="1">
        <v>26.0</v>
      </c>
      <c r="B5" s="2" t="s">
        <v>83</v>
      </c>
      <c r="C5" s="1" t="s">
        <v>84</v>
      </c>
      <c r="D5" s="1" t="s">
        <v>85</v>
      </c>
      <c r="E5" s="3">
        <v>1.0</v>
      </c>
      <c r="F5" s="3">
        <v>7.0</v>
      </c>
      <c r="G5" s="1" t="s">
        <v>31</v>
      </c>
    </row>
    <row r="6" ht="12.75" customHeight="1">
      <c r="A6" s="1">
        <v>25.0</v>
      </c>
      <c r="B6" s="2">
        <v>160001.0</v>
      </c>
      <c r="C6" s="1" t="s">
        <v>91</v>
      </c>
      <c r="D6" s="1" t="s">
        <v>92</v>
      </c>
      <c r="E6" s="3">
        <v>1.0</v>
      </c>
      <c r="F6" s="3">
        <v>8.0</v>
      </c>
      <c r="G6" s="1" t="s">
        <v>34</v>
      </c>
    </row>
    <row r="7" ht="12.75" customHeight="1">
      <c r="A7" s="1">
        <v>24.0</v>
      </c>
      <c r="B7" s="2">
        <v>1660205.0</v>
      </c>
      <c r="C7" s="1" t="s">
        <v>66</v>
      </c>
      <c r="D7" s="1" t="s">
        <v>97</v>
      </c>
      <c r="E7" s="3">
        <v>1.0</v>
      </c>
      <c r="F7" s="3">
        <v>1.0</v>
      </c>
      <c r="G7" s="1" t="s">
        <v>23</v>
      </c>
    </row>
    <row r="8" ht="12.75" customHeight="1">
      <c r="A8" s="1">
        <v>23.0</v>
      </c>
      <c r="B8" s="2">
        <v>3802510.0</v>
      </c>
      <c r="C8" s="1" t="s">
        <v>101</v>
      </c>
      <c r="D8" s="1" t="s">
        <v>102</v>
      </c>
      <c r="E8" s="3">
        <v>1.0</v>
      </c>
      <c r="F8" s="3">
        <v>7.0</v>
      </c>
      <c r="G8" s="1" t="s">
        <v>31</v>
      </c>
    </row>
    <row r="9" ht="12.75" customHeight="1">
      <c r="A9" s="1">
        <v>23.0</v>
      </c>
      <c r="B9" s="2">
        <v>3805015.0</v>
      </c>
      <c r="C9" s="1" t="s">
        <v>62</v>
      </c>
      <c r="D9" s="1" t="s">
        <v>100</v>
      </c>
      <c r="E9" s="3">
        <v>1.0</v>
      </c>
      <c r="F9" s="3">
        <v>1.0</v>
      </c>
      <c r="G9" s="1" t="s">
        <v>23</v>
      </c>
    </row>
    <row r="10" ht="12.75" customHeight="1">
      <c r="A10" s="1">
        <v>22.0</v>
      </c>
      <c r="B10" s="2">
        <v>600079.0</v>
      </c>
      <c r="C10" s="1" t="s">
        <v>107</v>
      </c>
      <c r="D10" s="1" t="s">
        <v>108</v>
      </c>
      <c r="E10" s="3">
        <v>1.0</v>
      </c>
      <c r="F10" s="3">
        <v>8.0</v>
      </c>
      <c r="G10" s="1" t="s">
        <v>34</v>
      </c>
    </row>
    <row r="11" ht="12.75" customHeight="1">
      <c r="A11" s="1">
        <v>20.0</v>
      </c>
      <c r="B11" s="2">
        <v>9370100.0</v>
      </c>
      <c r="C11" s="1" t="s">
        <v>115</v>
      </c>
      <c r="D11" s="1" t="s">
        <v>116</v>
      </c>
      <c r="E11" s="3">
        <v>1.0</v>
      </c>
      <c r="F11" s="3">
        <v>1.0</v>
      </c>
      <c r="G11" s="1" t="s">
        <v>23</v>
      </c>
    </row>
    <row r="12" ht="12.75" customHeight="1">
      <c r="A12" s="1">
        <v>17.0</v>
      </c>
      <c r="B12" s="2">
        <v>160000.0</v>
      </c>
      <c r="C12" s="1" t="s">
        <v>91</v>
      </c>
      <c r="D12" s="1" t="s">
        <v>129</v>
      </c>
      <c r="E12" s="3">
        <v>1.0</v>
      </c>
      <c r="F12" s="3">
        <v>1.0</v>
      </c>
      <c r="G12" s="1" t="s">
        <v>23</v>
      </c>
    </row>
    <row r="13" ht="12.75" customHeight="1">
      <c r="A13" s="1">
        <v>16.0</v>
      </c>
      <c r="B13" s="2">
        <v>1660204.0</v>
      </c>
      <c r="C13" s="1" t="s">
        <v>49</v>
      </c>
      <c r="D13" s="1" t="s">
        <v>138</v>
      </c>
      <c r="E13" s="3">
        <v>1.0</v>
      </c>
      <c r="F13" s="3">
        <v>1.0</v>
      </c>
      <c r="G13" s="1" t="s">
        <v>23</v>
      </c>
    </row>
    <row r="14" ht="12.75" customHeight="1">
      <c r="A14" s="1">
        <v>15.0</v>
      </c>
      <c r="B14" s="2" t="s">
        <v>157</v>
      </c>
      <c r="C14" s="1" t="s">
        <v>158</v>
      </c>
      <c r="D14" s="1" t="s">
        <v>159</v>
      </c>
      <c r="E14" s="3">
        <v>1.0</v>
      </c>
      <c r="F14" s="3">
        <v>10.0</v>
      </c>
      <c r="G14" s="1" t="s">
        <v>5319</v>
      </c>
    </row>
    <row r="15" ht="12.75" customHeight="1">
      <c r="A15" s="1">
        <v>15.0</v>
      </c>
      <c r="B15" s="2" t="s">
        <v>154</v>
      </c>
      <c r="C15" s="1" t="s">
        <v>155</v>
      </c>
      <c r="D15" s="1" t="s">
        <v>156</v>
      </c>
      <c r="E15" s="3">
        <v>1.0</v>
      </c>
      <c r="F15" s="3">
        <v>7.0</v>
      </c>
      <c r="G15" s="1" t="s">
        <v>31</v>
      </c>
    </row>
    <row r="16" ht="12.75" customHeight="1">
      <c r="A16" s="1">
        <v>15.0</v>
      </c>
      <c r="B16" s="2">
        <v>3801963.0</v>
      </c>
      <c r="C16" s="1" t="s">
        <v>152</v>
      </c>
      <c r="D16" s="1" t="s">
        <v>153</v>
      </c>
      <c r="E16" s="3">
        <v>1.0</v>
      </c>
      <c r="F16" s="3">
        <v>1.0</v>
      </c>
      <c r="G16" s="1" t="s">
        <v>23</v>
      </c>
    </row>
    <row r="17" ht="12.75" customHeight="1">
      <c r="A17" s="1">
        <v>14.0</v>
      </c>
      <c r="B17" s="2">
        <v>3801552.0</v>
      </c>
      <c r="C17" s="1" t="s">
        <v>47</v>
      </c>
      <c r="D17" s="1" t="s">
        <v>165</v>
      </c>
      <c r="E17" s="3">
        <v>1.0</v>
      </c>
      <c r="F17" s="3">
        <v>11.0</v>
      </c>
      <c r="G17" s="1" t="s">
        <v>39</v>
      </c>
    </row>
    <row r="18" ht="12.75" customHeight="1">
      <c r="A18" s="1">
        <v>13.0</v>
      </c>
      <c r="B18" s="2" t="s">
        <v>170</v>
      </c>
      <c r="C18" s="1" t="s">
        <v>171</v>
      </c>
      <c r="D18" s="1" t="s">
        <v>172</v>
      </c>
      <c r="E18" s="3">
        <v>1.0</v>
      </c>
      <c r="F18" s="3">
        <v>8.0</v>
      </c>
      <c r="G18" s="1" t="s">
        <v>34</v>
      </c>
    </row>
    <row r="19" ht="12.75" customHeight="1">
      <c r="A19" s="1">
        <v>12.0</v>
      </c>
      <c r="B19" s="2">
        <v>3801541.0</v>
      </c>
      <c r="C19" s="1" t="s">
        <v>47</v>
      </c>
      <c r="D19" s="1" t="s">
        <v>183</v>
      </c>
      <c r="E19" s="3">
        <v>1.0</v>
      </c>
      <c r="F19" s="3">
        <v>7.0</v>
      </c>
      <c r="G19" s="1" t="s">
        <v>31</v>
      </c>
    </row>
    <row r="20" ht="12.75" customHeight="1">
      <c r="A20" s="1">
        <v>12.0</v>
      </c>
      <c r="B20" s="2">
        <v>5760207.0</v>
      </c>
      <c r="C20" s="1" t="s">
        <v>80</v>
      </c>
      <c r="D20" s="1" t="s">
        <v>182</v>
      </c>
      <c r="E20" s="3">
        <v>1.0</v>
      </c>
      <c r="F20" s="3">
        <v>1.0</v>
      </c>
      <c r="G20" s="1" t="s">
        <v>23</v>
      </c>
    </row>
    <row r="21" ht="12.75" customHeight="1">
      <c r="A21" s="1">
        <v>12.0</v>
      </c>
      <c r="B21" s="2">
        <v>8451012.0</v>
      </c>
      <c r="C21" s="1" t="s">
        <v>180</v>
      </c>
      <c r="D21" s="1" t="s">
        <v>181</v>
      </c>
      <c r="E21" s="3">
        <v>1.0</v>
      </c>
      <c r="F21" s="3">
        <v>1.0</v>
      </c>
      <c r="G21" s="1" t="s">
        <v>23</v>
      </c>
    </row>
    <row r="22" ht="12.75" customHeight="1">
      <c r="A22" s="1">
        <v>11.0</v>
      </c>
      <c r="B22" s="2" t="s">
        <v>188</v>
      </c>
      <c r="C22" s="1" t="s">
        <v>189</v>
      </c>
      <c r="D22" s="1" t="s">
        <v>190</v>
      </c>
      <c r="E22" s="3">
        <v>1.0</v>
      </c>
      <c r="F22" s="3">
        <v>8.0</v>
      </c>
      <c r="G22" s="1" t="s">
        <v>34</v>
      </c>
    </row>
    <row r="23" ht="12.75" customHeight="1">
      <c r="A23" s="1">
        <v>11.0</v>
      </c>
      <c r="B23" s="2">
        <v>3802001.0</v>
      </c>
      <c r="C23" s="1" t="s">
        <v>25</v>
      </c>
      <c r="D23" s="1" t="s">
        <v>187</v>
      </c>
      <c r="E23" s="3">
        <v>1.0</v>
      </c>
      <c r="F23" s="3">
        <v>1.0</v>
      </c>
      <c r="G23" s="1" t="s">
        <v>23</v>
      </c>
    </row>
    <row r="24" ht="12.75" customHeight="1">
      <c r="A24" s="1">
        <v>10.0</v>
      </c>
      <c r="B24" s="2" t="s">
        <v>202</v>
      </c>
      <c r="C24" s="1" t="s">
        <v>203</v>
      </c>
      <c r="D24" s="1" t="s">
        <v>204</v>
      </c>
      <c r="E24" s="3">
        <v>1.0</v>
      </c>
      <c r="F24" s="3">
        <v>1.0</v>
      </c>
      <c r="G24" s="1" t="s">
        <v>23</v>
      </c>
    </row>
    <row r="25" ht="12.75" customHeight="1">
      <c r="A25" s="1">
        <v>9.0</v>
      </c>
      <c r="B25" s="2">
        <v>3801959.0</v>
      </c>
      <c r="C25" s="1" t="s">
        <v>220</v>
      </c>
      <c r="D25" s="1" t="s">
        <v>221</v>
      </c>
      <c r="E25" s="3">
        <v>1.0</v>
      </c>
      <c r="F25" s="3">
        <v>10.0</v>
      </c>
      <c r="G25" s="1" t="s">
        <v>5319</v>
      </c>
    </row>
    <row r="26" ht="12.75" customHeight="1">
      <c r="A26" s="1">
        <v>9.0</v>
      </c>
      <c r="B26" s="2">
        <v>4670101.0</v>
      </c>
      <c r="C26" s="1" t="s">
        <v>218</v>
      </c>
      <c r="D26" s="1" t="s">
        <v>219</v>
      </c>
      <c r="E26" s="3">
        <v>1.0</v>
      </c>
      <c r="F26" s="3">
        <v>1.0</v>
      </c>
      <c r="G26" s="1" t="s">
        <v>23</v>
      </c>
    </row>
    <row r="27" ht="12.75" customHeight="1">
      <c r="A27" s="1">
        <v>8.0</v>
      </c>
      <c r="B27" s="2">
        <v>3802561.0</v>
      </c>
      <c r="C27" s="1" t="s">
        <v>229</v>
      </c>
      <c r="D27" s="1" t="s">
        <v>230</v>
      </c>
      <c r="E27" s="3">
        <v>1.0</v>
      </c>
      <c r="F27" s="3">
        <v>1.0</v>
      </c>
      <c r="G27" s="1" t="s">
        <v>23</v>
      </c>
    </row>
    <row r="28" ht="12.75" customHeight="1">
      <c r="A28" s="1">
        <v>8.0</v>
      </c>
      <c r="B28" s="2">
        <v>8451016.0</v>
      </c>
      <c r="C28" s="1" t="s">
        <v>231</v>
      </c>
      <c r="D28" s="1" t="s">
        <v>232</v>
      </c>
      <c r="E28" s="3">
        <v>1.0</v>
      </c>
      <c r="F28" s="3">
        <v>1.0</v>
      </c>
      <c r="G28" s="1" t="s">
        <v>23</v>
      </c>
    </row>
    <row r="29" ht="12.75" customHeight="1">
      <c r="A29" s="1">
        <v>7.0</v>
      </c>
      <c r="B29" s="2" t="s">
        <v>254</v>
      </c>
      <c r="C29" s="1" t="s">
        <v>255</v>
      </c>
      <c r="D29" s="1" t="s">
        <v>256</v>
      </c>
      <c r="E29" s="3">
        <v>1.0</v>
      </c>
      <c r="F29" s="3">
        <v>10.0</v>
      </c>
      <c r="G29" s="1" t="s">
        <v>5319</v>
      </c>
    </row>
    <row r="30" ht="12.75" customHeight="1">
      <c r="A30" s="1">
        <v>7.0</v>
      </c>
      <c r="B30" s="2" t="s">
        <v>252</v>
      </c>
      <c r="C30" s="1" t="s">
        <v>87</v>
      </c>
      <c r="D30" s="1" t="s">
        <v>253</v>
      </c>
      <c r="E30" s="3">
        <v>1.0</v>
      </c>
      <c r="F30" s="3">
        <v>8.0</v>
      </c>
      <c r="G30" s="1" t="s">
        <v>34</v>
      </c>
    </row>
    <row r="31" ht="12.75" customHeight="1">
      <c r="A31" s="1">
        <v>7.0</v>
      </c>
      <c r="B31" s="2" t="s">
        <v>5320</v>
      </c>
      <c r="C31" s="1" t="s">
        <v>5321</v>
      </c>
      <c r="D31" s="1" t="s">
        <v>5322</v>
      </c>
      <c r="E31" s="3">
        <v>1.0</v>
      </c>
      <c r="F31" s="3">
        <v>8.0</v>
      </c>
      <c r="G31" s="1" t="s">
        <v>34</v>
      </c>
    </row>
    <row r="32" ht="12.75" customHeight="1">
      <c r="A32" s="1">
        <v>7.0</v>
      </c>
      <c r="B32" s="2">
        <v>3801962.0</v>
      </c>
      <c r="C32" s="1" t="s">
        <v>220</v>
      </c>
      <c r="D32" s="1" t="s">
        <v>251</v>
      </c>
      <c r="E32" s="3">
        <v>1.0</v>
      </c>
      <c r="F32" s="3">
        <v>7.0</v>
      </c>
      <c r="G32" s="1" t="s">
        <v>31</v>
      </c>
    </row>
    <row r="33" ht="12.75" customHeight="1">
      <c r="A33" s="1">
        <v>7.0</v>
      </c>
      <c r="B33" s="2" t="s">
        <v>250</v>
      </c>
      <c r="C33" s="1" t="s">
        <v>143</v>
      </c>
      <c r="D33" s="1" t="s">
        <v>144</v>
      </c>
      <c r="E33" s="3">
        <v>1.0</v>
      </c>
      <c r="F33" s="3">
        <v>4.0</v>
      </c>
      <c r="G33" s="1" t="s">
        <v>29</v>
      </c>
    </row>
    <row r="34" ht="12.75" customHeight="1">
      <c r="A34" s="1">
        <v>7.0</v>
      </c>
      <c r="B34" s="2">
        <v>8822002.0</v>
      </c>
      <c r="C34" s="1" t="s">
        <v>178</v>
      </c>
      <c r="D34" s="1" t="s">
        <v>249</v>
      </c>
      <c r="E34" s="3">
        <v>1.0</v>
      </c>
      <c r="F34" s="3">
        <v>1.0</v>
      </c>
      <c r="G34" s="1" t="s">
        <v>23</v>
      </c>
    </row>
    <row r="35" ht="12.75" customHeight="1">
      <c r="A35" s="1">
        <v>6.0</v>
      </c>
      <c r="B35" s="2" t="s">
        <v>282</v>
      </c>
      <c r="C35" s="1" t="s">
        <v>107</v>
      </c>
      <c r="D35" s="1" t="s">
        <v>283</v>
      </c>
      <c r="E35" s="3">
        <v>1.0</v>
      </c>
      <c r="F35" s="3">
        <v>8.0</v>
      </c>
      <c r="G35" s="1" t="s">
        <v>34</v>
      </c>
    </row>
    <row r="36" ht="12.75" customHeight="1">
      <c r="A36" s="1">
        <v>6.0</v>
      </c>
      <c r="B36" s="2" t="s">
        <v>287</v>
      </c>
      <c r="C36" s="1" t="s">
        <v>288</v>
      </c>
      <c r="D36" s="1" t="s">
        <v>289</v>
      </c>
      <c r="E36" s="3">
        <v>1.0</v>
      </c>
      <c r="F36" s="3">
        <v>8.0</v>
      </c>
      <c r="G36" s="1" t="s">
        <v>34</v>
      </c>
    </row>
    <row r="37" ht="12.75" customHeight="1">
      <c r="A37" s="1">
        <v>6.0</v>
      </c>
      <c r="B37" s="2" t="s">
        <v>284</v>
      </c>
      <c r="C37" s="1" t="s">
        <v>285</v>
      </c>
      <c r="D37" s="1" t="s">
        <v>286</v>
      </c>
      <c r="E37" s="3">
        <v>1.0</v>
      </c>
      <c r="F37" s="3">
        <v>8.0</v>
      </c>
      <c r="G37" s="1" t="s">
        <v>34</v>
      </c>
    </row>
    <row r="38" ht="12.75" customHeight="1">
      <c r="A38" s="1">
        <v>6.0</v>
      </c>
      <c r="B38" s="2">
        <v>3800267.0</v>
      </c>
      <c r="C38" s="1" t="s">
        <v>25</v>
      </c>
      <c r="D38" s="1" t="s">
        <v>281</v>
      </c>
      <c r="E38" s="3">
        <v>1.0</v>
      </c>
      <c r="F38" s="3">
        <v>7.0</v>
      </c>
      <c r="G38" s="1" t="s">
        <v>31</v>
      </c>
    </row>
    <row r="39" ht="12.75" customHeight="1">
      <c r="A39" s="1">
        <v>6.0</v>
      </c>
      <c r="B39" s="2">
        <v>3801905.0</v>
      </c>
      <c r="C39" s="1" t="s">
        <v>220</v>
      </c>
      <c r="D39" s="1" t="s">
        <v>280</v>
      </c>
      <c r="E39" s="3">
        <v>1.0</v>
      </c>
      <c r="F39" s="3">
        <v>7.0</v>
      </c>
      <c r="G39" s="1" t="s">
        <v>31</v>
      </c>
    </row>
    <row r="40" ht="12.75" customHeight="1">
      <c r="A40" s="1">
        <v>5.0</v>
      </c>
      <c r="B40" s="2" t="s">
        <v>342</v>
      </c>
      <c r="C40" s="1" t="s">
        <v>285</v>
      </c>
      <c r="D40" s="1" t="s">
        <v>343</v>
      </c>
      <c r="E40" s="3">
        <v>1.0</v>
      </c>
      <c r="F40" s="3">
        <v>10.0</v>
      </c>
      <c r="G40" s="1" t="s">
        <v>5319</v>
      </c>
    </row>
    <row r="41" ht="12.75" customHeight="1">
      <c r="A41" s="1">
        <v>5.0</v>
      </c>
      <c r="B41" s="2" t="s">
        <v>339</v>
      </c>
      <c r="C41" s="1" t="s">
        <v>340</v>
      </c>
      <c r="D41" s="1" t="s">
        <v>341</v>
      </c>
      <c r="E41" s="3">
        <v>1.0</v>
      </c>
      <c r="F41" s="3">
        <v>7.0</v>
      </c>
      <c r="G41" s="1" t="s">
        <v>31</v>
      </c>
    </row>
    <row r="42" ht="12.75" customHeight="1">
      <c r="A42" s="1">
        <v>5.0</v>
      </c>
      <c r="B42" s="2">
        <v>3801560.0</v>
      </c>
      <c r="C42" s="1" t="s">
        <v>47</v>
      </c>
      <c r="D42" s="1" t="s">
        <v>338</v>
      </c>
      <c r="E42" s="3">
        <v>1.0</v>
      </c>
      <c r="F42" s="3">
        <v>7.0</v>
      </c>
      <c r="G42" s="1" t="s">
        <v>31</v>
      </c>
    </row>
    <row r="43" ht="12.75" customHeight="1">
      <c r="A43" s="1">
        <v>5.0</v>
      </c>
      <c r="B43" s="2" t="s">
        <v>332</v>
      </c>
      <c r="C43" s="1" t="s">
        <v>333</v>
      </c>
      <c r="D43" s="1" t="s">
        <v>334</v>
      </c>
      <c r="E43" s="3">
        <v>1.0</v>
      </c>
      <c r="F43" s="3">
        <v>1.0</v>
      </c>
      <c r="G43" s="1" t="s">
        <v>23</v>
      </c>
    </row>
    <row r="44" ht="12.75" customHeight="1">
      <c r="A44" s="1">
        <v>5.0</v>
      </c>
      <c r="B44" s="2" t="s">
        <v>336</v>
      </c>
      <c r="C44" s="1" t="s">
        <v>158</v>
      </c>
      <c r="D44" s="1" t="s">
        <v>337</v>
      </c>
      <c r="E44" s="3">
        <v>1.0</v>
      </c>
      <c r="F44" s="3">
        <v>1.0</v>
      </c>
      <c r="G44" s="1" t="s">
        <v>23</v>
      </c>
    </row>
    <row r="45" ht="12.75" customHeight="1">
      <c r="A45" s="1">
        <v>5.0</v>
      </c>
      <c r="B45" s="2">
        <v>1130868.0</v>
      </c>
      <c r="C45" s="1" t="s">
        <v>59</v>
      </c>
      <c r="D45" s="1" t="s">
        <v>335</v>
      </c>
      <c r="E45" s="3">
        <v>1.0</v>
      </c>
      <c r="F45" s="3">
        <v>1.0</v>
      </c>
      <c r="G45" s="1" t="s">
        <v>23</v>
      </c>
    </row>
    <row r="46" ht="12.75" customHeight="1">
      <c r="A46" s="1">
        <v>5.0</v>
      </c>
      <c r="B46" s="2" t="s">
        <v>329</v>
      </c>
      <c r="C46" s="1" t="s">
        <v>21</v>
      </c>
      <c r="D46" s="1" t="s">
        <v>330</v>
      </c>
      <c r="E46" s="3">
        <v>1.0</v>
      </c>
      <c r="F46" s="3">
        <v>1.0</v>
      </c>
      <c r="G46" s="1" t="s">
        <v>23</v>
      </c>
    </row>
    <row r="47" ht="12.75" customHeight="1">
      <c r="A47" s="1">
        <v>5.0</v>
      </c>
      <c r="B47" s="2">
        <v>3802552.0</v>
      </c>
      <c r="C47" s="1" t="s">
        <v>101</v>
      </c>
      <c r="D47" s="1" t="s">
        <v>331</v>
      </c>
      <c r="E47" s="3">
        <v>1.0</v>
      </c>
      <c r="F47" s="3">
        <v>1.0</v>
      </c>
      <c r="G47" s="1" t="s">
        <v>23</v>
      </c>
    </row>
    <row r="48" ht="12.75" customHeight="1">
      <c r="A48" s="1">
        <v>4.0</v>
      </c>
      <c r="B48" s="2">
        <v>3802005.0</v>
      </c>
      <c r="C48" s="1" t="s">
        <v>152</v>
      </c>
      <c r="D48" s="1" t="s">
        <v>386</v>
      </c>
      <c r="E48" s="3">
        <v>1.0</v>
      </c>
      <c r="F48" s="3">
        <v>10.0</v>
      </c>
      <c r="G48" s="1" t="s">
        <v>5319</v>
      </c>
    </row>
    <row r="49" ht="12.75" customHeight="1">
      <c r="A49" s="1">
        <v>4.0</v>
      </c>
      <c r="B49" s="2" t="s">
        <v>383</v>
      </c>
      <c r="C49" s="1" t="s">
        <v>384</v>
      </c>
      <c r="D49" s="1" t="s">
        <v>385</v>
      </c>
      <c r="E49" s="3">
        <v>1.0</v>
      </c>
      <c r="F49" s="3">
        <v>7.0</v>
      </c>
      <c r="G49" s="1" t="s">
        <v>31</v>
      </c>
    </row>
    <row r="50" ht="12.75" customHeight="1">
      <c r="A50" s="1">
        <v>4.0</v>
      </c>
      <c r="B50" s="2" t="s">
        <v>380</v>
      </c>
      <c r="C50" s="1" t="s">
        <v>381</v>
      </c>
      <c r="D50" s="1" t="s">
        <v>382</v>
      </c>
      <c r="E50" s="3">
        <v>1.0</v>
      </c>
      <c r="F50" s="3">
        <v>7.0</v>
      </c>
      <c r="G50" s="1" t="s">
        <v>31</v>
      </c>
    </row>
    <row r="51" ht="12.75" customHeight="1">
      <c r="A51" s="1">
        <v>4.0</v>
      </c>
      <c r="B51" s="2">
        <v>3802011.0</v>
      </c>
      <c r="C51" s="1" t="s">
        <v>25</v>
      </c>
      <c r="D51" s="1" t="s">
        <v>379</v>
      </c>
      <c r="E51" s="3">
        <v>1.0</v>
      </c>
      <c r="F51" s="3">
        <v>7.0</v>
      </c>
      <c r="G51" s="1" t="s">
        <v>31</v>
      </c>
    </row>
    <row r="52" ht="12.75" customHeight="1">
      <c r="A52" s="1">
        <v>4.0</v>
      </c>
      <c r="B52" s="2">
        <v>3800266.0</v>
      </c>
      <c r="C52" s="1" t="s">
        <v>25</v>
      </c>
      <c r="D52" s="1" t="s">
        <v>378</v>
      </c>
      <c r="E52" s="3">
        <v>1.0</v>
      </c>
      <c r="F52" s="3">
        <v>1.0</v>
      </c>
      <c r="G52" s="1" t="s">
        <v>23</v>
      </c>
    </row>
    <row r="53" ht="12.75" customHeight="1">
      <c r="A53" s="1">
        <v>4.0</v>
      </c>
      <c r="B53" s="2" t="s">
        <v>376</v>
      </c>
      <c r="C53" s="1" t="s">
        <v>312</v>
      </c>
      <c r="D53" s="1" t="s">
        <v>377</v>
      </c>
      <c r="E53" s="3">
        <v>1.0</v>
      </c>
      <c r="F53" s="3">
        <v>1.0</v>
      </c>
      <c r="G53" s="1" t="s">
        <v>23</v>
      </c>
    </row>
    <row r="54" ht="12.75" customHeight="1">
      <c r="A54" s="1">
        <v>4.0</v>
      </c>
      <c r="B54" s="2">
        <v>3801544.0</v>
      </c>
      <c r="C54" s="1" t="s">
        <v>47</v>
      </c>
      <c r="D54" s="1" t="s">
        <v>85</v>
      </c>
      <c r="E54" s="3">
        <v>1.0</v>
      </c>
      <c r="F54" s="3">
        <v>1.0</v>
      </c>
      <c r="G54" s="1" t="s">
        <v>23</v>
      </c>
    </row>
    <row r="55" ht="12.75" customHeight="1">
      <c r="A55" s="1">
        <v>3.0</v>
      </c>
      <c r="B55" s="2">
        <v>3801557.0</v>
      </c>
      <c r="C55" s="1" t="s">
        <v>47</v>
      </c>
      <c r="D55" s="1" t="s">
        <v>451</v>
      </c>
      <c r="E55" s="3">
        <v>1.0</v>
      </c>
      <c r="F55" s="3">
        <v>11.0</v>
      </c>
      <c r="G55" s="1" t="s">
        <v>39</v>
      </c>
    </row>
    <row r="56" ht="12.75" customHeight="1">
      <c r="A56" s="1">
        <v>3.0</v>
      </c>
      <c r="B56" s="2" t="s">
        <v>450</v>
      </c>
      <c r="C56" s="1" t="s">
        <v>143</v>
      </c>
      <c r="D56" s="1" t="s">
        <v>195</v>
      </c>
      <c r="E56" s="3">
        <v>1.0</v>
      </c>
      <c r="F56" s="3">
        <v>10.0</v>
      </c>
      <c r="G56" s="1" t="s">
        <v>5319</v>
      </c>
    </row>
    <row r="57" ht="12.75" customHeight="1">
      <c r="A57" s="1">
        <v>3.0</v>
      </c>
      <c r="B57" s="2" t="s">
        <v>5323</v>
      </c>
      <c r="C57" s="1" t="s">
        <v>5324</v>
      </c>
      <c r="D57" s="1" t="s">
        <v>605</v>
      </c>
      <c r="E57" s="3">
        <v>1.0</v>
      </c>
      <c r="F57" s="3">
        <v>8.0</v>
      </c>
      <c r="G57" s="1" t="s">
        <v>34</v>
      </c>
    </row>
    <row r="58" ht="12.75" customHeight="1">
      <c r="A58" s="1">
        <v>3.0</v>
      </c>
      <c r="B58" s="2" t="s">
        <v>448</v>
      </c>
      <c r="C58" s="1" t="s">
        <v>449</v>
      </c>
      <c r="D58" s="1" t="s">
        <v>283</v>
      </c>
      <c r="E58" s="3">
        <v>1.0</v>
      </c>
      <c r="F58" s="3">
        <v>8.0</v>
      </c>
      <c r="G58" s="1" t="s">
        <v>34</v>
      </c>
    </row>
    <row r="59" ht="12.75" customHeight="1">
      <c r="A59" s="1">
        <v>3.0</v>
      </c>
      <c r="B59" s="2">
        <v>2990006.0</v>
      </c>
      <c r="C59" s="1" t="s">
        <v>333</v>
      </c>
      <c r="D59" s="1" t="s">
        <v>204</v>
      </c>
      <c r="E59" s="3">
        <v>1.0</v>
      </c>
      <c r="F59" s="3">
        <v>8.0</v>
      </c>
      <c r="G59" s="1" t="s">
        <v>34</v>
      </c>
    </row>
    <row r="60" ht="12.75" customHeight="1">
      <c r="A60" s="1">
        <v>3.0</v>
      </c>
      <c r="B60" s="2" t="s">
        <v>446</v>
      </c>
      <c r="C60" s="1" t="s">
        <v>447</v>
      </c>
      <c r="D60" s="1" t="s">
        <v>341</v>
      </c>
      <c r="E60" s="3">
        <v>1.0</v>
      </c>
      <c r="F60" s="3">
        <v>7.0</v>
      </c>
      <c r="G60" s="1" t="s">
        <v>31</v>
      </c>
    </row>
    <row r="61" ht="12.75" customHeight="1">
      <c r="A61" s="1">
        <v>3.0</v>
      </c>
      <c r="B61" s="2">
        <v>3805011.0</v>
      </c>
      <c r="C61" s="1" t="s">
        <v>121</v>
      </c>
      <c r="D61" s="1" t="s">
        <v>445</v>
      </c>
      <c r="E61" s="3">
        <v>1.0</v>
      </c>
      <c r="F61" s="3">
        <v>7.0</v>
      </c>
      <c r="G61" s="1" t="s">
        <v>31</v>
      </c>
    </row>
    <row r="62" ht="12.75" customHeight="1">
      <c r="A62" s="1">
        <v>3.0</v>
      </c>
      <c r="B62" s="2">
        <v>90100.0</v>
      </c>
      <c r="C62" s="1" t="s">
        <v>438</v>
      </c>
      <c r="D62" s="1" t="s">
        <v>439</v>
      </c>
      <c r="E62" s="3">
        <v>1.0</v>
      </c>
      <c r="F62" s="3">
        <v>1.0</v>
      </c>
      <c r="G62" s="1" t="s">
        <v>23</v>
      </c>
    </row>
    <row r="63" ht="12.75" customHeight="1">
      <c r="A63" s="1">
        <v>3.0</v>
      </c>
      <c r="B63" s="2" t="s">
        <v>442</v>
      </c>
      <c r="C63" s="1" t="s">
        <v>443</v>
      </c>
      <c r="D63" s="1" t="s">
        <v>444</v>
      </c>
      <c r="E63" s="3">
        <v>1.0</v>
      </c>
      <c r="F63" s="3">
        <v>1.0</v>
      </c>
      <c r="G63" s="1" t="s">
        <v>23</v>
      </c>
    </row>
    <row r="64" ht="12.75" customHeight="1">
      <c r="A64" s="1">
        <v>3.0</v>
      </c>
      <c r="B64" s="2">
        <v>3801515.0</v>
      </c>
      <c r="C64" s="1" t="s">
        <v>21</v>
      </c>
      <c r="D64" s="1" t="s">
        <v>436</v>
      </c>
      <c r="E64" s="3">
        <v>1.0</v>
      </c>
      <c r="F64" s="3">
        <v>1.0</v>
      </c>
      <c r="G64" s="1" t="s">
        <v>23</v>
      </c>
    </row>
    <row r="65" ht="12.75" customHeight="1">
      <c r="A65" s="1">
        <v>3.0</v>
      </c>
      <c r="B65" s="2">
        <v>3802550.0</v>
      </c>
      <c r="C65" s="1" t="s">
        <v>101</v>
      </c>
      <c r="D65" s="1" t="s">
        <v>437</v>
      </c>
      <c r="E65" s="3">
        <v>1.0</v>
      </c>
      <c r="F65" s="3">
        <v>1.0</v>
      </c>
      <c r="G65" s="1" t="s">
        <v>23</v>
      </c>
    </row>
    <row r="66" ht="12.75" customHeight="1">
      <c r="A66" s="1">
        <v>3.0</v>
      </c>
      <c r="B66" s="2">
        <v>8270320.0</v>
      </c>
      <c r="C66" s="1" t="s">
        <v>440</v>
      </c>
      <c r="D66" s="1" t="s">
        <v>441</v>
      </c>
      <c r="E66" s="3">
        <v>1.0</v>
      </c>
      <c r="F66" s="3">
        <v>1.0</v>
      </c>
      <c r="G66" s="1" t="s">
        <v>23</v>
      </c>
    </row>
    <row r="67" ht="12.75" customHeight="1">
      <c r="A67" s="1">
        <v>2.0</v>
      </c>
      <c r="B67" s="2" t="s">
        <v>611</v>
      </c>
      <c r="C67" s="1" t="s">
        <v>288</v>
      </c>
      <c r="D67" s="1" t="s">
        <v>607</v>
      </c>
      <c r="E67" s="3">
        <v>1.0</v>
      </c>
      <c r="F67" s="3">
        <v>10.0</v>
      </c>
      <c r="G67" s="1" t="s">
        <v>5319</v>
      </c>
    </row>
    <row r="68" ht="12.75" customHeight="1">
      <c r="A68" s="1">
        <v>2.0</v>
      </c>
      <c r="B68" s="2" t="s">
        <v>610</v>
      </c>
      <c r="C68" s="1" t="s">
        <v>285</v>
      </c>
      <c r="D68" s="1" t="s">
        <v>341</v>
      </c>
      <c r="E68" s="3">
        <v>1.0</v>
      </c>
      <c r="F68" s="3">
        <v>10.0</v>
      </c>
      <c r="G68" s="1" t="s">
        <v>5319</v>
      </c>
    </row>
    <row r="69" ht="12.75" customHeight="1">
      <c r="A69" s="1">
        <v>2.0</v>
      </c>
      <c r="B69" s="2">
        <v>8821658.0</v>
      </c>
      <c r="C69" s="1" t="s">
        <v>608</v>
      </c>
      <c r="D69" s="1" t="s">
        <v>609</v>
      </c>
      <c r="E69" s="3">
        <v>1.0</v>
      </c>
      <c r="F69" s="3">
        <v>10.0</v>
      </c>
      <c r="G69" s="1" t="s">
        <v>5319</v>
      </c>
    </row>
    <row r="70" ht="12.75" customHeight="1">
      <c r="A70" s="1">
        <v>2.0</v>
      </c>
      <c r="B70" s="2" t="s">
        <v>599</v>
      </c>
      <c r="C70" s="1" t="s">
        <v>600</v>
      </c>
      <c r="D70" s="1" t="s">
        <v>601</v>
      </c>
      <c r="E70" s="3">
        <v>1.0</v>
      </c>
      <c r="F70" s="3">
        <v>8.0</v>
      </c>
      <c r="G70" s="1" t="s">
        <v>34</v>
      </c>
    </row>
    <row r="71" ht="12.75" customHeight="1">
      <c r="A71" s="1">
        <v>2.0</v>
      </c>
      <c r="B71" s="2" t="s">
        <v>604</v>
      </c>
      <c r="C71" s="1" t="s">
        <v>171</v>
      </c>
      <c r="D71" s="1" t="s">
        <v>605</v>
      </c>
      <c r="E71" s="3">
        <v>1.0</v>
      </c>
      <c r="F71" s="3">
        <v>8.0</v>
      </c>
      <c r="G71" s="1" t="s">
        <v>34</v>
      </c>
    </row>
    <row r="72" ht="12.75" customHeight="1">
      <c r="A72" s="1">
        <v>2.0</v>
      </c>
      <c r="B72" s="2" t="s">
        <v>606</v>
      </c>
      <c r="C72" s="1" t="s">
        <v>288</v>
      </c>
      <c r="D72" s="1" t="s">
        <v>607</v>
      </c>
      <c r="E72" s="3">
        <v>1.0</v>
      </c>
      <c r="F72" s="3">
        <v>8.0</v>
      </c>
      <c r="G72" s="1" t="s">
        <v>34</v>
      </c>
    </row>
    <row r="73" ht="12.75" customHeight="1">
      <c r="A73" s="1">
        <v>2.0</v>
      </c>
      <c r="B73" s="2">
        <v>1440311.0</v>
      </c>
      <c r="C73" s="1" t="s">
        <v>597</v>
      </c>
      <c r="D73" s="1" t="s">
        <v>598</v>
      </c>
      <c r="E73" s="3">
        <v>1.0</v>
      </c>
      <c r="F73" s="3">
        <v>8.0</v>
      </c>
      <c r="G73" s="1" t="s">
        <v>34</v>
      </c>
    </row>
    <row r="74" ht="12.75" customHeight="1">
      <c r="A74" s="1">
        <v>2.0</v>
      </c>
      <c r="B74" s="2">
        <v>4170002.0</v>
      </c>
      <c r="C74" s="1" t="s">
        <v>602</v>
      </c>
      <c r="D74" s="1" t="s">
        <v>603</v>
      </c>
      <c r="E74" s="3">
        <v>1.0</v>
      </c>
      <c r="F74" s="3">
        <v>8.0</v>
      </c>
      <c r="G74" s="1" t="s">
        <v>34</v>
      </c>
    </row>
    <row r="75" ht="12.75" customHeight="1">
      <c r="A75" s="1">
        <v>2.0</v>
      </c>
      <c r="B75" s="2">
        <v>3802058.0</v>
      </c>
      <c r="C75" s="1" t="s">
        <v>152</v>
      </c>
      <c r="D75" s="1" t="s">
        <v>596</v>
      </c>
      <c r="E75" s="3">
        <v>1.0</v>
      </c>
      <c r="F75" s="3">
        <v>7.0</v>
      </c>
      <c r="G75" s="1" t="s">
        <v>31</v>
      </c>
    </row>
    <row r="76" ht="12.75" customHeight="1">
      <c r="A76" s="1">
        <v>2.0</v>
      </c>
      <c r="B76" s="2">
        <v>3802554.0</v>
      </c>
      <c r="C76" s="1" t="s">
        <v>229</v>
      </c>
      <c r="D76" s="1" t="s">
        <v>595</v>
      </c>
      <c r="E76" s="3">
        <v>1.0</v>
      </c>
      <c r="F76" s="3">
        <v>7.0</v>
      </c>
      <c r="G76" s="1" t="s">
        <v>31</v>
      </c>
    </row>
    <row r="77" ht="12.75" customHeight="1">
      <c r="A77" s="1">
        <v>2.0</v>
      </c>
      <c r="B77" s="2">
        <v>3802571.0</v>
      </c>
      <c r="C77" s="1" t="s">
        <v>229</v>
      </c>
      <c r="D77" s="1" t="s">
        <v>594</v>
      </c>
      <c r="E77" s="3">
        <v>1.0</v>
      </c>
      <c r="F77" s="3">
        <v>7.0</v>
      </c>
      <c r="G77" s="1" t="s">
        <v>31</v>
      </c>
    </row>
    <row r="78" ht="12.75" customHeight="1">
      <c r="A78" s="1">
        <v>2.0</v>
      </c>
      <c r="B78" s="2">
        <v>3802662.0</v>
      </c>
      <c r="C78" s="1" t="s">
        <v>305</v>
      </c>
      <c r="D78" s="1" t="s">
        <v>593</v>
      </c>
      <c r="E78" s="3">
        <v>1.0</v>
      </c>
      <c r="F78" s="3">
        <v>7.0</v>
      </c>
      <c r="G78" s="1" t="s">
        <v>31</v>
      </c>
    </row>
    <row r="79" ht="12.75" customHeight="1">
      <c r="A79" s="1">
        <v>2.0</v>
      </c>
      <c r="B79" s="2">
        <v>1870120.0</v>
      </c>
      <c r="C79" s="1" t="s">
        <v>473</v>
      </c>
      <c r="D79" s="1" t="s">
        <v>592</v>
      </c>
      <c r="E79" s="3">
        <v>1.0</v>
      </c>
      <c r="F79" s="3">
        <v>4.0</v>
      </c>
      <c r="G79" s="1" t="s">
        <v>29</v>
      </c>
    </row>
    <row r="80" ht="12.75" customHeight="1">
      <c r="A80" s="1">
        <v>2.0</v>
      </c>
      <c r="B80" s="2">
        <v>90104.0</v>
      </c>
      <c r="C80" s="1" t="s">
        <v>438</v>
      </c>
      <c r="D80" s="1" t="s">
        <v>576</v>
      </c>
      <c r="E80" s="3">
        <v>1.0</v>
      </c>
      <c r="F80" s="3">
        <v>1.0</v>
      </c>
      <c r="G80" s="1" t="s">
        <v>23</v>
      </c>
    </row>
    <row r="81" ht="12.75" customHeight="1">
      <c r="A81" s="1">
        <v>2.0</v>
      </c>
      <c r="B81" s="2" t="s">
        <v>587</v>
      </c>
      <c r="C81" s="1" t="s">
        <v>158</v>
      </c>
      <c r="D81" s="1" t="s">
        <v>588</v>
      </c>
      <c r="E81" s="3">
        <v>1.0</v>
      </c>
      <c r="F81" s="3">
        <v>1.0</v>
      </c>
      <c r="G81" s="1" t="s">
        <v>23</v>
      </c>
    </row>
    <row r="82" ht="12.75" customHeight="1">
      <c r="A82" s="1">
        <v>2.0</v>
      </c>
      <c r="B82" s="2" t="s">
        <v>577</v>
      </c>
      <c r="C82" s="1" t="s">
        <v>578</v>
      </c>
      <c r="D82" s="1" t="s">
        <v>579</v>
      </c>
      <c r="E82" s="3">
        <v>1.0</v>
      </c>
      <c r="F82" s="3">
        <v>1.0</v>
      </c>
      <c r="G82" s="1" t="s">
        <v>23</v>
      </c>
    </row>
    <row r="83" ht="12.75" customHeight="1">
      <c r="A83" s="1">
        <v>2.0</v>
      </c>
      <c r="B83" s="2" t="s">
        <v>589</v>
      </c>
      <c r="C83" s="1" t="s">
        <v>158</v>
      </c>
      <c r="D83" s="1" t="s">
        <v>590</v>
      </c>
      <c r="E83" s="3">
        <v>1.0</v>
      </c>
      <c r="F83" s="3">
        <v>1.0</v>
      </c>
      <c r="G83" s="1" t="s">
        <v>23</v>
      </c>
    </row>
    <row r="84" ht="12.75" customHeight="1">
      <c r="A84" s="1">
        <v>2.0</v>
      </c>
      <c r="B84" s="2" t="s">
        <v>572</v>
      </c>
      <c r="C84" s="1" t="s">
        <v>229</v>
      </c>
      <c r="D84" s="1" t="s">
        <v>573</v>
      </c>
      <c r="E84" s="3">
        <v>1.0</v>
      </c>
      <c r="F84" s="3">
        <v>1.0</v>
      </c>
      <c r="G84" s="1" t="s">
        <v>23</v>
      </c>
    </row>
    <row r="85" ht="12.75" customHeight="1">
      <c r="A85" s="1">
        <v>2.0</v>
      </c>
      <c r="B85" s="2" t="s">
        <v>582</v>
      </c>
      <c r="C85" s="1" t="s">
        <v>87</v>
      </c>
      <c r="D85" s="1" t="s">
        <v>583</v>
      </c>
      <c r="E85" s="3">
        <v>1.0</v>
      </c>
      <c r="F85" s="3">
        <v>1.0</v>
      </c>
      <c r="G85" s="1" t="s">
        <v>23</v>
      </c>
    </row>
    <row r="86" ht="12.75" customHeight="1">
      <c r="A86" s="1">
        <v>2.0</v>
      </c>
      <c r="B86" s="2" t="s">
        <v>591</v>
      </c>
      <c r="C86" s="1" t="s">
        <v>288</v>
      </c>
      <c r="D86" s="1" t="s">
        <v>286</v>
      </c>
      <c r="E86" s="3">
        <v>1.0</v>
      </c>
      <c r="F86" s="3">
        <v>1.0</v>
      </c>
      <c r="G86" s="1" t="s">
        <v>23</v>
      </c>
    </row>
    <row r="87" ht="12.75" customHeight="1">
      <c r="A87" s="1">
        <v>2.0</v>
      </c>
      <c r="B87" s="2">
        <v>3801326.0</v>
      </c>
      <c r="C87" s="1" t="s">
        <v>312</v>
      </c>
      <c r="D87" s="1" t="s">
        <v>585</v>
      </c>
      <c r="E87" s="3">
        <v>1.0</v>
      </c>
      <c r="F87" s="3">
        <v>1.0</v>
      </c>
      <c r="G87" s="1" t="s">
        <v>23</v>
      </c>
    </row>
    <row r="88" ht="12.75" customHeight="1">
      <c r="A88" s="1">
        <v>2.0</v>
      </c>
      <c r="B88" s="2">
        <v>3801329.0</v>
      </c>
      <c r="C88" s="1" t="s">
        <v>312</v>
      </c>
      <c r="D88" s="1" t="s">
        <v>584</v>
      </c>
      <c r="E88" s="3">
        <v>1.0</v>
      </c>
      <c r="F88" s="3">
        <v>1.0</v>
      </c>
      <c r="G88" s="1" t="s">
        <v>23</v>
      </c>
    </row>
    <row r="89" ht="12.75" customHeight="1">
      <c r="A89" s="1">
        <v>2.0</v>
      </c>
      <c r="B89" s="2" t="s">
        <v>570</v>
      </c>
      <c r="C89" s="1" t="s">
        <v>21</v>
      </c>
      <c r="D89" s="1" t="s">
        <v>571</v>
      </c>
      <c r="E89" s="3">
        <v>1.0</v>
      </c>
      <c r="F89" s="3">
        <v>1.0</v>
      </c>
      <c r="G89" s="1" t="s">
        <v>23</v>
      </c>
    </row>
    <row r="90" ht="12.75" customHeight="1">
      <c r="A90" s="1">
        <v>2.0</v>
      </c>
      <c r="B90" s="2">
        <v>4490103.0</v>
      </c>
      <c r="C90" s="1" t="s">
        <v>568</v>
      </c>
      <c r="D90" s="1" t="s">
        <v>569</v>
      </c>
      <c r="E90" s="3">
        <v>1.0</v>
      </c>
      <c r="F90" s="3">
        <v>1.0</v>
      </c>
      <c r="G90" s="1" t="s">
        <v>23</v>
      </c>
    </row>
    <row r="91" ht="12.75" customHeight="1">
      <c r="A91" s="1">
        <v>2.0</v>
      </c>
      <c r="B91" s="2">
        <v>7020250.0</v>
      </c>
      <c r="C91" s="1" t="s">
        <v>574</v>
      </c>
      <c r="D91" s="1" t="s">
        <v>575</v>
      </c>
      <c r="E91" s="3">
        <v>1.0</v>
      </c>
      <c r="F91" s="3">
        <v>1.0</v>
      </c>
      <c r="G91" s="1" t="s">
        <v>23</v>
      </c>
    </row>
    <row r="92" ht="12.75" customHeight="1">
      <c r="A92" s="1">
        <v>2.0</v>
      </c>
      <c r="B92" s="2">
        <v>8270310.0</v>
      </c>
      <c r="C92" s="1" t="s">
        <v>580</v>
      </c>
      <c r="D92" s="1" t="s">
        <v>581</v>
      </c>
      <c r="E92" s="3">
        <v>1.0</v>
      </c>
      <c r="F92" s="3">
        <v>1.0</v>
      </c>
      <c r="G92" s="1" t="s">
        <v>23</v>
      </c>
    </row>
    <row r="93" ht="12.75" customHeight="1">
      <c r="A93" s="1">
        <v>2.0</v>
      </c>
      <c r="B93" s="2">
        <v>8451018.0</v>
      </c>
      <c r="C93" s="1" t="s">
        <v>180</v>
      </c>
      <c r="D93" s="1" t="s">
        <v>586</v>
      </c>
      <c r="E93" s="3">
        <v>1.0</v>
      </c>
      <c r="F93" s="3">
        <v>1.0</v>
      </c>
      <c r="G93" s="1" t="s">
        <v>23</v>
      </c>
    </row>
    <row r="94" ht="12.75" customHeight="1">
      <c r="A94" s="1">
        <v>1.0</v>
      </c>
      <c r="B94" s="2" t="s">
        <v>1635</v>
      </c>
      <c r="C94" s="1" t="s">
        <v>1636</v>
      </c>
      <c r="D94" s="1" t="s">
        <v>1637</v>
      </c>
      <c r="E94" s="3">
        <v>1.0</v>
      </c>
      <c r="F94" s="3">
        <v>11.0</v>
      </c>
      <c r="G94" s="1" t="s">
        <v>39</v>
      </c>
    </row>
    <row r="95" ht="12.75" customHeight="1">
      <c r="A95" s="1">
        <v>1.0</v>
      </c>
      <c r="B95" s="2">
        <v>3801556.0</v>
      </c>
      <c r="C95" s="1" t="s">
        <v>47</v>
      </c>
      <c r="D95" s="1" t="s">
        <v>1634</v>
      </c>
      <c r="E95" s="3">
        <v>1.0</v>
      </c>
      <c r="F95" s="3">
        <v>11.0</v>
      </c>
      <c r="G95" s="1" t="s">
        <v>39</v>
      </c>
    </row>
    <row r="96" ht="12.75" customHeight="1">
      <c r="A96" s="1">
        <v>1.0</v>
      </c>
      <c r="B96" s="2" t="s">
        <v>1620</v>
      </c>
      <c r="C96" s="1" t="s">
        <v>796</v>
      </c>
      <c r="D96" s="1" t="s">
        <v>1621</v>
      </c>
      <c r="E96" s="3">
        <v>1.0</v>
      </c>
      <c r="F96" s="3">
        <v>10.0</v>
      </c>
      <c r="G96" s="1" t="s">
        <v>5319</v>
      </c>
    </row>
    <row r="97" ht="12.75" customHeight="1">
      <c r="A97" s="1">
        <v>1.0</v>
      </c>
      <c r="B97" s="2" t="s">
        <v>5325</v>
      </c>
      <c r="C97" s="1" t="s">
        <v>5326</v>
      </c>
      <c r="D97" s="1" t="s">
        <v>4794</v>
      </c>
      <c r="E97" s="3">
        <v>1.0</v>
      </c>
      <c r="F97" s="3">
        <v>10.0</v>
      </c>
      <c r="G97" s="1" t="s">
        <v>5319</v>
      </c>
    </row>
    <row r="98" ht="12.75" customHeight="1">
      <c r="A98" s="1">
        <v>1.0</v>
      </c>
      <c r="B98" s="2" t="s">
        <v>5327</v>
      </c>
      <c r="C98" s="1" t="s">
        <v>5328</v>
      </c>
      <c r="D98" s="1" t="s">
        <v>5329</v>
      </c>
      <c r="E98" s="3">
        <v>1.0</v>
      </c>
      <c r="F98" s="3">
        <v>10.0</v>
      </c>
      <c r="G98" s="1" t="s">
        <v>5319</v>
      </c>
    </row>
    <row r="99" ht="12.75" customHeight="1">
      <c r="A99" s="1">
        <v>1.0</v>
      </c>
      <c r="B99" s="2" t="s">
        <v>5330</v>
      </c>
      <c r="C99" s="1" t="s">
        <v>5331</v>
      </c>
      <c r="D99" s="1" t="s">
        <v>5332</v>
      </c>
      <c r="E99" s="3">
        <v>1.0</v>
      </c>
      <c r="F99" s="3">
        <v>10.0</v>
      </c>
      <c r="G99" s="1" t="s">
        <v>5319</v>
      </c>
    </row>
    <row r="100" ht="12.75" customHeight="1">
      <c r="A100" s="1">
        <v>1.0</v>
      </c>
      <c r="B100" s="2" t="s">
        <v>1625</v>
      </c>
      <c r="C100" s="1" t="s">
        <v>447</v>
      </c>
      <c r="D100" s="1" t="s">
        <v>1626</v>
      </c>
      <c r="E100" s="3">
        <v>1.0</v>
      </c>
      <c r="F100" s="3">
        <v>10.0</v>
      </c>
      <c r="G100" s="1" t="s">
        <v>5319</v>
      </c>
    </row>
    <row r="101" ht="12.75" customHeight="1">
      <c r="A101" s="1">
        <v>1.0</v>
      </c>
      <c r="B101" s="2" t="s">
        <v>1627</v>
      </c>
      <c r="C101" s="1" t="s">
        <v>384</v>
      </c>
      <c r="D101" s="1" t="s">
        <v>1626</v>
      </c>
      <c r="E101" s="3">
        <v>1.0</v>
      </c>
      <c r="F101" s="3">
        <v>10.0</v>
      </c>
      <c r="G101" s="1" t="s">
        <v>5319</v>
      </c>
    </row>
    <row r="102" ht="12.75" customHeight="1">
      <c r="A102" s="1">
        <v>1.0</v>
      </c>
      <c r="B102" s="2" t="s">
        <v>1622</v>
      </c>
      <c r="C102" s="1" t="s">
        <v>1623</v>
      </c>
      <c r="D102" s="1" t="s">
        <v>1624</v>
      </c>
      <c r="E102" s="3">
        <v>1.0</v>
      </c>
      <c r="F102" s="3">
        <v>10.0</v>
      </c>
      <c r="G102" s="1" t="s">
        <v>5319</v>
      </c>
    </row>
    <row r="103" ht="12.75" customHeight="1">
      <c r="A103" s="1">
        <v>1.0</v>
      </c>
      <c r="B103" s="2" t="s">
        <v>1617</v>
      </c>
      <c r="C103" s="1" t="s">
        <v>1618</v>
      </c>
      <c r="D103" s="1" t="s">
        <v>1619</v>
      </c>
      <c r="E103" s="3">
        <v>1.0</v>
      </c>
      <c r="F103" s="3">
        <v>10.0</v>
      </c>
      <c r="G103" s="1" t="s">
        <v>5319</v>
      </c>
    </row>
    <row r="104" ht="12.75" customHeight="1">
      <c r="A104" s="1">
        <v>1.0</v>
      </c>
      <c r="B104" s="2" t="s">
        <v>1616</v>
      </c>
      <c r="C104" s="1" t="s">
        <v>155</v>
      </c>
      <c r="D104" s="1" t="s">
        <v>156</v>
      </c>
      <c r="E104" s="3">
        <v>1.0</v>
      </c>
      <c r="F104" s="3">
        <v>10.0</v>
      </c>
      <c r="G104" s="1" t="s">
        <v>5319</v>
      </c>
    </row>
    <row r="105" ht="12.75" customHeight="1">
      <c r="A105" s="1">
        <v>1.0</v>
      </c>
      <c r="B105" s="2" t="s">
        <v>1629</v>
      </c>
      <c r="C105" s="1" t="s">
        <v>384</v>
      </c>
      <c r="D105" s="1" t="s">
        <v>1630</v>
      </c>
      <c r="E105" s="3">
        <v>1.0</v>
      </c>
      <c r="F105" s="3">
        <v>10.0</v>
      </c>
      <c r="G105" s="1" t="s">
        <v>5319</v>
      </c>
    </row>
    <row r="106" ht="12.75" customHeight="1">
      <c r="A106" s="1">
        <v>1.0</v>
      </c>
      <c r="B106" s="2" t="s">
        <v>1628</v>
      </c>
      <c r="C106" s="1" t="s">
        <v>285</v>
      </c>
      <c r="D106" s="1" t="s">
        <v>607</v>
      </c>
      <c r="E106" s="3">
        <v>1.0</v>
      </c>
      <c r="F106" s="3">
        <v>10.0</v>
      </c>
      <c r="G106" s="1" t="s">
        <v>5319</v>
      </c>
    </row>
    <row r="107" ht="12.75" customHeight="1">
      <c r="A107" s="1">
        <v>1.0</v>
      </c>
      <c r="B107" s="2" t="s">
        <v>1613</v>
      </c>
      <c r="C107" s="1" t="s">
        <v>1614</v>
      </c>
      <c r="D107" s="1" t="s">
        <v>1615</v>
      </c>
      <c r="E107" s="3">
        <v>1.0</v>
      </c>
      <c r="F107" s="3">
        <v>10.0</v>
      </c>
      <c r="G107" s="1" t="s">
        <v>5319</v>
      </c>
    </row>
    <row r="108" ht="12.75" customHeight="1">
      <c r="A108" s="1">
        <v>1.0</v>
      </c>
      <c r="B108" s="2" t="s">
        <v>1631</v>
      </c>
      <c r="C108" s="1" t="s">
        <v>1091</v>
      </c>
      <c r="D108" s="1" t="s">
        <v>1632</v>
      </c>
      <c r="E108" s="3">
        <v>1.0</v>
      </c>
      <c r="F108" s="3">
        <v>10.0</v>
      </c>
      <c r="G108" s="1" t="s">
        <v>5319</v>
      </c>
    </row>
    <row r="109" ht="12.75" customHeight="1">
      <c r="A109" s="1">
        <v>1.0</v>
      </c>
      <c r="B109" s="2">
        <v>3801911.0</v>
      </c>
      <c r="C109" s="1" t="s">
        <v>346</v>
      </c>
      <c r="D109" s="1" t="s">
        <v>1633</v>
      </c>
      <c r="E109" s="3">
        <v>1.0</v>
      </c>
      <c r="F109" s="3">
        <v>10.0</v>
      </c>
      <c r="G109" s="1" t="s">
        <v>5319</v>
      </c>
    </row>
    <row r="110" ht="12.75" customHeight="1">
      <c r="A110" s="1">
        <v>1.0</v>
      </c>
      <c r="B110" s="2" t="s">
        <v>1578</v>
      </c>
      <c r="C110" s="1" t="s">
        <v>1579</v>
      </c>
      <c r="D110" s="1" t="s">
        <v>1580</v>
      </c>
      <c r="E110" s="3">
        <v>1.0</v>
      </c>
      <c r="F110" s="3">
        <v>8.0</v>
      </c>
      <c r="G110" s="1" t="s">
        <v>34</v>
      </c>
    </row>
    <row r="111" ht="12.75" customHeight="1">
      <c r="A111" s="1">
        <v>1.0</v>
      </c>
      <c r="B111" s="2" t="s">
        <v>1588</v>
      </c>
      <c r="C111" s="1" t="s">
        <v>1589</v>
      </c>
      <c r="D111" s="1" t="s">
        <v>1590</v>
      </c>
      <c r="E111" s="3">
        <v>1.0</v>
      </c>
      <c r="F111" s="3">
        <v>8.0</v>
      </c>
      <c r="G111" s="1" t="s">
        <v>34</v>
      </c>
    </row>
    <row r="112" ht="12.75" customHeight="1">
      <c r="A112" s="1">
        <v>1.0</v>
      </c>
      <c r="B112" s="2" t="s">
        <v>1604</v>
      </c>
      <c r="C112" s="1" t="s">
        <v>1605</v>
      </c>
      <c r="D112" s="1" t="s">
        <v>1606</v>
      </c>
      <c r="E112" s="3">
        <v>1.0</v>
      </c>
      <c r="F112" s="3">
        <v>8.0</v>
      </c>
      <c r="G112" s="1" t="s">
        <v>34</v>
      </c>
    </row>
    <row r="113" ht="12.75" customHeight="1">
      <c r="A113" s="1">
        <v>1.0</v>
      </c>
      <c r="B113" s="2" t="s">
        <v>1595</v>
      </c>
      <c r="C113" s="1" t="s">
        <v>1596</v>
      </c>
      <c r="D113" s="1" t="s">
        <v>1597</v>
      </c>
      <c r="E113" s="3">
        <v>1.0</v>
      </c>
      <c r="F113" s="3">
        <v>8.0</v>
      </c>
      <c r="G113" s="1" t="s">
        <v>34</v>
      </c>
    </row>
    <row r="114" ht="12.75" customHeight="1">
      <c r="A114" s="1">
        <v>1.0</v>
      </c>
      <c r="B114" s="2">
        <v>562854.0</v>
      </c>
      <c r="C114" s="1" t="s">
        <v>1591</v>
      </c>
      <c r="D114" s="1" t="s">
        <v>1592</v>
      </c>
      <c r="E114" s="3">
        <v>1.0</v>
      </c>
      <c r="F114" s="3">
        <v>8.0</v>
      </c>
      <c r="G114" s="1" t="s">
        <v>34</v>
      </c>
    </row>
    <row r="115" ht="12.75" customHeight="1">
      <c r="A115" s="1">
        <v>1.0</v>
      </c>
      <c r="B115" s="2" t="s">
        <v>5333</v>
      </c>
      <c r="C115" s="1" t="s">
        <v>5334</v>
      </c>
      <c r="D115" s="1" t="s">
        <v>5335</v>
      </c>
      <c r="E115" s="3">
        <v>1.0</v>
      </c>
      <c r="F115" s="3">
        <v>8.0</v>
      </c>
      <c r="G115" s="1" t="s">
        <v>34</v>
      </c>
    </row>
    <row r="116" ht="12.75" customHeight="1">
      <c r="A116" s="1">
        <v>1.0</v>
      </c>
      <c r="B116" s="2" t="s">
        <v>5336</v>
      </c>
      <c r="C116" s="1" t="s">
        <v>5337</v>
      </c>
      <c r="D116" s="1" t="s">
        <v>5338</v>
      </c>
      <c r="E116" s="3">
        <v>1.0</v>
      </c>
      <c r="F116" s="3">
        <v>8.0</v>
      </c>
      <c r="G116" s="1" t="s">
        <v>34</v>
      </c>
    </row>
    <row r="117" ht="12.75" customHeight="1">
      <c r="A117" s="1">
        <v>1.0</v>
      </c>
      <c r="B117" s="2" t="s">
        <v>1598</v>
      </c>
      <c r="C117" s="1" t="s">
        <v>87</v>
      </c>
      <c r="D117" s="1" t="s">
        <v>1599</v>
      </c>
      <c r="E117" s="3">
        <v>1.0</v>
      </c>
      <c r="F117" s="3">
        <v>8.0</v>
      </c>
      <c r="G117" s="1" t="s">
        <v>34</v>
      </c>
    </row>
    <row r="118" ht="12.75" customHeight="1">
      <c r="A118" s="1">
        <v>1.0</v>
      </c>
      <c r="B118" s="2" t="s">
        <v>5339</v>
      </c>
      <c r="C118" s="1" t="s">
        <v>5340</v>
      </c>
      <c r="D118" s="1" t="s">
        <v>5341</v>
      </c>
      <c r="E118" s="3">
        <v>1.0</v>
      </c>
      <c r="F118" s="3">
        <v>8.0</v>
      </c>
      <c r="G118" s="1" t="s">
        <v>34</v>
      </c>
    </row>
    <row r="119" ht="12.75" customHeight="1">
      <c r="A119" s="1">
        <v>1.0</v>
      </c>
      <c r="B119" s="2" t="s">
        <v>5342</v>
      </c>
      <c r="C119" s="1" t="s">
        <v>5343</v>
      </c>
      <c r="D119" s="1" t="s">
        <v>1360</v>
      </c>
      <c r="E119" s="3">
        <v>1.0</v>
      </c>
      <c r="F119" s="3">
        <v>8.0</v>
      </c>
      <c r="G119" s="1" t="s">
        <v>34</v>
      </c>
    </row>
    <row r="120" ht="12.75" customHeight="1">
      <c r="A120" s="1">
        <v>1.0</v>
      </c>
      <c r="B120" s="2" t="s">
        <v>1565</v>
      </c>
      <c r="C120" s="1" t="s">
        <v>1566</v>
      </c>
      <c r="D120" s="1" t="s">
        <v>1567</v>
      </c>
      <c r="E120" s="3">
        <v>1.0</v>
      </c>
      <c r="F120" s="3">
        <v>8.0</v>
      </c>
      <c r="G120" s="1" t="s">
        <v>34</v>
      </c>
    </row>
    <row r="121" ht="12.75" customHeight="1">
      <c r="A121" s="1">
        <v>1.0</v>
      </c>
      <c r="B121" s="2" t="s">
        <v>1602</v>
      </c>
      <c r="C121" s="1" t="s">
        <v>631</v>
      </c>
      <c r="D121" s="1" t="s">
        <v>1603</v>
      </c>
      <c r="E121" s="3">
        <v>1.0</v>
      </c>
      <c r="F121" s="3">
        <v>8.0</v>
      </c>
      <c r="G121" s="1" t="s">
        <v>34</v>
      </c>
    </row>
    <row r="122" ht="12.75" customHeight="1">
      <c r="A122" s="1">
        <v>1.0</v>
      </c>
      <c r="B122" s="2" t="s">
        <v>1574</v>
      </c>
      <c r="C122" s="1" t="s">
        <v>1575</v>
      </c>
      <c r="D122" s="1" t="s">
        <v>1576</v>
      </c>
      <c r="E122" s="3">
        <v>1.0</v>
      </c>
      <c r="F122" s="3">
        <v>8.0</v>
      </c>
      <c r="G122" s="1" t="s">
        <v>34</v>
      </c>
    </row>
    <row r="123" ht="12.75" customHeight="1">
      <c r="A123" s="1">
        <v>1.0</v>
      </c>
      <c r="B123" s="2" t="s">
        <v>5344</v>
      </c>
      <c r="C123" s="1" t="s">
        <v>5345</v>
      </c>
      <c r="D123" s="1" t="s">
        <v>5346</v>
      </c>
      <c r="E123" s="3">
        <v>1.0</v>
      </c>
      <c r="F123" s="3">
        <v>8.0</v>
      </c>
      <c r="G123" s="1" t="s">
        <v>34</v>
      </c>
    </row>
    <row r="124" ht="12.75" customHeight="1">
      <c r="A124" s="1">
        <v>1.0</v>
      </c>
      <c r="B124" s="2" t="s">
        <v>1568</v>
      </c>
      <c r="C124" s="1" t="s">
        <v>1569</v>
      </c>
      <c r="D124" s="1" t="s">
        <v>1570</v>
      </c>
      <c r="E124" s="3">
        <v>1.0</v>
      </c>
      <c r="F124" s="3">
        <v>8.0</v>
      </c>
      <c r="G124" s="1" t="s">
        <v>34</v>
      </c>
    </row>
    <row r="125" ht="12.75" customHeight="1">
      <c r="A125" s="1">
        <v>1.0</v>
      </c>
      <c r="B125" s="2" t="s">
        <v>1610</v>
      </c>
      <c r="C125" s="1" t="s">
        <v>1611</v>
      </c>
      <c r="D125" s="1" t="s">
        <v>1612</v>
      </c>
      <c r="E125" s="3">
        <v>1.0</v>
      </c>
      <c r="F125" s="3">
        <v>8.0</v>
      </c>
      <c r="G125" s="1" t="s">
        <v>34</v>
      </c>
    </row>
    <row r="126" ht="12.75" customHeight="1">
      <c r="A126" s="1">
        <v>1.0</v>
      </c>
      <c r="B126" s="2" t="s">
        <v>1593</v>
      </c>
      <c r="C126" s="1" t="s">
        <v>1594</v>
      </c>
      <c r="D126" s="1" t="s">
        <v>1592</v>
      </c>
      <c r="E126" s="3">
        <v>1.0</v>
      </c>
      <c r="F126" s="3">
        <v>8.0</v>
      </c>
      <c r="G126" s="1" t="s">
        <v>34</v>
      </c>
    </row>
    <row r="127" ht="12.75" customHeight="1">
      <c r="A127" s="1">
        <v>1.0</v>
      </c>
      <c r="B127" s="2" t="s">
        <v>1600</v>
      </c>
      <c r="C127" s="1" t="s">
        <v>1601</v>
      </c>
      <c r="D127" s="1" t="s">
        <v>286</v>
      </c>
      <c r="E127" s="3">
        <v>1.0</v>
      </c>
      <c r="F127" s="3">
        <v>8.0</v>
      </c>
      <c r="G127" s="1" t="s">
        <v>34</v>
      </c>
    </row>
    <row r="128" ht="12.75" customHeight="1">
      <c r="A128" s="1">
        <v>1.0</v>
      </c>
      <c r="B128" s="2" t="s">
        <v>1585</v>
      </c>
      <c r="C128" s="1" t="s">
        <v>1586</v>
      </c>
      <c r="D128" s="1" t="s">
        <v>1587</v>
      </c>
      <c r="E128" s="3">
        <v>1.0</v>
      </c>
      <c r="F128" s="3">
        <v>8.0</v>
      </c>
      <c r="G128" s="1" t="s">
        <v>34</v>
      </c>
    </row>
    <row r="129" ht="12.75" customHeight="1">
      <c r="A129" s="1">
        <v>1.0</v>
      </c>
      <c r="B129" s="2" t="s">
        <v>1581</v>
      </c>
      <c r="C129" s="1" t="s">
        <v>1582</v>
      </c>
      <c r="D129" s="1" t="s">
        <v>1583</v>
      </c>
      <c r="E129" s="3">
        <v>1.0</v>
      </c>
      <c r="F129" s="3">
        <v>8.0</v>
      </c>
      <c r="G129" s="1" t="s">
        <v>34</v>
      </c>
    </row>
    <row r="130" ht="12.75" customHeight="1">
      <c r="A130" s="1">
        <v>1.0</v>
      </c>
      <c r="B130" s="2" t="s">
        <v>1607</v>
      </c>
      <c r="C130" s="1" t="s">
        <v>1608</v>
      </c>
      <c r="D130" s="1" t="s">
        <v>1609</v>
      </c>
      <c r="E130" s="3">
        <v>1.0</v>
      </c>
      <c r="F130" s="3">
        <v>8.0</v>
      </c>
      <c r="G130" s="1" t="s">
        <v>34</v>
      </c>
    </row>
    <row r="131" ht="12.75" customHeight="1">
      <c r="A131" s="1">
        <v>1.0</v>
      </c>
      <c r="B131" s="2" t="s">
        <v>1571</v>
      </c>
      <c r="C131" s="1" t="s">
        <v>1572</v>
      </c>
      <c r="D131" s="1" t="s">
        <v>1573</v>
      </c>
      <c r="E131" s="3">
        <v>1.0</v>
      </c>
      <c r="F131" s="3">
        <v>8.0</v>
      </c>
      <c r="G131" s="1" t="s">
        <v>34</v>
      </c>
    </row>
    <row r="132" ht="12.75" customHeight="1">
      <c r="A132" s="1">
        <v>1.0</v>
      </c>
      <c r="B132" s="2">
        <v>1130876.0</v>
      </c>
      <c r="C132" s="1" t="s">
        <v>87</v>
      </c>
      <c r="D132" s="1" t="s">
        <v>253</v>
      </c>
      <c r="E132" s="3">
        <v>1.0</v>
      </c>
      <c r="F132" s="3">
        <v>8.0</v>
      </c>
      <c r="G132" s="1" t="s">
        <v>34</v>
      </c>
    </row>
    <row r="133" ht="12.75" customHeight="1">
      <c r="A133" s="1">
        <v>1.0</v>
      </c>
      <c r="B133" s="2">
        <v>1130880.0</v>
      </c>
      <c r="C133" s="1" t="s">
        <v>59</v>
      </c>
      <c r="D133" s="1" t="s">
        <v>88</v>
      </c>
      <c r="E133" s="3">
        <v>1.0</v>
      </c>
      <c r="F133" s="3">
        <v>8.0</v>
      </c>
      <c r="G133" s="1" t="s">
        <v>34</v>
      </c>
    </row>
    <row r="134" ht="12.75" customHeight="1">
      <c r="A134" s="1">
        <v>1.0</v>
      </c>
      <c r="B134" s="2">
        <v>1440310.0</v>
      </c>
      <c r="C134" s="1" t="s">
        <v>597</v>
      </c>
      <c r="D134" s="1" t="s">
        <v>1577</v>
      </c>
      <c r="E134" s="3">
        <v>1.0</v>
      </c>
      <c r="F134" s="3">
        <v>8.0</v>
      </c>
      <c r="G134" s="1" t="s">
        <v>34</v>
      </c>
    </row>
    <row r="135" ht="12.75" customHeight="1">
      <c r="A135" s="1">
        <v>1.0</v>
      </c>
      <c r="B135" s="2">
        <v>2990005.0</v>
      </c>
      <c r="C135" s="1" t="s">
        <v>333</v>
      </c>
      <c r="D135" s="1" t="s">
        <v>1584</v>
      </c>
      <c r="E135" s="3">
        <v>1.0</v>
      </c>
      <c r="F135" s="3">
        <v>8.0</v>
      </c>
      <c r="G135" s="1" t="s">
        <v>34</v>
      </c>
    </row>
    <row r="136" ht="12.75" customHeight="1">
      <c r="A136" s="1">
        <v>1.0</v>
      </c>
      <c r="B136" s="2" t="s">
        <v>1546</v>
      </c>
      <c r="C136" s="1" t="s">
        <v>1547</v>
      </c>
      <c r="D136" s="1" t="s">
        <v>1436</v>
      </c>
      <c r="E136" s="3">
        <v>1.0</v>
      </c>
      <c r="F136" s="3">
        <v>7.0</v>
      </c>
      <c r="G136" s="1" t="s">
        <v>31</v>
      </c>
    </row>
    <row r="137" ht="12.75" customHeight="1">
      <c r="A137" s="1">
        <v>1.0</v>
      </c>
      <c r="B137" s="2" t="s">
        <v>5347</v>
      </c>
      <c r="C137" s="1" t="s">
        <v>5348</v>
      </c>
      <c r="D137" s="1" t="s">
        <v>5349</v>
      </c>
      <c r="E137" s="3">
        <v>1.0</v>
      </c>
      <c r="F137" s="3">
        <v>7.0</v>
      </c>
      <c r="G137" s="1" t="s">
        <v>31</v>
      </c>
    </row>
    <row r="138" ht="12.75" customHeight="1">
      <c r="A138" s="1">
        <v>1.0</v>
      </c>
      <c r="B138" s="2" t="s">
        <v>1553</v>
      </c>
      <c r="C138" s="1" t="s">
        <v>1554</v>
      </c>
      <c r="D138" s="1" t="s">
        <v>1555</v>
      </c>
      <c r="E138" s="3">
        <v>1.0</v>
      </c>
      <c r="F138" s="3">
        <v>7.0</v>
      </c>
      <c r="G138" s="1" t="s">
        <v>31</v>
      </c>
    </row>
    <row r="139" ht="12.75" customHeight="1">
      <c r="A139" s="1">
        <v>1.0</v>
      </c>
      <c r="B139" s="2" t="s">
        <v>1556</v>
      </c>
      <c r="C139" s="1" t="s">
        <v>1557</v>
      </c>
      <c r="D139" s="1" t="s">
        <v>1558</v>
      </c>
      <c r="E139" s="3">
        <v>1.0</v>
      </c>
      <c r="F139" s="3">
        <v>7.0</v>
      </c>
      <c r="G139" s="1" t="s">
        <v>31</v>
      </c>
    </row>
    <row r="140" ht="12.75" customHeight="1">
      <c r="A140" s="1">
        <v>1.0</v>
      </c>
      <c r="B140" s="2" t="s">
        <v>5350</v>
      </c>
      <c r="C140" s="1" t="s">
        <v>5351</v>
      </c>
      <c r="D140" s="1" t="s">
        <v>5352</v>
      </c>
      <c r="E140" s="3">
        <v>1.0</v>
      </c>
      <c r="F140" s="3">
        <v>7.0</v>
      </c>
      <c r="G140" s="1" t="s">
        <v>31</v>
      </c>
    </row>
    <row r="141" ht="12.75" customHeight="1">
      <c r="A141" s="1">
        <v>1.0</v>
      </c>
      <c r="B141" s="2" t="s">
        <v>1542</v>
      </c>
      <c r="C141" s="1" t="s">
        <v>325</v>
      </c>
      <c r="D141" s="1" t="s">
        <v>1429</v>
      </c>
      <c r="E141" s="3">
        <v>1.0</v>
      </c>
      <c r="F141" s="3">
        <v>7.0</v>
      </c>
      <c r="G141" s="1" t="s">
        <v>31</v>
      </c>
    </row>
    <row r="142" ht="12.75" customHeight="1">
      <c r="A142" s="1">
        <v>1.0</v>
      </c>
      <c r="B142" s="2" t="s">
        <v>1533</v>
      </c>
      <c r="C142" s="1" t="s">
        <v>62</v>
      </c>
      <c r="D142" s="1" t="s">
        <v>1534</v>
      </c>
      <c r="E142" s="3">
        <v>1.0</v>
      </c>
      <c r="F142" s="3">
        <v>7.0</v>
      </c>
      <c r="G142" s="1" t="s">
        <v>31</v>
      </c>
    </row>
    <row r="143" ht="12.75" customHeight="1">
      <c r="A143" s="1">
        <v>1.0</v>
      </c>
      <c r="B143" s="2" t="s">
        <v>1537</v>
      </c>
      <c r="C143" s="1" t="s">
        <v>1538</v>
      </c>
      <c r="D143" s="1" t="s">
        <v>1123</v>
      </c>
      <c r="E143" s="3">
        <v>1.0</v>
      </c>
      <c r="F143" s="3">
        <v>7.0</v>
      </c>
      <c r="G143" s="1" t="s">
        <v>31</v>
      </c>
    </row>
    <row r="144" ht="12.75" customHeight="1">
      <c r="A144" s="1">
        <v>1.0</v>
      </c>
      <c r="B144" s="2" t="s">
        <v>1529</v>
      </c>
      <c r="C144" s="1" t="s">
        <v>1530</v>
      </c>
      <c r="D144" s="1" t="s">
        <v>1531</v>
      </c>
      <c r="E144" s="3">
        <v>1.0</v>
      </c>
      <c r="F144" s="3">
        <v>7.0</v>
      </c>
      <c r="G144" s="1" t="s">
        <v>31</v>
      </c>
    </row>
    <row r="145" ht="12.75" customHeight="1">
      <c r="A145" s="1">
        <v>1.0</v>
      </c>
      <c r="B145" s="2" t="s">
        <v>5353</v>
      </c>
      <c r="C145" s="1" t="s">
        <v>5354</v>
      </c>
      <c r="D145" s="1" t="s">
        <v>2022</v>
      </c>
      <c r="E145" s="3">
        <v>1.0</v>
      </c>
      <c r="F145" s="3">
        <v>7.0</v>
      </c>
      <c r="G145" s="1" t="s">
        <v>31</v>
      </c>
    </row>
    <row r="146" ht="12.75" customHeight="1">
      <c r="A146" s="1">
        <v>1.0</v>
      </c>
      <c r="B146" s="2" t="s">
        <v>1525</v>
      </c>
      <c r="C146" s="1" t="s">
        <v>447</v>
      </c>
      <c r="D146" s="1" t="s">
        <v>1526</v>
      </c>
      <c r="E146" s="3">
        <v>1.0</v>
      </c>
      <c r="F146" s="3">
        <v>7.0</v>
      </c>
      <c r="G146" s="1" t="s">
        <v>31</v>
      </c>
    </row>
    <row r="147" ht="12.75" customHeight="1">
      <c r="A147" s="1">
        <v>1.0</v>
      </c>
      <c r="B147" s="2" t="s">
        <v>1535</v>
      </c>
      <c r="C147" s="1" t="s">
        <v>1536</v>
      </c>
      <c r="D147" s="1" t="s">
        <v>1097</v>
      </c>
      <c r="E147" s="3">
        <v>1.0</v>
      </c>
      <c r="F147" s="3">
        <v>7.0</v>
      </c>
      <c r="G147" s="1" t="s">
        <v>31</v>
      </c>
    </row>
    <row r="148" ht="12.75" customHeight="1">
      <c r="A148" s="1">
        <v>1.0</v>
      </c>
      <c r="B148" s="2" t="s">
        <v>1539</v>
      </c>
      <c r="C148" s="1" t="s">
        <v>1540</v>
      </c>
      <c r="D148" s="1" t="s">
        <v>1123</v>
      </c>
      <c r="E148" s="3">
        <v>1.0</v>
      </c>
      <c r="F148" s="3">
        <v>7.0</v>
      </c>
      <c r="G148" s="1" t="s">
        <v>31</v>
      </c>
    </row>
    <row r="149" ht="12.75" customHeight="1">
      <c r="A149" s="1">
        <v>1.0</v>
      </c>
      <c r="B149" s="2" t="s">
        <v>1543</v>
      </c>
      <c r="C149" s="1" t="s">
        <v>1544</v>
      </c>
      <c r="D149" s="1" t="s">
        <v>1545</v>
      </c>
      <c r="E149" s="3">
        <v>1.0</v>
      </c>
      <c r="F149" s="3">
        <v>7.0</v>
      </c>
      <c r="G149" s="1" t="s">
        <v>31</v>
      </c>
    </row>
    <row r="150" ht="12.75" customHeight="1">
      <c r="A150" s="1">
        <v>1.0</v>
      </c>
      <c r="B150" s="2" t="s">
        <v>1523</v>
      </c>
      <c r="C150" s="1" t="s">
        <v>1524</v>
      </c>
      <c r="D150" s="1" t="s">
        <v>156</v>
      </c>
      <c r="E150" s="3">
        <v>1.0</v>
      </c>
      <c r="F150" s="3">
        <v>7.0</v>
      </c>
      <c r="G150" s="1" t="s">
        <v>31</v>
      </c>
    </row>
    <row r="151" ht="12.75" customHeight="1">
      <c r="A151" s="1">
        <v>1.0</v>
      </c>
      <c r="B151" s="2" t="s">
        <v>1548</v>
      </c>
      <c r="C151" s="1" t="s">
        <v>158</v>
      </c>
      <c r="D151" s="1" t="s">
        <v>588</v>
      </c>
      <c r="E151" s="3">
        <v>1.0</v>
      </c>
      <c r="F151" s="3">
        <v>7.0</v>
      </c>
      <c r="G151" s="1" t="s">
        <v>31</v>
      </c>
    </row>
    <row r="152" ht="12.75" customHeight="1">
      <c r="A152" s="1">
        <v>1.0</v>
      </c>
      <c r="B152" s="2" t="s">
        <v>1559</v>
      </c>
      <c r="C152" s="1" t="s">
        <v>1560</v>
      </c>
      <c r="D152" s="1" t="s">
        <v>1561</v>
      </c>
      <c r="E152" s="3">
        <v>1.0</v>
      </c>
      <c r="F152" s="3">
        <v>7.0</v>
      </c>
      <c r="G152" s="1" t="s">
        <v>31</v>
      </c>
    </row>
    <row r="153" ht="12.75" customHeight="1">
      <c r="A153" s="1">
        <v>1.0</v>
      </c>
      <c r="B153" s="2" t="s">
        <v>5355</v>
      </c>
      <c r="C153" s="1" t="s">
        <v>5356</v>
      </c>
      <c r="D153" s="1" t="s">
        <v>2022</v>
      </c>
      <c r="E153" s="3">
        <v>1.0</v>
      </c>
      <c r="F153" s="3">
        <v>7.0</v>
      </c>
      <c r="G153" s="1" t="s">
        <v>31</v>
      </c>
    </row>
    <row r="154" ht="12.75" customHeight="1">
      <c r="A154" s="1">
        <v>1.0</v>
      </c>
      <c r="B154" s="2" t="s">
        <v>1551</v>
      </c>
      <c r="C154" s="1" t="s">
        <v>384</v>
      </c>
      <c r="D154" s="1" t="s">
        <v>1552</v>
      </c>
      <c r="E154" s="3">
        <v>1.0</v>
      </c>
      <c r="F154" s="3">
        <v>7.0</v>
      </c>
      <c r="G154" s="1" t="s">
        <v>31</v>
      </c>
    </row>
    <row r="155" ht="12.75" customHeight="1">
      <c r="A155" s="1">
        <v>1.0</v>
      </c>
      <c r="B155" s="2" t="s">
        <v>1549</v>
      </c>
      <c r="C155" s="1" t="s">
        <v>288</v>
      </c>
      <c r="D155" s="1" t="s">
        <v>1550</v>
      </c>
      <c r="E155" s="3">
        <v>1.0</v>
      </c>
      <c r="F155" s="3">
        <v>7.0</v>
      </c>
      <c r="G155" s="1" t="s">
        <v>31</v>
      </c>
    </row>
    <row r="156" ht="12.75" customHeight="1">
      <c r="A156" s="1">
        <v>1.0</v>
      </c>
      <c r="B156" s="2">
        <v>610122.0</v>
      </c>
      <c r="C156" s="1" t="s">
        <v>5357</v>
      </c>
      <c r="D156" s="1" t="s">
        <v>5358</v>
      </c>
      <c r="E156" s="3">
        <v>1.0</v>
      </c>
      <c r="F156" s="3">
        <v>7.0</v>
      </c>
      <c r="G156" s="1" t="s">
        <v>31</v>
      </c>
    </row>
    <row r="157" ht="12.75" customHeight="1">
      <c r="A157" s="1">
        <v>1.0</v>
      </c>
      <c r="B157" s="2">
        <v>3801531.0</v>
      </c>
      <c r="C157" s="1" t="s">
        <v>47</v>
      </c>
      <c r="D157" s="1" t="s">
        <v>1527</v>
      </c>
      <c r="E157" s="3">
        <v>1.0</v>
      </c>
      <c r="F157" s="3">
        <v>7.0</v>
      </c>
      <c r="G157" s="1" t="s">
        <v>31</v>
      </c>
    </row>
    <row r="158" ht="12.75" customHeight="1">
      <c r="A158" s="1">
        <v>1.0</v>
      </c>
      <c r="B158" s="2">
        <v>3801909.0</v>
      </c>
      <c r="C158" s="1" t="s">
        <v>1562</v>
      </c>
      <c r="D158" s="1" t="s">
        <v>1563</v>
      </c>
      <c r="E158" s="3">
        <v>1.0</v>
      </c>
      <c r="F158" s="3">
        <v>7.0</v>
      </c>
      <c r="G158" s="1" t="s">
        <v>31</v>
      </c>
    </row>
    <row r="159" ht="12.75" customHeight="1">
      <c r="A159" s="1">
        <v>1.0</v>
      </c>
      <c r="B159" s="2">
        <v>3801912.0</v>
      </c>
      <c r="C159" s="1" t="s">
        <v>1528</v>
      </c>
      <c r="D159" s="1" t="s">
        <v>480</v>
      </c>
      <c r="E159" s="3">
        <v>1.0</v>
      </c>
      <c r="F159" s="3">
        <v>7.0</v>
      </c>
      <c r="G159" s="1" t="s">
        <v>31</v>
      </c>
    </row>
    <row r="160" ht="12.75" customHeight="1">
      <c r="A160" s="1">
        <v>1.0</v>
      </c>
      <c r="B160" s="2">
        <v>3801967.0</v>
      </c>
      <c r="C160" s="1" t="s">
        <v>25</v>
      </c>
      <c r="D160" s="1" t="s">
        <v>1541</v>
      </c>
      <c r="E160" s="3">
        <v>1.0</v>
      </c>
      <c r="F160" s="3">
        <v>7.0</v>
      </c>
      <c r="G160" s="1" t="s">
        <v>31</v>
      </c>
    </row>
    <row r="161" ht="12.75" customHeight="1">
      <c r="A161" s="1">
        <v>1.0</v>
      </c>
      <c r="B161" s="2" t="s">
        <v>1564</v>
      </c>
      <c r="C161" s="1" t="s">
        <v>25</v>
      </c>
      <c r="D161" s="1" t="s">
        <v>248</v>
      </c>
      <c r="E161" s="3">
        <v>1.0</v>
      </c>
      <c r="F161" s="3">
        <v>7.0</v>
      </c>
      <c r="G161" s="1" t="s">
        <v>31</v>
      </c>
    </row>
    <row r="162" ht="12.75" customHeight="1">
      <c r="A162" s="1">
        <v>1.0</v>
      </c>
      <c r="B162" s="2">
        <v>3802067.0</v>
      </c>
      <c r="C162" s="1" t="s">
        <v>25</v>
      </c>
      <c r="D162" s="1" t="s">
        <v>1532</v>
      </c>
      <c r="E162" s="3">
        <v>1.0</v>
      </c>
      <c r="F162" s="3">
        <v>7.0</v>
      </c>
      <c r="G162" s="1" t="s">
        <v>31</v>
      </c>
    </row>
    <row r="163" ht="12.75" customHeight="1">
      <c r="A163" s="1">
        <v>1.0</v>
      </c>
      <c r="B163" s="2" t="s">
        <v>1520</v>
      </c>
      <c r="C163" s="1" t="s">
        <v>1521</v>
      </c>
      <c r="D163" s="1" t="s">
        <v>1522</v>
      </c>
      <c r="E163" s="3">
        <v>1.0</v>
      </c>
      <c r="F163" s="3">
        <v>4.0</v>
      </c>
      <c r="G163" s="1" t="s">
        <v>29</v>
      </c>
    </row>
    <row r="164" ht="12.75" customHeight="1">
      <c r="A164" s="1">
        <v>1.0</v>
      </c>
      <c r="B164" s="2" t="s">
        <v>5359</v>
      </c>
      <c r="C164" s="1" t="s">
        <v>5360</v>
      </c>
      <c r="D164" s="1" t="s">
        <v>5361</v>
      </c>
      <c r="E164" s="3">
        <v>1.0</v>
      </c>
      <c r="F164" s="3">
        <v>4.0</v>
      </c>
      <c r="G164" s="1" t="s">
        <v>29</v>
      </c>
    </row>
    <row r="165" ht="12.75" customHeight="1">
      <c r="A165" s="1">
        <v>1.0</v>
      </c>
      <c r="B165" s="2" t="s">
        <v>1516</v>
      </c>
      <c r="C165" s="1" t="s">
        <v>1517</v>
      </c>
      <c r="D165" s="1" t="s">
        <v>1518</v>
      </c>
      <c r="E165" s="3">
        <v>1.0</v>
      </c>
      <c r="F165" s="3">
        <v>4.0</v>
      </c>
      <c r="G165" s="1" t="s">
        <v>29</v>
      </c>
    </row>
    <row r="166" ht="12.75" customHeight="1">
      <c r="A166" s="1">
        <v>1.0</v>
      </c>
      <c r="B166" s="2" t="s">
        <v>1519</v>
      </c>
      <c r="C166" s="1" t="s">
        <v>143</v>
      </c>
      <c r="D166" s="1" t="s">
        <v>1014</v>
      </c>
      <c r="E166" s="3">
        <v>1.0</v>
      </c>
      <c r="F166" s="3">
        <v>4.0</v>
      </c>
      <c r="G166" s="1" t="s">
        <v>29</v>
      </c>
    </row>
    <row r="167" ht="12.75" customHeight="1">
      <c r="A167" s="1">
        <v>1.0</v>
      </c>
      <c r="B167" s="2" t="s">
        <v>1514</v>
      </c>
      <c r="C167" s="1" t="s">
        <v>848</v>
      </c>
      <c r="D167" s="1" t="s">
        <v>1515</v>
      </c>
      <c r="E167" s="3">
        <v>1.0</v>
      </c>
      <c r="F167" s="3">
        <v>4.0</v>
      </c>
      <c r="G167" s="1" t="s">
        <v>29</v>
      </c>
    </row>
    <row r="168" ht="12.75" customHeight="1">
      <c r="A168" s="1">
        <v>1.0</v>
      </c>
      <c r="B168" s="2">
        <v>3801990.0</v>
      </c>
      <c r="C168" s="1" t="s">
        <v>1513</v>
      </c>
      <c r="D168" s="1" t="s">
        <v>388</v>
      </c>
      <c r="E168" s="3">
        <v>1.0</v>
      </c>
      <c r="F168" s="3">
        <v>4.0</v>
      </c>
      <c r="G168" s="1" t="s">
        <v>29</v>
      </c>
    </row>
    <row r="169" ht="12.75" customHeight="1">
      <c r="A169" s="1">
        <v>1.0</v>
      </c>
      <c r="B169" s="2" t="s">
        <v>5362</v>
      </c>
      <c r="C169" s="1" t="s">
        <v>5363</v>
      </c>
      <c r="D169" s="1" t="s">
        <v>5364</v>
      </c>
      <c r="E169" s="3">
        <v>1.0</v>
      </c>
      <c r="F169" s="3">
        <v>2.0</v>
      </c>
      <c r="G169" s="1" t="s">
        <v>5365</v>
      </c>
    </row>
    <row r="170" ht="12.75" customHeight="1">
      <c r="A170" s="1">
        <v>1.0</v>
      </c>
      <c r="B170" s="2">
        <v>1660504.0</v>
      </c>
      <c r="C170" s="1" t="s">
        <v>5366</v>
      </c>
      <c r="D170" s="1" t="s">
        <v>5367</v>
      </c>
      <c r="E170" s="3">
        <v>1.0</v>
      </c>
      <c r="F170" s="3">
        <v>2.0</v>
      </c>
      <c r="G170" s="1" t="s">
        <v>5365</v>
      </c>
    </row>
    <row r="171" ht="12.75" customHeight="1">
      <c r="A171" s="1">
        <v>1.0</v>
      </c>
      <c r="B171" s="2">
        <v>1660505.0</v>
      </c>
      <c r="C171" s="1" t="s">
        <v>844</v>
      </c>
      <c r="D171" s="1" t="s">
        <v>5367</v>
      </c>
      <c r="E171" s="3">
        <v>1.0</v>
      </c>
      <c r="F171" s="3">
        <v>2.0</v>
      </c>
      <c r="G171" s="1" t="s">
        <v>5365</v>
      </c>
    </row>
    <row r="172" ht="12.75" customHeight="1">
      <c r="A172" s="1">
        <v>1.0</v>
      </c>
      <c r="B172" s="2">
        <v>3802066.0</v>
      </c>
      <c r="C172" s="1" t="s">
        <v>25</v>
      </c>
      <c r="D172" s="1" t="s">
        <v>1512</v>
      </c>
      <c r="E172" s="3">
        <v>1.0</v>
      </c>
      <c r="F172" s="3">
        <v>2.0</v>
      </c>
      <c r="G172" s="1" t="s">
        <v>5365</v>
      </c>
    </row>
    <row r="173" ht="12.75" customHeight="1">
      <c r="A173" s="1">
        <v>1.0</v>
      </c>
      <c r="B173" s="2">
        <v>7150065.0</v>
      </c>
      <c r="C173" s="1" t="s">
        <v>5368</v>
      </c>
      <c r="D173" s="1" t="s">
        <v>5369</v>
      </c>
      <c r="E173" s="3">
        <v>1.0</v>
      </c>
      <c r="F173" s="3">
        <v>2.0</v>
      </c>
      <c r="G173" s="1" t="s">
        <v>5365</v>
      </c>
    </row>
    <row r="174" ht="12.75" customHeight="1">
      <c r="A174" s="1">
        <v>1.0</v>
      </c>
      <c r="B174" s="2">
        <v>90101.0</v>
      </c>
      <c r="C174" s="1" t="s">
        <v>438</v>
      </c>
      <c r="D174" s="1" t="s">
        <v>1403</v>
      </c>
      <c r="E174" s="3">
        <v>1.0</v>
      </c>
      <c r="F174" s="3">
        <v>1.0</v>
      </c>
      <c r="G174" s="1" t="s">
        <v>23</v>
      </c>
    </row>
    <row r="175" ht="12.75" customHeight="1">
      <c r="A175" s="1">
        <v>1.0</v>
      </c>
      <c r="B175" s="2">
        <v>90102.0</v>
      </c>
      <c r="C175" s="1" t="s">
        <v>1404</v>
      </c>
      <c r="D175" s="1" t="s">
        <v>1405</v>
      </c>
      <c r="E175" s="3">
        <v>1.0</v>
      </c>
      <c r="F175" s="3">
        <v>1.0</v>
      </c>
      <c r="G175" s="1" t="s">
        <v>23</v>
      </c>
    </row>
    <row r="176" ht="12.75" customHeight="1">
      <c r="A176" s="1">
        <v>1.0</v>
      </c>
      <c r="B176" s="2" t="s">
        <v>1480</v>
      </c>
      <c r="C176" s="1" t="s">
        <v>1481</v>
      </c>
      <c r="D176" s="1" t="s">
        <v>1482</v>
      </c>
      <c r="E176" s="3">
        <v>1.0</v>
      </c>
      <c r="F176" s="3">
        <v>1.0</v>
      </c>
      <c r="G176" s="1" t="s">
        <v>23</v>
      </c>
    </row>
    <row r="177" ht="12.75" customHeight="1">
      <c r="A177" s="1">
        <v>1.0</v>
      </c>
      <c r="B177" s="2" t="s">
        <v>1464</v>
      </c>
      <c r="C177" s="1" t="s">
        <v>1465</v>
      </c>
      <c r="D177" s="1" t="s">
        <v>1466</v>
      </c>
      <c r="E177" s="3">
        <v>1.0</v>
      </c>
      <c r="F177" s="3">
        <v>1.0</v>
      </c>
      <c r="G177" s="1" t="s">
        <v>23</v>
      </c>
    </row>
    <row r="178" ht="12.75" customHeight="1">
      <c r="A178" s="1">
        <v>1.0</v>
      </c>
      <c r="B178" s="2" t="s">
        <v>5370</v>
      </c>
      <c r="C178" s="1" t="s">
        <v>5371</v>
      </c>
      <c r="D178" s="1" t="s">
        <v>5372</v>
      </c>
      <c r="E178" s="3">
        <v>1.0</v>
      </c>
      <c r="F178" s="3">
        <v>1.0</v>
      </c>
      <c r="G178" s="1" t="s">
        <v>23</v>
      </c>
    </row>
    <row r="179" ht="12.75" customHeight="1">
      <c r="A179" s="1">
        <v>1.0</v>
      </c>
      <c r="B179" s="2" t="s">
        <v>1468</v>
      </c>
      <c r="C179" s="1" t="s">
        <v>1469</v>
      </c>
      <c r="D179" s="1" t="s">
        <v>1470</v>
      </c>
      <c r="E179" s="3">
        <v>1.0</v>
      </c>
      <c r="F179" s="3">
        <v>1.0</v>
      </c>
      <c r="G179" s="1" t="s">
        <v>23</v>
      </c>
    </row>
    <row r="180" ht="12.75" customHeight="1">
      <c r="A180" s="1">
        <v>1.0</v>
      </c>
      <c r="B180" s="2" t="s">
        <v>5373</v>
      </c>
      <c r="C180" s="1" t="s">
        <v>5374</v>
      </c>
      <c r="D180" s="1" t="s">
        <v>5375</v>
      </c>
      <c r="E180" s="3">
        <v>1.0</v>
      </c>
      <c r="F180" s="3">
        <v>1.0</v>
      </c>
      <c r="G180" s="1" t="s">
        <v>23</v>
      </c>
    </row>
    <row r="181" ht="12.75" customHeight="1">
      <c r="A181" s="1">
        <v>1.0</v>
      </c>
      <c r="B181" s="2" t="s">
        <v>5376</v>
      </c>
      <c r="C181" s="1" t="s">
        <v>5377</v>
      </c>
      <c r="D181" s="1" t="s">
        <v>1580</v>
      </c>
      <c r="E181" s="3">
        <v>1.0</v>
      </c>
      <c r="F181" s="3">
        <v>1.0</v>
      </c>
      <c r="G181" s="1" t="s">
        <v>23</v>
      </c>
    </row>
    <row r="182" ht="12.75" customHeight="1">
      <c r="A182" s="1">
        <v>1.0</v>
      </c>
      <c r="B182" s="2" t="s">
        <v>1441</v>
      </c>
      <c r="C182" s="1" t="s">
        <v>1442</v>
      </c>
      <c r="D182" s="1" t="s">
        <v>1443</v>
      </c>
      <c r="E182" s="3">
        <v>1.0</v>
      </c>
      <c r="F182" s="3">
        <v>1.0</v>
      </c>
      <c r="G182" s="1" t="s">
        <v>23</v>
      </c>
    </row>
    <row r="183" ht="12.75" customHeight="1">
      <c r="A183" s="1">
        <v>1.0</v>
      </c>
      <c r="B183" s="2" t="s">
        <v>1410</v>
      </c>
      <c r="C183" s="1" t="s">
        <v>1411</v>
      </c>
      <c r="D183" s="1" t="s">
        <v>1123</v>
      </c>
      <c r="E183" s="3">
        <v>1.0</v>
      </c>
      <c r="F183" s="3">
        <v>1.0</v>
      </c>
      <c r="G183" s="1" t="s">
        <v>23</v>
      </c>
    </row>
    <row r="184" ht="12.75" customHeight="1">
      <c r="A184" s="1">
        <v>1.0</v>
      </c>
      <c r="B184" s="2" t="s">
        <v>5378</v>
      </c>
      <c r="C184" s="1" t="s">
        <v>5379</v>
      </c>
      <c r="D184" s="1" t="s">
        <v>5380</v>
      </c>
      <c r="E184" s="3">
        <v>1.0</v>
      </c>
      <c r="F184" s="3">
        <v>1.0</v>
      </c>
      <c r="G184" s="1" t="s">
        <v>23</v>
      </c>
    </row>
    <row r="185" ht="12.75" customHeight="1">
      <c r="A185" s="1">
        <v>1.0</v>
      </c>
      <c r="B185" s="2" t="s">
        <v>5381</v>
      </c>
      <c r="C185" s="1" t="s">
        <v>5382</v>
      </c>
      <c r="D185" s="1" t="s">
        <v>5383</v>
      </c>
      <c r="E185" s="3">
        <v>1.0</v>
      </c>
      <c r="F185" s="3">
        <v>1.0</v>
      </c>
      <c r="G185" s="1" t="s">
        <v>23</v>
      </c>
    </row>
    <row r="186" ht="12.75" customHeight="1">
      <c r="A186" s="1">
        <v>1.0</v>
      </c>
      <c r="B186" s="2" t="s">
        <v>1431</v>
      </c>
      <c r="C186" s="1" t="s">
        <v>1432</v>
      </c>
      <c r="D186" s="1" t="s">
        <v>1433</v>
      </c>
      <c r="E186" s="3">
        <v>1.0</v>
      </c>
      <c r="F186" s="3">
        <v>1.0</v>
      </c>
      <c r="G186" s="1" t="s">
        <v>23</v>
      </c>
    </row>
    <row r="187" ht="12.75" customHeight="1">
      <c r="A187" s="1">
        <v>1.0</v>
      </c>
      <c r="B187" s="2" t="s">
        <v>1434</v>
      </c>
      <c r="C187" s="1" t="s">
        <v>1435</v>
      </c>
      <c r="D187" s="1" t="s">
        <v>1436</v>
      </c>
      <c r="E187" s="3">
        <v>1.0</v>
      </c>
      <c r="F187" s="3">
        <v>1.0</v>
      </c>
      <c r="G187" s="1" t="s">
        <v>23</v>
      </c>
    </row>
    <row r="188" ht="12.75" customHeight="1">
      <c r="A188" s="1">
        <v>1.0</v>
      </c>
      <c r="B188" s="2" t="s">
        <v>1396</v>
      </c>
      <c r="C188" s="1" t="s">
        <v>1397</v>
      </c>
      <c r="D188" s="1" t="s">
        <v>1398</v>
      </c>
      <c r="E188" s="3">
        <v>1.0</v>
      </c>
      <c r="F188" s="3">
        <v>1.0</v>
      </c>
      <c r="G188" s="1" t="s">
        <v>23</v>
      </c>
    </row>
    <row r="189" ht="12.75" customHeight="1">
      <c r="A189" s="1">
        <v>1.0</v>
      </c>
      <c r="B189" s="2" t="s">
        <v>1412</v>
      </c>
      <c r="C189" s="1" t="s">
        <v>1413</v>
      </c>
      <c r="D189" s="1" t="s">
        <v>1123</v>
      </c>
      <c r="E189" s="3">
        <v>1.0</v>
      </c>
      <c r="F189" s="3">
        <v>1.0</v>
      </c>
      <c r="G189" s="1" t="s">
        <v>23</v>
      </c>
    </row>
    <row r="190" ht="12.75" customHeight="1">
      <c r="A190" s="1">
        <v>1.0</v>
      </c>
      <c r="B190" s="2" t="s">
        <v>1471</v>
      </c>
      <c r="C190" s="1" t="s">
        <v>1472</v>
      </c>
      <c r="D190" s="1" t="s">
        <v>1473</v>
      </c>
      <c r="E190" s="3">
        <v>1.0</v>
      </c>
      <c r="F190" s="3">
        <v>1.0</v>
      </c>
      <c r="G190" s="1" t="s">
        <v>23</v>
      </c>
    </row>
    <row r="191" ht="12.75" customHeight="1">
      <c r="A191" s="1">
        <v>1.0</v>
      </c>
      <c r="B191" s="2" t="s">
        <v>5384</v>
      </c>
      <c r="C191" s="1" t="s">
        <v>5385</v>
      </c>
      <c r="D191" s="1" t="s">
        <v>5386</v>
      </c>
      <c r="E191" s="3">
        <v>1.0</v>
      </c>
      <c r="F191" s="3">
        <v>1.0</v>
      </c>
      <c r="G191" s="1" t="s">
        <v>23</v>
      </c>
    </row>
    <row r="192" ht="12.75" customHeight="1">
      <c r="A192" s="1">
        <v>1.0</v>
      </c>
      <c r="B192" s="2" t="s">
        <v>5387</v>
      </c>
      <c r="C192" s="1" t="s">
        <v>5388</v>
      </c>
      <c r="D192" s="1" t="s">
        <v>5389</v>
      </c>
      <c r="E192" s="3">
        <v>1.0</v>
      </c>
      <c r="F192" s="3">
        <v>1.0</v>
      </c>
      <c r="G192" s="1" t="s">
        <v>23</v>
      </c>
    </row>
    <row r="193" ht="12.75" customHeight="1">
      <c r="A193" s="1">
        <v>1.0</v>
      </c>
      <c r="B193" s="2" t="s">
        <v>1427</v>
      </c>
      <c r="C193" s="1" t="s">
        <v>1428</v>
      </c>
      <c r="D193" s="1" t="s">
        <v>1429</v>
      </c>
      <c r="E193" s="3">
        <v>1.0</v>
      </c>
      <c r="F193" s="3">
        <v>1.0</v>
      </c>
      <c r="G193" s="1" t="s">
        <v>23</v>
      </c>
    </row>
    <row r="194" ht="12.75" customHeight="1">
      <c r="A194" s="1">
        <v>1.0</v>
      </c>
      <c r="B194" s="2" t="s">
        <v>1485</v>
      </c>
      <c r="C194" s="1" t="s">
        <v>1486</v>
      </c>
      <c r="D194" s="1" t="s">
        <v>1360</v>
      </c>
      <c r="E194" s="3">
        <v>1.0</v>
      </c>
      <c r="F194" s="3">
        <v>1.0</v>
      </c>
      <c r="G194" s="1" t="s">
        <v>23</v>
      </c>
    </row>
    <row r="195" ht="12.75" customHeight="1">
      <c r="A195" s="1">
        <v>1.0</v>
      </c>
      <c r="B195" s="2" t="s">
        <v>1487</v>
      </c>
      <c r="C195" s="1" t="s">
        <v>1488</v>
      </c>
      <c r="D195" s="1" t="s">
        <v>1360</v>
      </c>
      <c r="E195" s="3">
        <v>1.0</v>
      </c>
      <c r="F195" s="3">
        <v>1.0</v>
      </c>
      <c r="G195" s="1" t="s">
        <v>23</v>
      </c>
    </row>
    <row r="196" ht="12.75" customHeight="1">
      <c r="A196" s="1">
        <v>1.0</v>
      </c>
      <c r="B196" s="2" t="s">
        <v>1455</v>
      </c>
      <c r="C196" s="1" t="s">
        <v>1456</v>
      </c>
      <c r="D196" s="1" t="s">
        <v>1457</v>
      </c>
      <c r="E196" s="3">
        <v>1.0</v>
      </c>
      <c r="F196" s="3">
        <v>1.0</v>
      </c>
      <c r="G196" s="1" t="s">
        <v>23</v>
      </c>
    </row>
    <row r="197" ht="12.75" customHeight="1">
      <c r="A197" s="1">
        <v>1.0</v>
      </c>
      <c r="B197" s="2" t="s">
        <v>1501</v>
      </c>
      <c r="C197" s="1" t="s">
        <v>1502</v>
      </c>
      <c r="D197" s="1" t="s">
        <v>1503</v>
      </c>
      <c r="E197" s="3">
        <v>1.0</v>
      </c>
      <c r="F197" s="3">
        <v>1.0</v>
      </c>
      <c r="G197" s="1" t="s">
        <v>23</v>
      </c>
    </row>
    <row r="198" ht="12.75" customHeight="1">
      <c r="A198" s="1">
        <v>1.0</v>
      </c>
      <c r="B198" s="2" t="s">
        <v>1374</v>
      </c>
      <c r="C198" s="1" t="s">
        <v>1375</v>
      </c>
      <c r="D198" s="1" t="s">
        <v>653</v>
      </c>
      <c r="E198" s="3">
        <v>1.0</v>
      </c>
      <c r="F198" s="3">
        <v>1.0</v>
      </c>
      <c r="G198" s="1" t="s">
        <v>23</v>
      </c>
    </row>
    <row r="199" ht="12.75" customHeight="1">
      <c r="A199" s="1">
        <v>1.0</v>
      </c>
      <c r="B199" s="2" t="s">
        <v>1504</v>
      </c>
      <c r="C199" s="1" t="s">
        <v>1505</v>
      </c>
      <c r="D199" s="1" t="s">
        <v>1503</v>
      </c>
      <c r="E199" s="3">
        <v>1.0</v>
      </c>
      <c r="F199" s="3">
        <v>1.0</v>
      </c>
      <c r="G199" s="1" t="s">
        <v>23</v>
      </c>
    </row>
    <row r="200" ht="12.75" customHeight="1">
      <c r="A200" s="1">
        <v>1.0</v>
      </c>
      <c r="B200" s="2" t="s">
        <v>5390</v>
      </c>
      <c r="C200" s="1" t="s">
        <v>5391</v>
      </c>
      <c r="D200" s="1" t="s">
        <v>5392</v>
      </c>
      <c r="E200" s="3">
        <v>1.0</v>
      </c>
      <c r="F200" s="3">
        <v>1.0</v>
      </c>
      <c r="G200" s="1" t="s">
        <v>23</v>
      </c>
    </row>
    <row r="201" ht="12.75" customHeight="1">
      <c r="A201" s="1">
        <v>1.0</v>
      </c>
      <c r="B201" s="2" t="s">
        <v>5393</v>
      </c>
      <c r="C201" s="1" t="s">
        <v>5394</v>
      </c>
      <c r="D201" s="1" t="s">
        <v>5395</v>
      </c>
      <c r="E201" s="3">
        <v>1.0</v>
      </c>
      <c r="F201" s="3">
        <v>1.0</v>
      </c>
      <c r="G201" s="1" t="s">
        <v>23</v>
      </c>
    </row>
    <row r="202" ht="12.75" customHeight="1">
      <c r="A202" s="1">
        <v>1.0</v>
      </c>
      <c r="B202" s="2" t="s">
        <v>5396</v>
      </c>
      <c r="C202" s="1" t="s">
        <v>5397</v>
      </c>
      <c r="D202" s="1" t="s">
        <v>5398</v>
      </c>
      <c r="E202" s="3">
        <v>1.0</v>
      </c>
      <c r="F202" s="3">
        <v>1.0</v>
      </c>
      <c r="G202" s="1" t="s">
        <v>23</v>
      </c>
    </row>
    <row r="203" ht="12.75" customHeight="1">
      <c r="A203" s="1">
        <v>1.0</v>
      </c>
      <c r="B203" s="2" t="s">
        <v>1489</v>
      </c>
      <c r="C203" s="1" t="s">
        <v>1490</v>
      </c>
      <c r="D203" s="1" t="s">
        <v>1360</v>
      </c>
      <c r="E203" s="3">
        <v>1.0</v>
      </c>
      <c r="F203" s="3">
        <v>1.0</v>
      </c>
      <c r="G203" s="1" t="s">
        <v>23</v>
      </c>
    </row>
    <row r="204" ht="12.75" customHeight="1">
      <c r="A204" s="1">
        <v>1.0</v>
      </c>
      <c r="B204" s="2" t="s">
        <v>5399</v>
      </c>
      <c r="C204" s="1" t="s">
        <v>5400</v>
      </c>
      <c r="D204" s="1" t="s">
        <v>5401</v>
      </c>
      <c r="E204" s="3">
        <v>1.0</v>
      </c>
      <c r="F204" s="3">
        <v>1.0</v>
      </c>
      <c r="G204" s="1" t="s">
        <v>23</v>
      </c>
    </row>
    <row r="205" ht="12.75" customHeight="1">
      <c r="A205" s="1">
        <v>1.0</v>
      </c>
      <c r="B205" s="2" t="s">
        <v>1446</v>
      </c>
      <c r="C205" s="1" t="s">
        <v>1447</v>
      </c>
      <c r="D205" s="1" t="s">
        <v>286</v>
      </c>
      <c r="E205" s="3">
        <v>1.0</v>
      </c>
      <c r="F205" s="3">
        <v>1.0</v>
      </c>
      <c r="G205" s="1" t="s">
        <v>23</v>
      </c>
    </row>
    <row r="206" ht="12.75" customHeight="1">
      <c r="A206" s="1">
        <v>1.0</v>
      </c>
      <c r="B206" s="2" t="s">
        <v>1474</v>
      </c>
      <c r="C206" s="1" t="s">
        <v>1475</v>
      </c>
      <c r="D206" s="1" t="s">
        <v>1476</v>
      </c>
      <c r="E206" s="3">
        <v>1.0</v>
      </c>
      <c r="F206" s="3">
        <v>1.0</v>
      </c>
      <c r="G206" s="1" t="s">
        <v>23</v>
      </c>
    </row>
    <row r="207" ht="12.75" customHeight="1">
      <c r="A207" s="1">
        <v>1.0</v>
      </c>
      <c r="B207" s="2" t="s">
        <v>1506</v>
      </c>
      <c r="C207" s="1" t="s">
        <v>1507</v>
      </c>
      <c r="D207" s="1" t="s">
        <v>1503</v>
      </c>
      <c r="E207" s="3">
        <v>1.0</v>
      </c>
      <c r="F207" s="3">
        <v>1.0</v>
      </c>
      <c r="G207" s="1" t="s">
        <v>23</v>
      </c>
    </row>
    <row r="208" ht="12.75" customHeight="1">
      <c r="A208" s="1">
        <v>1.0</v>
      </c>
      <c r="B208" s="2" t="s">
        <v>1383</v>
      </c>
      <c r="C208" s="1" t="s">
        <v>1384</v>
      </c>
      <c r="D208" s="1" t="s">
        <v>1385</v>
      </c>
      <c r="E208" s="3">
        <v>1.0</v>
      </c>
      <c r="F208" s="3">
        <v>1.0</v>
      </c>
      <c r="G208" s="1" t="s">
        <v>23</v>
      </c>
    </row>
    <row r="209" ht="12.75" customHeight="1">
      <c r="A209" s="1">
        <v>1.0</v>
      </c>
      <c r="B209" s="2" t="s">
        <v>1463</v>
      </c>
      <c r="C209" s="1" t="s">
        <v>384</v>
      </c>
      <c r="D209" s="1" t="s">
        <v>341</v>
      </c>
      <c r="E209" s="3">
        <v>1.0</v>
      </c>
      <c r="F209" s="3">
        <v>1.0</v>
      </c>
      <c r="G209" s="1" t="s">
        <v>23</v>
      </c>
    </row>
    <row r="210" ht="12.75" customHeight="1">
      <c r="A210" s="1">
        <v>1.0</v>
      </c>
      <c r="B210" s="2" t="s">
        <v>5402</v>
      </c>
      <c r="C210" s="1" t="s">
        <v>5403</v>
      </c>
      <c r="D210" s="1" t="s">
        <v>5404</v>
      </c>
      <c r="E210" s="3">
        <v>1.0</v>
      </c>
      <c r="F210" s="3">
        <v>1.0</v>
      </c>
      <c r="G210" s="1" t="s">
        <v>23</v>
      </c>
    </row>
    <row r="211" ht="12.75" customHeight="1">
      <c r="A211" s="1">
        <v>1.0</v>
      </c>
      <c r="B211" s="2" t="s">
        <v>1508</v>
      </c>
      <c r="C211" s="1" t="s">
        <v>1509</v>
      </c>
      <c r="D211" s="1" t="s">
        <v>1503</v>
      </c>
      <c r="E211" s="3">
        <v>1.0</v>
      </c>
      <c r="F211" s="3">
        <v>1.0</v>
      </c>
      <c r="G211" s="1" t="s">
        <v>23</v>
      </c>
    </row>
    <row r="212" ht="12.75" customHeight="1">
      <c r="A212" s="1">
        <v>1.0</v>
      </c>
      <c r="B212" s="2" t="s">
        <v>1458</v>
      </c>
      <c r="C212" s="1" t="s">
        <v>1459</v>
      </c>
      <c r="D212" s="1" t="s">
        <v>1460</v>
      </c>
      <c r="E212" s="3">
        <v>1.0</v>
      </c>
      <c r="F212" s="3">
        <v>1.0</v>
      </c>
      <c r="G212" s="1" t="s">
        <v>23</v>
      </c>
    </row>
    <row r="213" ht="12.75" customHeight="1">
      <c r="A213" s="1">
        <v>1.0</v>
      </c>
      <c r="B213" s="2" t="s">
        <v>5405</v>
      </c>
      <c r="C213" s="1" t="s">
        <v>5406</v>
      </c>
      <c r="D213" s="1" t="s">
        <v>5407</v>
      </c>
      <c r="E213" s="3">
        <v>1.0</v>
      </c>
      <c r="F213" s="3">
        <v>1.0</v>
      </c>
      <c r="G213" s="1" t="s">
        <v>23</v>
      </c>
    </row>
    <row r="214" ht="12.75" customHeight="1">
      <c r="A214" s="1">
        <v>1.0</v>
      </c>
      <c r="B214" s="2" t="s">
        <v>1381</v>
      </c>
      <c r="C214" s="1" t="s">
        <v>1382</v>
      </c>
      <c r="D214" s="1" t="s">
        <v>1380</v>
      </c>
      <c r="E214" s="3">
        <v>1.0</v>
      </c>
      <c r="F214" s="3">
        <v>1.0</v>
      </c>
      <c r="G214" s="1" t="s">
        <v>23</v>
      </c>
    </row>
    <row r="215" ht="12.75" customHeight="1">
      <c r="A215" s="1">
        <v>1.0</v>
      </c>
      <c r="B215" s="2">
        <v>563260.0</v>
      </c>
      <c r="C215" s="1" t="s">
        <v>1367</v>
      </c>
      <c r="D215" s="1" t="s">
        <v>1368</v>
      </c>
      <c r="E215" s="3">
        <v>1.0</v>
      </c>
      <c r="F215" s="3">
        <v>1.0</v>
      </c>
      <c r="G215" s="1" t="s">
        <v>23</v>
      </c>
    </row>
    <row r="216" ht="12.75" customHeight="1">
      <c r="A216" s="1">
        <v>1.0</v>
      </c>
      <c r="B216" s="2" t="s">
        <v>1369</v>
      </c>
      <c r="C216" s="1" t="s">
        <v>1370</v>
      </c>
      <c r="D216" s="1" t="s">
        <v>1368</v>
      </c>
      <c r="E216" s="3">
        <v>1.0</v>
      </c>
      <c r="F216" s="3">
        <v>1.0</v>
      </c>
      <c r="G216" s="1" t="s">
        <v>23</v>
      </c>
    </row>
    <row r="217" ht="12.75" customHeight="1">
      <c r="A217" s="1">
        <v>1.0</v>
      </c>
      <c r="B217" s="2" t="s">
        <v>5408</v>
      </c>
      <c r="C217" s="1" t="s">
        <v>5409</v>
      </c>
      <c r="D217" s="1" t="s">
        <v>5410</v>
      </c>
      <c r="E217" s="3">
        <v>1.0</v>
      </c>
      <c r="F217" s="3">
        <v>1.0</v>
      </c>
      <c r="G217" s="1" t="s">
        <v>23</v>
      </c>
    </row>
    <row r="218" ht="12.75" customHeight="1">
      <c r="A218" s="1">
        <v>1.0</v>
      </c>
      <c r="B218" s="2" t="s">
        <v>1391</v>
      </c>
      <c r="C218" s="1" t="s">
        <v>1392</v>
      </c>
      <c r="D218" s="1" t="s">
        <v>1393</v>
      </c>
      <c r="E218" s="3">
        <v>1.0</v>
      </c>
      <c r="F218" s="3">
        <v>1.0</v>
      </c>
      <c r="G218" s="1" t="s">
        <v>23</v>
      </c>
    </row>
    <row r="219" ht="12.75" customHeight="1">
      <c r="A219" s="1">
        <v>1.0</v>
      </c>
      <c r="B219" s="2">
        <v>5634.0</v>
      </c>
      <c r="C219" s="1" t="s">
        <v>1386</v>
      </c>
      <c r="D219" s="1" t="s">
        <v>1387</v>
      </c>
      <c r="E219" s="3">
        <v>1.0</v>
      </c>
      <c r="F219" s="3">
        <v>1.0</v>
      </c>
      <c r="G219" s="1" t="s">
        <v>23</v>
      </c>
    </row>
    <row r="220" ht="12.75" customHeight="1">
      <c r="A220" s="1">
        <v>1.0</v>
      </c>
      <c r="B220" s="2" t="s">
        <v>1452</v>
      </c>
      <c r="C220" s="1" t="s">
        <v>1453</v>
      </c>
      <c r="D220" s="1" t="s">
        <v>1454</v>
      </c>
      <c r="E220" s="3">
        <v>1.0</v>
      </c>
      <c r="F220" s="3">
        <v>1.0</v>
      </c>
      <c r="G220" s="1" t="s">
        <v>23</v>
      </c>
    </row>
    <row r="221" ht="12.75" customHeight="1">
      <c r="A221" s="1">
        <v>1.0</v>
      </c>
      <c r="B221" s="2" t="s">
        <v>1448</v>
      </c>
      <c r="C221" s="1" t="s">
        <v>1449</v>
      </c>
      <c r="D221" s="1" t="s">
        <v>1450</v>
      </c>
      <c r="E221" s="3">
        <v>1.0</v>
      </c>
      <c r="F221" s="3">
        <v>1.0</v>
      </c>
      <c r="G221" s="1" t="s">
        <v>23</v>
      </c>
    </row>
    <row r="222" ht="12.75" customHeight="1">
      <c r="A222" s="1">
        <v>1.0</v>
      </c>
      <c r="B222" s="2" t="s">
        <v>1477</v>
      </c>
      <c r="C222" s="1" t="s">
        <v>1478</v>
      </c>
      <c r="D222" s="1" t="s">
        <v>1479</v>
      </c>
      <c r="E222" s="3">
        <v>1.0</v>
      </c>
      <c r="F222" s="3">
        <v>1.0</v>
      </c>
      <c r="G222" s="1" t="s">
        <v>23</v>
      </c>
    </row>
    <row r="223" ht="12.75" customHeight="1">
      <c r="A223" s="1">
        <v>1.0</v>
      </c>
      <c r="B223" s="2" t="s">
        <v>1510</v>
      </c>
      <c r="C223" s="1" t="s">
        <v>1511</v>
      </c>
      <c r="D223" s="1" t="s">
        <v>1503</v>
      </c>
      <c r="E223" s="3">
        <v>1.0</v>
      </c>
      <c r="F223" s="3">
        <v>1.0</v>
      </c>
      <c r="G223" s="1" t="s">
        <v>23</v>
      </c>
    </row>
    <row r="224" ht="12.75" customHeight="1">
      <c r="A224" s="1">
        <v>1.0</v>
      </c>
      <c r="B224" s="2" t="s">
        <v>1498</v>
      </c>
      <c r="C224" s="1" t="s">
        <v>1499</v>
      </c>
      <c r="D224" s="1" t="s">
        <v>1500</v>
      </c>
      <c r="E224" s="3">
        <v>1.0</v>
      </c>
      <c r="F224" s="3">
        <v>1.0</v>
      </c>
      <c r="G224" s="1" t="s">
        <v>23</v>
      </c>
    </row>
    <row r="225" ht="12.75" customHeight="1">
      <c r="A225" s="1">
        <v>1.0</v>
      </c>
      <c r="B225" s="2" t="s">
        <v>1491</v>
      </c>
      <c r="C225" s="1" t="s">
        <v>1492</v>
      </c>
      <c r="D225" s="1" t="s">
        <v>1360</v>
      </c>
      <c r="E225" s="3">
        <v>1.0</v>
      </c>
      <c r="F225" s="3">
        <v>1.0</v>
      </c>
      <c r="G225" s="1" t="s">
        <v>23</v>
      </c>
    </row>
    <row r="226" ht="12.75" customHeight="1">
      <c r="A226" s="1">
        <v>1.0</v>
      </c>
      <c r="B226" s="2" t="s">
        <v>1493</v>
      </c>
      <c r="C226" s="1" t="s">
        <v>1494</v>
      </c>
      <c r="D226" s="1" t="s">
        <v>1360</v>
      </c>
      <c r="E226" s="3">
        <v>1.0</v>
      </c>
      <c r="F226" s="3">
        <v>1.0</v>
      </c>
      <c r="G226" s="1" t="s">
        <v>23</v>
      </c>
    </row>
    <row r="227" ht="12.75" customHeight="1">
      <c r="A227" s="1">
        <v>1.0</v>
      </c>
      <c r="B227" s="2" t="s">
        <v>1371</v>
      </c>
      <c r="C227" s="1" t="s">
        <v>1372</v>
      </c>
      <c r="D227" s="1" t="s">
        <v>1373</v>
      </c>
      <c r="E227" s="3">
        <v>1.0</v>
      </c>
      <c r="F227" s="3">
        <v>1.0</v>
      </c>
      <c r="G227" s="1" t="s">
        <v>23</v>
      </c>
    </row>
    <row r="228" ht="12.75" customHeight="1">
      <c r="A228" s="1">
        <v>1.0</v>
      </c>
      <c r="B228" s="2" t="s">
        <v>1495</v>
      </c>
      <c r="C228" s="1" t="s">
        <v>1496</v>
      </c>
      <c r="D228" s="1" t="s">
        <v>1497</v>
      </c>
      <c r="E228" s="3">
        <v>1.0</v>
      </c>
      <c r="F228" s="3">
        <v>1.0</v>
      </c>
      <c r="G228" s="1" t="s">
        <v>23</v>
      </c>
    </row>
    <row r="229" ht="12.75" customHeight="1">
      <c r="A229" s="1">
        <v>1.0</v>
      </c>
      <c r="B229" s="2" t="s">
        <v>5411</v>
      </c>
      <c r="C229" s="1" t="s">
        <v>5412</v>
      </c>
      <c r="D229" s="1" t="s">
        <v>5413</v>
      </c>
      <c r="E229" s="3">
        <v>1.0</v>
      </c>
      <c r="F229" s="3">
        <v>1.0</v>
      </c>
      <c r="G229" s="1" t="s">
        <v>23</v>
      </c>
    </row>
    <row r="230" ht="12.75" customHeight="1">
      <c r="A230" s="1">
        <v>1.0</v>
      </c>
      <c r="B230" s="2">
        <v>564157.0</v>
      </c>
      <c r="C230" s="1" t="s">
        <v>1379</v>
      </c>
      <c r="D230" s="1" t="s">
        <v>1380</v>
      </c>
      <c r="E230" s="3">
        <v>1.0</v>
      </c>
      <c r="F230" s="3">
        <v>1.0</v>
      </c>
      <c r="G230" s="1" t="s">
        <v>23</v>
      </c>
    </row>
    <row r="231" ht="12.75" customHeight="1">
      <c r="A231" s="1">
        <v>1.0</v>
      </c>
      <c r="B231" s="2" t="s">
        <v>5414</v>
      </c>
      <c r="C231" s="1" t="s">
        <v>5415</v>
      </c>
      <c r="D231" s="1" t="s">
        <v>5416</v>
      </c>
      <c r="E231" s="3">
        <v>1.0</v>
      </c>
      <c r="F231" s="3">
        <v>1.0</v>
      </c>
      <c r="G231" s="1" t="s">
        <v>23</v>
      </c>
    </row>
    <row r="232" ht="12.75" customHeight="1">
      <c r="A232" s="1">
        <v>1.0</v>
      </c>
      <c r="B232" s="2" t="s">
        <v>5417</v>
      </c>
      <c r="C232" s="1" t="s">
        <v>5418</v>
      </c>
      <c r="D232" s="1" t="s">
        <v>5419</v>
      </c>
      <c r="E232" s="3">
        <v>1.0</v>
      </c>
      <c r="F232" s="3">
        <v>1.0</v>
      </c>
      <c r="G232" s="1" t="s">
        <v>23</v>
      </c>
    </row>
    <row r="233" ht="12.75" customHeight="1">
      <c r="A233" s="1">
        <v>1.0</v>
      </c>
      <c r="B233" s="2" t="s">
        <v>1483</v>
      </c>
      <c r="C233" s="1" t="s">
        <v>1484</v>
      </c>
      <c r="D233" s="1" t="s">
        <v>1353</v>
      </c>
      <c r="E233" s="3">
        <v>1.0</v>
      </c>
      <c r="F233" s="3">
        <v>1.0</v>
      </c>
      <c r="G233" s="1" t="s">
        <v>23</v>
      </c>
    </row>
    <row r="234" ht="12.75" customHeight="1">
      <c r="A234" s="1">
        <v>1.0</v>
      </c>
      <c r="B234" s="2" t="s">
        <v>5420</v>
      </c>
      <c r="C234" s="1" t="s">
        <v>5421</v>
      </c>
      <c r="D234" s="1" t="s">
        <v>5422</v>
      </c>
      <c r="E234" s="3">
        <v>1.0</v>
      </c>
      <c r="F234" s="3">
        <v>1.0</v>
      </c>
      <c r="G234" s="1" t="s">
        <v>23</v>
      </c>
    </row>
    <row r="235" ht="12.75" customHeight="1">
      <c r="A235" s="1">
        <v>1.0</v>
      </c>
      <c r="B235" s="2" t="s">
        <v>1406</v>
      </c>
      <c r="C235" s="1" t="s">
        <v>1407</v>
      </c>
      <c r="D235" s="1" t="s">
        <v>1408</v>
      </c>
      <c r="E235" s="3">
        <v>1.0</v>
      </c>
      <c r="F235" s="3">
        <v>1.0</v>
      </c>
      <c r="G235" s="1" t="s">
        <v>23</v>
      </c>
    </row>
    <row r="236" ht="12.75" customHeight="1">
      <c r="A236" s="1">
        <v>1.0</v>
      </c>
      <c r="B236" s="2" t="s">
        <v>1364</v>
      </c>
      <c r="C236" s="1" t="s">
        <v>1365</v>
      </c>
      <c r="D236" s="1" t="s">
        <v>1366</v>
      </c>
      <c r="E236" s="3">
        <v>1.0</v>
      </c>
      <c r="F236" s="3">
        <v>1.0</v>
      </c>
      <c r="G236" s="1" t="s">
        <v>23</v>
      </c>
    </row>
    <row r="237" ht="12.75" customHeight="1">
      <c r="A237" s="1">
        <v>1.0</v>
      </c>
      <c r="B237" s="2" t="s">
        <v>1416</v>
      </c>
      <c r="C237" s="1" t="s">
        <v>1417</v>
      </c>
      <c r="D237" s="1" t="s">
        <v>1418</v>
      </c>
      <c r="E237" s="3">
        <v>1.0</v>
      </c>
      <c r="F237" s="3">
        <v>1.0</v>
      </c>
      <c r="G237" s="1" t="s">
        <v>23</v>
      </c>
    </row>
    <row r="238" ht="12.75" customHeight="1">
      <c r="A238" s="1">
        <v>1.0</v>
      </c>
      <c r="B238" s="2" t="s">
        <v>1419</v>
      </c>
      <c r="C238" s="1" t="s">
        <v>1420</v>
      </c>
      <c r="D238" s="1" t="s">
        <v>1421</v>
      </c>
      <c r="E238" s="3">
        <v>1.0</v>
      </c>
      <c r="F238" s="3">
        <v>1.0</v>
      </c>
      <c r="G238" s="1" t="s">
        <v>23</v>
      </c>
    </row>
    <row r="239" ht="12.75" customHeight="1">
      <c r="A239" s="1">
        <v>1.0</v>
      </c>
      <c r="B239" s="2" t="s">
        <v>1414</v>
      </c>
      <c r="C239" s="1" t="s">
        <v>1415</v>
      </c>
      <c r="D239" s="1" t="s">
        <v>1123</v>
      </c>
      <c r="E239" s="3">
        <v>1.0</v>
      </c>
      <c r="F239" s="3">
        <v>1.0</v>
      </c>
      <c r="G239" s="1" t="s">
        <v>23</v>
      </c>
    </row>
    <row r="240" ht="12.75" customHeight="1">
      <c r="A240" s="1">
        <v>1.0</v>
      </c>
      <c r="B240" s="2" t="s">
        <v>1422</v>
      </c>
      <c r="C240" s="1" t="s">
        <v>1423</v>
      </c>
      <c r="D240" s="1" t="s">
        <v>1424</v>
      </c>
      <c r="E240" s="3">
        <v>1.0</v>
      </c>
      <c r="F240" s="3">
        <v>1.0</v>
      </c>
      <c r="G240" s="1" t="s">
        <v>23</v>
      </c>
    </row>
    <row r="241" ht="12.75" customHeight="1">
      <c r="A241" s="1">
        <v>1.0</v>
      </c>
      <c r="B241" s="2" t="s">
        <v>5423</v>
      </c>
      <c r="C241" s="1" t="s">
        <v>5424</v>
      </c>
      <c r="D241" s="1" t="s">
        <v>1436</v>
      </c>
      <c r="E241" s="3">
        <v>1.0</v>
      </c>
      <c r="F241" s="3">
        <v>1.0</v>
      </c>
      <c r="G241" s="1" t="s">
        <v>23</v>
      </c>
    </row>
    <row r="242" ht="12.75" customHeight="1">
      <c r="A242" s="1">
        <v>1.0</v>
      </c>
      <c r="B242" s="2">
        <v>1130805.0</v>
      </c>
      <c r="C242" s="1" t="s">
        <v>1401</v>
      </c>
      <c r="D242" s="1" t="s">
        <v>1402</v>
      </c>
      <c r="E242" s="3">
        <v>1.0</v>
      </c>
      <c r="F242" s="3">
        <v>1.0</v>
      </c>
      <c r="G242" s="1" t="s">
        <v>23</v>
      </c>
    </row>
    <row r="243" ht="12.75" customHeight="1">
      <c r="A243" s="1">
        <v>1.0</v>
      </c>
      <c r="B243" s="2">
        <v>1130816.0</v>
      </c>
      <c r="C243" s="1" t="s">
        <v>1451</v>
      </c>
      <c r="D243" s="1" t="s">
        <v>1291</v>
      </c>
      <c r="E243" s="3">
        <v>1.0</v>
      </c>
      <c r="F243" s="3">
        <v>1.0</v>
      </c>
      <c r="G243" s="1" t="s">
        <v>23</v>
      </c>
    </row>
    <row r="244" ht="12.75" customHeight="1">
      <c r="A244" s="1">
        <v>1.0</v>
      </c>
      <c r="B244" s="2">
        <v>1130824.0</v>
      </c>
      <c r="C244" s="1" t="s">
        <v>1444</v>
      </c>
      <c r="D244" s="1" t="s">
        <v>1445</v>
      </c>
      <c r="E244" s="3">
        <v>1.0</v>
      </c>
      <c r="F244" s="3">
        <v>1.0</v>
      </c>
      <c r="G244" s="1" t="s">
        <v>23</v>
      </c>
    </row>
    <row r="245" ht="12.75" customHeight="1">
      <c r="A245" s="1">
        <v>1.0</v>
      </c>
      <c r="B245" s="2">
        <v>1130832.0</v>
      </c>
      <c r="C245" s="1" t="s">
        <v>1409</v>
      </c>
      <c r="D245" s="1" t="s">
        <v>1123</v>
      </c>
      <c r="E245" s="3">
        <v>1.0</v>
      </c>
      <c r="F245" s="3">
        <v>1.0</v>
      </c>
      <c r="G245" s="1" t="s">
        <v>23</v>
      </c>
    </row>
    <row r="246" ht="12.75" customHeight="1">
      <c r="A246" s="1">
        <v>1.0</v>
      </c>
      <c r="B246" s="2">
        <v>1130845.0</v>
      </c>
      <c r="C246" s="1" t="s">
        <v>1461</v>
      </c>
      <c r="D246" s="1" t="s">
        <v>1462</v>
      </c>
      <c r="E246" s="3">
        <v>1.0</v>
      </c>
      <c r="F246" s="3">
        <v>1.0</v>
      </c>
      <c r="G246" s="1" t="s">
        <v>23</v>
      </c>
    </row>
    <row r="247" ht="12.75" customHeight="1">
      <c r="A247" s="1">
        <v>1.0</v>
      </c>
      <c r="B247" s="2">
        <v>3581000.0</v>
      </c>
      <c r="C247" s="1" t="s">
        <v>5425</v>
      </c>
      <c r="D247" s="1" t="s">
        <v>5426</v>
      </c>
      <c r="E247" s="3">
        <v>1.0</v>
      </c>
      <c r="F247" s="3">
        <v>1.0</v>
      </c>
      <c r="G247" s="1" t="s">
        <v>23</v>
      </c>
    </row>
    <row r="248" ht="12.75" customHeight="1">
      <c r="A248" s="1">
        <v>1.0</v>
      </c>
      <c r="B248" s="2">
        <v>3801323.0</v>
      </c>
      <c r="C248" s="1" t="s">
        <v>312</v>
      </c>
      <c r="D248" s="1" t="s">
        <v>1440</v>
      </c>
      <c r="E248" s="3">
        <v>1.0</v>
      </c>
      <c r="F248" s="3">
        <v>1.0</v>
      </c>
      <c r="G248" s="1" t="s">
        <v>23</v>
      </c>
    </row>
    <row r="249" ht="12.75" customHeight="1">
      <c r="A249" s="1">
        <v>1.0</v>
      </c>
      <c r="B249" s="2">
        <v>3801324.0</v>
      </c>
      <c r="C249" s="1" t="s">
        <v>312</v>
      </c>
      <c r="D249" s="1" t="s">
        <v>1439</v>
      </c>
      <c r="E249" s="3">
        <v>1.0</v>
      </c>
      <c r="F249" s="3">
        <v>1.0</v>
      </c>
      <c r="G249" s="1" t="s">
        <v>23</v>
      </c>
    </row>
    <row r="250" ht="12.75" customHeight="1">
      <c r="A250" s="1">
        <v>1.0</v>
      </c>
      <c r="B250" s="2" t="s">
        <v>1437</v>
      </c>
      <c r="C250" s="1" t="s">
        <v>312</v>
      </c>
      <c r="D250" s="1" t="s">
        <v>1438</v>
      </c>
      <c r="E250" s="3">
        <v>1.0</v>
      </c>
      <c r="F250" s="3">
        <v>1.0</v>
      </c>
      <c r="G250" s="1" t="s">
        <v>23</v>
      </c>
    </row>
    <row r="251" ht="12.75" customHeight="1">
      <c r="A251" s="1">
        <v>1.0</v>
      </c>
      <c r="B251" s="2">
        <v>3801521.0</v>
      </c>
      <c r="C251" s="1" t="s">
        <v>21</v>
      </c>
      <c r="D251" s="1" t="s">
        <v>1376</v>
      </c>
      <c r="E251" s="3">
        <v>1.0</v>
      </c>
      <c r="F251" s="3">
        <v>1.0</v>
      </c>
      <c r="G251" s="1" t="s">
        <v>23</v>
      </c>
    </row>
    <row r="252" ht="12.75" customHeight="1">
      <c r="A252" s="1">
        <v>1.0</v>
      </c>
      <c r="B252" s="2">
        <v>3801952.0</v>
      </c>
      <c r="C252" s="1" t="s">
        <v>25</v>
      </c>
      <c r="D252" s="1" t="s">
        <v>1426</v>
      </c>
      <c r="E252" s="3">
        <v>1.0</v>
      </c>
      <c r="F252" s="3">
        <v>1.0</v>
      </c>
      <c r="G252" s="1" t="s">
        <v>23</v>
      </c>
    </row>
    <row r="253" ht="12.75" customHeight="1">
      <c r="A253" s="1">
        <v>1.0</v>
      </c>
      <c r="B253" s="2">
        <v>3801969.0</v>
      </c>
      <c r="C253" s="1" t="s">
        <v>152</v>
      </c>
      <c r="D253" s="1" t="s">
        <v>1425</v>
      </c>
      <c r="E253" s="3">
        <v>1.0</v>
      </c>
      <c r="F253" s="3">
        <v>1.0</v>
      </c>
      <c r="G253" s="1" t="s">
        <v>23</v>
      </c>
    </row>
    <row r="254" ht="12.75" customHeight="1">
      <c r="A254" s="1">
        <v>1.0</v>
      </c>
      <c r="B254" s="2">
        <v>3831000.0</v>
      </c>
      <c r="C254" s="1" t="s">
        <v>5427</v>
      </c>
      <c r="D254" s="1" t="s">
        <v>5428</v>
      </c>
      <c r="E254" s="3">
        <v>1.0</v>
      </c>
      <c r="F254" s="3">
        <v>1.0</v>
      </c>
      <c r="G254" s="1" t="s">
        <v>23</v>
      </c>
    </row>
    <row r="255" ht="12.75" customHeight="1">
      <c r="A255" s="1">
        <v>1.0</v>
      </c>
      <c r="B255" s="2">
        <v>4170003.0</v>
      </c>
      <c r="C255" s="1" t="s">
        <v>203</v>
      </c>
      <c r="D255" s="1" t="s">
        <v>603</v>
      </c>
      <c r="E255" s="3">
        <v>1.0</v>
      </c>
      <c r="F255" s="3">
        <v>1.0</v>
      </c>
      <c r="G255" s="1" t="s">
        <v>23</v>
      </c>
    </row>
    <row r="256" ht="12.75" customHeight="1">
      <c r="A256" s="1">
        <v>1.0</v>
      </c>
      <c r="B256" s="2">
        <v>4480000.0</v>
      </c>
      <c r="C256" s="1" t="s">
        <v>1394</v>
      </c>
      <c r="D256" s="1" t="s">
        <v>1395</v>
      </c>
      <c r="E256" s="3">
        <v>1.0</v>
      </c>
      <c r="F256" s="3">
        <v>1.0</v>
      </c>
      <c r="G256" s="1" t="s">
        <v>23</v>
      </c>
    </row>
    <row r="257" ht="12.75" customHeight="1">
      <c r="A257" s="1">
        <v>1.0</v>
      </c>
      <c r="B257" s="2">
        <v>4590498.0</v>
      </c>
      <c r="C257" s="1" t="s">
        <v>1399</v>
      </c>
      <c r="D257" s="1" t="s">
        <v>1400</v>
      </c>
      <c r="E257" s="3">
        <v>1.0</v>
      </c>
      <c r="F257" s="3">
        <v>1.0</v>
      </c>
      <c r="G257" s="1" t="s">
        <v>23</v>
      </c>
    </row>
    <row r="258" ht="12.75" customHeight="1">
      <c r="A258" s="1">
        <v>1.0</v>
      </c>
      <c r="B258" s="2">
        <v>6200102.0</v>
      </c>
      <c r="C258" s="1" t="s">
        <v>1377</v>
      </c>
      <c r="D258" s="1" t="s">
        <v>1378</v>
      </c>
      <c r="E258" s="3">
        <v>1.0</v>
      </c>
      <c r="F258" s="3">
        <v>1.0</v>
      </c>
      <c r="G258" s="1" t="s">
        <v>23</v>
      </c>
    </row>
    <row r="259" ht="12.75" customHeight="1">
      <c r="A259" s="1">
        <v>1.0</v>
      </c>
      <c r="B259" s="2">
        <v>6200304.0</v>
      </c>
      <c r="C259" s="1" t="s">
        <v>1377</v>
      </c>
      <c r="D259" s="1" t="s">
        <v>1430</v>
      </c>
      <c r="E259" s="3">
        <v>1.0</v>
      </c>
      <c r="F259" s="3">
        <v>1.0</v>
      </c>
      <c r="G259" s="1" t="s">
        <v>23</v>
      </c>
    </row>
    <row r="260" ht="12.75" customHeight="1">
      <c r="A260" s="1">
        <v>1.0</v>
      </c>
      <c r="B260" s="2">
        <v>7020251.0</v>
      </c>
      <c r="C260" s="1" t="s">
        <v>1388</v>
      </c>
      <c r="D260" s="1" t="s">
        <v>575</v>
      </c>
      <c r="E260" s="3">
        <v>1.0</v>
      </c>
      <c r="F260" s="3">
        <v>1.0</v>
      </c>
      <c r="G260" s="1" t="s">
        <v>23</v>
      </c>
    </row>
    <row r="261" ht="12.75" customHeight="1">
      <c r="A261" s="1">
        <v>1.0</v>
      </c>
      <c r="B261" s="2">
        <v>8051008.0</v>
      </c>
      <c r="C261" s="1" t="s">
        <v>6</v>
      </c>
      <c r="D261" s="1" t="s">
        <v>1467</v>
      </c>
      <c r="E261" s="3">
        <v>1.0</v>
      </c>
      <c r="F261" s="3">
        <v>1.0</v>
      </c>
      <c r="G261" s="1" t="s">
        <v>23</v>
      </c>
    </row>
    <row r="262" ht="12.75" customHeight="1">
      <c r="A262" s="1">
        <v>1.0</v>
      </c>
      <c r="B262" s="2">
        <v>8270308.0</v>
      </c>
      <c r="C262" s="1" t="s">
        <v>580</v>
      </c>
      <c r="D262" s="1" t="s">
        <v>182</v>
      </c>
      <c r="E262" s="3">
        <v>1.0</v>
      </c>
      <c r="F262" s="3">
        <v>1.0</v>
      </c>
      <c r="G262" s="1" t="s">
        <v>23</v>
      </c>
    </row>
    <row r="263" ht="12.75" customHeight="1">
      <c r="A263" s="1">
        <v>1.0</v>
      </c>
      <c r="B263" s="2">
        <v>8850449.0</v>
      </c>
      <c r="C263" s="1" t="s">
        <v>1389</v>
      </c>
      <c r="D263" s="1" t="s">
        <v>1390</v>
      </c>
      <c r="E263" s="3">
        <v>1.0</v>
      </c>
      <c r="F263" s="3">
        <v>1.0</v>
      </c>
      <c r="G263" s="1" t="s">
        <v>23</v>
      </c>
    </row>
    <row r="264" ht="12.75" customHeight="1">
      <c r="A264" s="1">
        <v>0.0</v>
      </c>
      <c r="B264" s="2" t="s">
        <v>4529</v>
      </c>
      <c r="C264" s="1" t="s">
        <v>4530</v>
      </c>
      <c r="D264" s="1" t="s">
        <v>4531</v>
      </c>
      <c r="E264" s="3">
        <v>1.0</v>
      </c>
      <c r="F264" s="3">
        <v>11.0</v>
      </c>
      <c r="G264" s="1" t="s">
        <v>39</v>
      </c>
    </row>
    <row r="265" ht="12.75" customHeight="1">
      <c r="A265" s="1">
        <v>0.0</v>
      </c>
      <c r="B265" s="2" t="s">
        <v>5429</v>
      </c>
      <c r="C265" s="1" t="s">
        <v>5430</v>
      </c>
      <c r="D265" s="1" t="s">
        <v>5431</v>
      </c>
      <c r="E265" s="3">
        <v>1.0</v>
      </c>
      <c r="F265" s="3">
        <v>11.0</v>
      </c>
      <c r="G265" s="1" t="s">
        <v>39</v>
      </c>
    </row>
    <row r="266" ht="12.75" customHeight="1">
      <c r="A266" s="1">
        <v>0.0</v>
      </c>
      <c r="B266" s="2" t="s">
        <v>5432</v>
      </c>
      <c r="C266" s="1" t="s">
        <v>5331</v>
      </c>
      <c r="D266" s="1" t="s">
        <v>5433</v>
      </c>
      <c r="E266" s="3">
        <v>1.0</v>
      </c>
      <c r="F266" s="3">
        <v>10.0</v>
      </c>
      <c r="G266" s="1" t="s">
        <v>5319</v>
      </c>
    </row>
    <row r="267" ht="12.75" customHeight="1">
      <c r="A267" s="1">
        <v>0.0</v>
      </c>
      <c r="B267" s="2" t="s">
        <v>4524</v>
      </c>
      <c r="C267" s="1" t="s">
        <v>384</v>
      </c>
      <c r="D267" s="1" t="s">
        <v>4525</v>
      </c>
      <c r="E267" s="3">
        <v>1.0</v>
      </c>
      <c r="F267" s="3">
        <v>10.0</v>
      </c>
      <c r="G267" s="1" t="s">
        <v>5319</v>
      </c>
    </row>
    <row r="268" ht="12.75" customHeight="1">
      <c r="A268" s="1">
        <v>0.0</v>
      </c>
      <c r="B268" s="2" t="s">
        <v>5434</v>
      </c>
      <c r="C268" s="1" t="s">
        <v>5435</v>
      </c>
      <c r="D268" s="1" t="s">
        <v>5436</v>
      </c>
      <c r="E268" s="3">
        <v>1.0</v>
      </c>
      <c r="F268" s="3">
        <v>10.0</v>
      </c>
      <c r="G268" s="1" t="s">
        <v>5319</v>
      </c>
    </row>
    <row r="269" ht="12.75" customHeight="1">
      <c r="A269" s="1">
        <v>0.0</v>
      </c>
      <c r="B269" s="2" t="s">
        <v>4526</v>
      </c>
      <c r="C269" s="1" t="s">
        <v>4527</v>
      </c>
      <c r="D269" s="1" t="s">
        <v>4528</v>
      </c>
      <c r="E269" s="3">
        <v>1.0</v>
      </c>
      <c r="F269" s="3">
        <v>10.0</v>
      </c>
      <c r="G269" s="1" t="s">
        <v>5319</v>
      </c>
    </row>
    <row r="270" ht="12.75" customHeight="1">
      <c r="A270" s="1">
        <v>0.0</v>
      </c>
      <c r="B270" s="2" t="s">
        <v>4515</v>
      </c>
      <c r="C270" s="1" t="s">
        <v>4516</v>
      </c>
      <c r="D270" s="1" t="s">
        <v>4517</v>
      </c>
      <c r="E270" s="3">
        <v>1.0</v>
      </c>
      <c r="F270" s="3">
        <v>10.0</v>
      </c>
      <c r="G270" s="1" t="s">
        <v>5319</v>
      </c>
    </row>
    <row r="271" ht="12.75" customHeight="1">
      <c r="A271" s="1">
        <v>0.0</v>
      </c>
      <c r="B271" s="2" t="s">
        <v>5437</v>
      </c>
      <c r="C271" s="1" t="s">
        <v>5438</v>
      </c>
      <c r="D271" s="1" t="s">
        <v>5439</v>
      </c>
      <c r="E271" s="3">
        <v>1.0</v>
      </c>
      <c r="F271" s="3">
        <v>10.0</v>
      </c>
      <c r="G271" s="1" t="s">
        <v>5319</v>
      </c>
    </row>
    <row r="272" ht="12.75" customHeight="1">
      <c r="A272" s="1">
        <v>0.0</v>
      </c>
      <c r="B272" s="2" t="s">
        <v>5440</v>
      </c>
      <c r="C272" s="1" t="s">
        <v>5438</v>
      </c>
      <c r="D272" s="1" t="s">
        <v>5439</v>
      </c>
      <c r="E272" s="3">
        <v>1.0</v>
      </c>
      <c r="F272" s="3">
        <v>10.0</v>
      </c>
      <c r="G272" s="1" t="s">
        <v>5319</v>
      </c>
    </row>
    <row r="273" ht="12.75" customHeight="1">
      <c r="A273" s="1">
        <v>0.0</v>
      </c>
      <c r="B273" s="2" t="s">
        <v>4521</v>
      </c>
      <c r="C273" s="1" t="s">
        <v>4522</v>
      </c>
      <c r="D273" s="1" t="s">
        <v>4523</v>
      </c>
      <c r="E273" s="3">
        <v>1.0</v>
      </c>
      <c r="F273" s="3">
        <v>10.0</v>
      </c>
      <c r="G273" s="1" t="s">
        <v>5319</v>
      </c>
    </row>
    <row r="274" ht="12.75" customHeight="1">
      <c r="A274" s="1">
        <v>0.0</v>
      </c>
      <c r="B274" s="2" t="s">
        <v>4518</v>
      </c>
      <c r="C274" s="1" t="s">
        <v>4519</v>
      </c>
      <c r="D274" s="1" t="s">
        <v>4520</v>
      </c>
      <c r="E274" s="3">
        <v>1.0</v>
      </c>
      <c r="F274" s="3">
        <v>10.0</v>
      </c>
      <c r="G274" s="1" t="s">
        <v>5319</v>
      </c>
    </row>
    <row r="275" ht="12.75" customHeight="1">
      <c r="A275" s="1">
        <v>0.0</v>
      </c>
      <c r="B275" s="2">
        <v>6101.0</v>
      </c>
      <c r="C275" s="1" t="s">
        <v>5441</v>
      </c>
      <c r="D275" s="1" t="s">
        <v>5442</v>
      </c>
      <c r="E275" s="3">
        <v>1.0</v>
      </c>
      <c r="F275" s="3">
        <v>10.0</v>
      </c>
      <c r="G275" s="1" t="s">
        <v>5319</v>
      </c>
    </row>
    <row r="276" ht="12.75" customHeight="1">
      <c r="A276" s="1">
        <v>0.0</v>
      </c>
      <c r="B276" s="2" t="s">
        <v>4512</v>
      </c>
      <c r="C276" s="1" t="s">
        <v>4513</v>
      </c>
      <c r="D276" s="1" t="s">
        <v>4514</v>
      </c>
      <c r="E276" s="3">
        <v>1.0</v>
      </c>
      <c r="F276" s="3">
        <v>10.0</v>
      </c>
      <c r="G276" s="1" t="s">
        <v>5319</v>
      </c>
    </row>
    <row r="277" ht="12.75" customHeight="1">
      <c r="A277" s="1">
        <v>0.0</v>
      </c>
      <c r="B277" s="2" t="s">
        <v>5443</v>
      </c>
      <c r="C277" s="1" t="s">
        <v>5444</v>
      </c>
      <c r="D277" s="1" t="s">
        <v>5445</v>
      </c>
      <c r="E277" s="3">
        <v>1.0</v>
      </c>
      <c r="F277" s="3">
        <v>10.0</v>
      </c>
      <c r="G277" s="1" t="s">
        <v>5319</v>
      </c>
    </row>
    <row r="278" ht="12.75" customHeight="1">
      <c r="A278" s="1">
        <v>0.0</v>
      </c>
      <c r="B278" s="2" t="s">
        <v>5446</v>
      </c>
      <c r="C278" s="1" t="s">
        <v>5447</v>
      </c>
      <c r="D278" s="1" t="s">
        <v>5448</v>
      </c>
      <c r="E278" s="3">
        <v>1.0</v>
      </c>
      <c r="F278" s="3">
        <v>10.0</v>
      </c>
      <c r="G278" s="1" t="s">
        <v>5319</v>
      </c>
    </row>
    <row r="279" ht="12.75" customHeight="1">
      <c r="A279" s="1">
        <v>0.0</v>
      </c>
      <c r="B279" s="2" t="s">
        <v>5449</v>
      </c>
      <c r="C279" s="1" t="s">
        <v>4577</v>
      </c>
      <c r="D279" s="1" t="s">
        <v>5450</v>
      </c>
      <c r="E279" s="3">
        <v>1.0</v>
      </c>
      <c r="F279" s="3">
        <v>9.0</v>
      </c>
      <c r="G279" s="1" t="s">
        <v>5451</v>
      </c>
    </row>
    <row r="280" ht="12.75" customHeight="1">
      <c r="A280" s="1">
        <v>0.0</v>
      </c>
      <c r="B280" s="2">
        <v>6459004.0</v>
      </c>
      <c r="C280" s="1" t="s">
        <v>5452</v>
      </c>
      <c r="D280" s="1" t="s">
        <v>5453</v>
      </c>
      <c r="E280" s="3">
        <v>1.0</v>
      </c>
      <c r="F280" s="3">
        <v>9.0</v>
      </c>
      <c r="G280" s="1" t="s">
        <v>5451</v>
      </c>
    </row>
    <row r="281" ht="12.75" customHeight="1">
      <c r="A281" s="1">
        <v>0.0</v>
      </c>
      <c r="B281" s="2">
        <v>6459006.0</v>
      </c>
      <c r="C281" s="1" t="s">
        <v>5452</v>
      </c>
      <c r="D281" s="1" t="s">
        <v>5454</v>
      </c>
      <c r="E281" s="3">
        <v>1.0</v>
      </c>
      <c r="F281" s="3">
        <v>9.0</v>
      </c>
      <c r="G281" s="1" t="s">
        <v>5451</v>
      </c>
    </row>
    <row r="282" ht="12.75" customHeight="1">
      <c r="A282" s="1">
        <v>0.0</v>
      </c>
      <c r="B282" s="2" t="s">
        <v>4497</v>
      </c>
      <c r="C282" s="1" t="s">
        <v>4498</v>
      </c>
      <c r="D282" s="1" t="s">
        <v>1580</v>
      </c>
      <c r="E282" s="3">
        <v>1.0</v>
      </c>
      <c r="F282" s="3">
        <v>8.0</v>
      </c>
      <c r="G282" s="1" t="s">
        <v>34</v>
      </c>
    </row>
    <row r="283" ht="12.75" customHeight="1">
      <c r="A283" s="1">
        <v>0.0</v>
      </c>
      <c r="B283" s="2" t="s">
        <v>5455</v>
      </c>
      <c r="C283" s="1" t="s">
        <v>5456</v>
      </c>
      <c r="D283" s="1" t="s">
        <v>5457</v>
      </c>
      <c r="E283" s="3">
        <v>1.0</v>
      </c>
      <c r="F283" s="3">
        <v>8.0</v>
      </c>
      <c r="G283" s="1" t="s">
        <v>34</v>
      </c>
    </row>
    <row r="284" ht="12.75" customHeight="1">
      <c r="A284" s="1">
        <v>0.0</v>
      </c>
      <c r="B284" s="2" t="s">
        <v>4493</v>
      </c>
      <c r="C284" s="1" t="s">
        <v>4494</v>
      </c>
      <c r="D284" s="1" t="s">
        <v>4232</v>
      </c>
      <c r="E284" s="3">
        <v>1.0</v>
      </c>
      <c r="F284" s="3">
        <v>8.0</v>
      </c>
      <c r="G284" s="1" t="s">
        <v>34</v>
      </c>
    </row>
    <row r="285" ht="12.75" customHeight="1">
      <c r="A285" s="1">
        <v>0.0</v>
      </c>
      <c r="B285" s="2" t="s">
        <v>4495</v>
      </c>
      <c r="C285" s="1" t="s">
        <v>4496</v>
      </c>
      <c r="D285" s="1" t="s">
        <v>4235</v>
      </c>
      <c r="E285" s="3">
        <v>1.0</v>
      </c>
      <c r="F285" s="3">
        <v>8.0</v>
      </c>
      <c r="G285" s="1" t="s">
        <v>34</v>
      </c>
    </row>
    <row r="286" ht="12.75" customHeight="1">
      <c r="A286" s="1">
        <v>0.0</v>
      </c>
      <c r="B286" s="2" t="s">
        <v>4507</v>
      </c>
      <c r="C286" s="1" t="s">
        <v>4508</v>
      </c>
      <c r="D286" s="1" t="s">
        <v>1609</v>
      </c>
      <c r="E286" s="3">
        <v>1.0</v>
      </c>
      <c r="F286" s="3">
        <v>8.0</v>
      </c>
      <c r="G286" s="1" t="s">
        <v>34</v>
      </c>
    </row>
    <row r="287" ht="12.75" customHeight="1">
      <c r="A287" s="1">
        <v>0.0</v>
      </c>
      <c r="B287" s="2" t="s">
        <v>5458</v>
      </c>
      <c r="C287" s="1" t="s">
        <v>5459</v>
      </c>
      <c r="D287" s="1" t="s">
        <v>5460</v>
      </c>
      <c r="E287" s="3">
        <v>1.0</v>
      </c>
      <c r="F287" s="3">
        <v>8.0</v>
      </c>
      <c r="G287" s="1" t="s">
        <v>34</v>
      </c>
    </row>
    <row r="288" ht="12.75" customHeight="1">
      <c r="A288" s="1">
        <v>0.0</v>
      </c>
      <c r="B288" s="2" t="s">
        <v>5461</v>
      </c>
      <c r="C288" s="1" t="s">
        <v>5462</v>
      </c>
      <c r="D288" s="1" t="s">
        <v>5463</v>
      </c>
      <c r="E288" s="3">
        <v>1.0</v>
      </c>
      <c r="F288" s="3">
        <v>8.0</v>
      </c>
      <c r="G288" s="1" t="s">
        <v>34</v>
      </c>
    </row>
    <row r="289" ht="12.75" customHeight="1">
      <c r="A289" s="1">
        <v>0.0</v>
      </c>
      <c r="B289" s="2" t="s">
        <v>4504</v>
      </c>
      <c r="C289" s="1" t="s">
        <v>4505</v>
      </c>
      <c r="D289" s="1" t="s">
        <v>4506</v>
      </c>
      <c r="E289" s="3">
        <v>1.0</v>
      </c>
      <c r="F289" s="3">
        <v>8.0</v>
      </c>
      <c r="G289" s="1" t="s">
        <v>34</v>
      </c>
    </row>
    <row r="290" ht="12.75" customHeight="1">
      <c r="A290" s="1">
        <v>0.0</v>
      </c>
      <c r="B290" s="2" t="s">
        <v>5464</v>
      </c>
      <c r="C290" s="1" t="s">
        <v>5465</v>
      </c>
      <c r="D290" s="1" t="s">
        <v>5466</v>
      </c>
      <c r="E290" s="3">
        <v>1.0</v>
      </c>
      <c r="F290" s="3">
        <v>8.0</v>
      </c>
      <c r="G290" s="1" t="s">
        <v>34</v>
      </c>
    </row>
    <row r="291" ht="12.75" customHeight="1">
      <c r="A291" s="1">
        <v>0.0</v>
      </c>
      <c r="B291" s="2" t="s">
        <v>4490</v>
      </c>
      <c r="C291" s="1" t="s">
        <v>4491</v>
      </c>
      <c r="D291" s="1" t="s">
        <v>4492</v>
      </c>
      <c r="E291" s="3">
        <v>1.0</v>
      </c>
      <c r="F291" s="3">
        <v>8.0</v>
      </c>
      <c r="G291" s="1" t="s">
        <v>34</v>
      </c>
    </row>
    <row r="292" ht="12.75" customHeight="1">
      <c r="A292" s="1">
        <v>0.0</v>
      </c>
      <c r="B292" s="2" t="s">
        <v>4509</v>
      </c>
      <c r="C292" s="1" t="s">
        <v>4510</v>
      </c>
      <c r="D292" s="1" t="s">
        <v>4511</v>
      </c>
      <c r="E292" s="3">
        <v>1.0</v>
      </c>
      <c r="F292" s="3">
        <v>8.0</v>
      </c>
      <c r="G292" s="1" t="s">
        <v>34</v>
      </c>
    </row>
    <row r="293" ht="12.75" customHeight="1">
      <c r="A293" s="1">
        <v>0.0</v>
      </c>
      <c r="B293" s="2" t="s">
        <v>4499</v>
      </c>
      <c r="C293" s="1" t="s">
        <v>4500</v>
      </c>
      <c r="D293" s="1" t="s">
        <v>4501</v>
      </c>
      <c r="E293" s="3">
        <v>1.0</v>
      </c>
      <c r="F293" s="3">
        <v>8.0</v>
      </c>
      <c r="G293" s="1" t="s">
        <v>34</v>
      </c>
    </row>
    <row r="294" ht="12.75" customHeight="1">
      <c r="A294" s="1">
        <v>0.0</v>
      </c>
      <c r="B294" s="2" t="s">
        <v>5467</v>
      </c>
      <c r="C294" s="1" t="s">
        <v>5468</v>
      </c>
      <c r="D294" s="1" t="s">
        <v>5469</v>
      </c>
      <c r="E294" s="3">
        <v>1.0</v>
      </c>
      <c r="F294" s="3">
        <v>8.0</v>
      </c>
      <c r="G294" s="1" t="s">
        <v>34</v>
      </c>
    </row>
    <row r="295" ht="12.75" customHeight="1">
      <c r="A295" s="1">
        <v>0.0</v>
      </c>
      <c r="B295" s="2" t="s">
        <v>5470</v>
      </c>
      <c r="C295" s="1" t="s">
        <v>5471</v>
      </c>
      <c r="D295" s="1" t="s">
        <v>5472</v>
      </c>
      <c r="E295" s="3">
        <v>1.0</v>
      </c>
      <c r="F295" s="3">
        <v>8.0</v>
      </c>
      <c r="G295" s="1" t="s">
        <v>34</v>
      </c>
    </row>
    <row r="296" ht="12.75" customHeight="1">
      <c r="A296" s="1">
        <v>0.0</v>
      </c>
      <c r="B296" s="2">
        <v>1130875.0</v>
      </c>
      <c r="C296" s="1" t="s">
        <v>59</v>
      </c>
      <c r="D296" s="1" t="s">
        <v>583</v>
      </c>
      <c r="E296" s="3">
        <v>1.0</v>
      </c>
      <c r="F296" s="3">
        <v>8.0</v>
      </c>
      <c r="G296" s="1" t="s">
        <v>34</v>
      </c>
    </row>
    <row r="297" ht="12.75" customHeight="1">
      <c r="A297" s="1">
        <v>0.0</v>
      </c>
      <c r="B297" s="2">
        <v>2990007.0</v>
      </c>
      <c r="C297" s="1" t="s">
        <v>4502</v>
      </c>
      <c r="D297" s="1" t="s">
        <v>334</v>
      </c>
      <c r="E297" s="3">
        <v>1.0</v>
      </c>
      <c r="F297" s="3">
        <v>8.0</v>
      </c>
      <c r="G297" s="1" t="s">
        <v>34</v>
      </c>
    </row>
    <row r="298" ht="12.75" customHeight="1">
      <c r="A298" s="1">
        <v>0.0</v>
      </c>
      <c r="B298" s="2">
        <v>4170004.0</v>
      </c>
      <c r="C298" s="1" t="s">
        <v>602</v>
      </c>
      <c r="D298" s="1" t="s">
        <v>4503</v>
      </c>
      <c r="E298" s="3">
        <v>1.0</v>
      </c>
      <c r="F298" s="3">
        <v>8.0</v>
      </c>
      <c r="G298" s="1" t="s">
        <v>34</v>
      </c>
    </row>
    <row r="299" ht="12.75" customHeight="1">
      <c r="A299" s="1">
        <v>0.0</v>
      </c>
      <c r="B299" s="2" t="s">
        <v>4484</v>
      </c>
      <c r="C299" s="1" t="s">
        <v>4485</v>
      </c>
      <c r="D299" s="1" t="s">
        <v>4486</v>
      </c>
      <c r="E299" s="3">
        <v>1.0</v>
      </c>
      <c r="F299" s="3">
        <v>7.0</v>
      </c>
      <c r="G299" s="1" t="s">
        <v>31</v>
      </c>
    </row>
    <row r="300" ht="12.75" customHeight="1">
      <c r="A300" s="1">
        <v>0.0</v>
      </c>
      <c r="B300" s="2" t="s">
        <v>4476</v>
      </c>
      <c r="C300" s="1" t="s">
        <v>4477</v>
      </c>
      <c r="D300" s="1" t="s">
        <v>4478</v>
      </c>
      <c r="E300" s="3">
        <v>1.0</v>
      </c>
      <c r="F300" s="3">
        <v>7.0</v>
      </c>
      <c r="G300" s="1" t="s">
        <v>31</v>
      </c>
    </row>
    <row r="301" ht="12.75" customHeight="1">
      <c r="A301" s="1">
        <v>0.0</v>
      </c>
      <c r="B301" s="2" t="s">
        <v>5473</v>
      </c>
      <c r="C301" s="1" t="s">
        <v>5474</v>
      </c>
      <c r="D301" s="1" t="s">
        <v>5475</v>
      </c>
      <c r="E301" s="3">
        <v>1.0</v>
      </c>
      <c r="F301" s="3">
        <v>7.0</v>
      </c>
      <c r="G301" s="1" t="s">
        <v>31</v>
      </c>
    </row>
    <row r="302" ht="12.75" customHeight="1">
      <c r="A302" s="1">
        <v>0.0</v>
      </c>
      <c r="B302" s="2" t="s">
        <v>5476</v>
      </c>
      <c r="C302" s="1" t="s">
        <v>5477</v>
      </c>
      <c r="D302" s="1" t="s">
        <v>5478</v>
      </c>
      <c r="E302" s="3">
        <v>1.0</v>
      </c>
      <c r="F302" s="3">
        <v>7.0</v>
      </c>
      <c r="G302" s="1" t="s">
        <v>31</v>
      </c>
    </row>
    <row r="303" ht="12.75" customHeight="1">
      <c r="A303" s="1">
        <v>0.0</v>
      </c>
      <c r="B303" s="2" t="s">
        <v>5479</v>
      </c>
      <c r="C303" s="1" t="s">
        <v>5480</v>
      </c>
      <c r="D303" s="1" t="s">
        <v>5481</v>
      </c>
      <c r="E303" s="3">
        <v>1.0</v>
      </c>
      <c r="F303" s="3">
        <v>7.0</v>
      </c>
      <c r="G303" s="1" t="s">
        <v>31</v>
      </c>
    </row>
    <row r="304" ht="12.75" customHeight="1">
      <c r="A304" s="1">
        <v>0.0</v>
      </c>
      <c r="B304" s="2" t="s">
        <v>4479</v>
      </c>
      <c r="C304" s="1" t="s">
        <v>4480</v>
      </c>
      <c r="D304" s="1" t="s">
        <v>4481</v>
      </c>
      <c r="E304" s="3">
        <v>1.0</v>
      </c>
      <c r="F304" s="3">
        <v>7.0</v>
      </c>
      <c r="G304" s="1" t="s">
        <v>31</v>
      </c>
    </row>
    <row r="305" ht="12.75" customHeight="1">
      <c r="A305" s="1">
        <v>0.0</v>
      </c>
      <c r="B305" s="2" t="s">
        <v>4473</v>
      </c>
      <c r="C305" s="1" t="s">
        <v>447</v>
      </c>
      <c r="D305" s="1" t="s">
        <v>4474</v>
      </c>
      <c r="E305" s="3">
        <v>1.0</v>
      </c>
      <c r="F305" s="3">
        <v>7.0</v>
      </c>
      <c r="G305" s="1" t="s">
        <v>31</v>
      </c>
    </row>
    <row r="306" ht="12.75" customHeight="1">
      <c r="A306" s="1">
        <v>0.0</v>
      </c>
      <c r="B306" s="2" t="s">
        <v>5482</v>
      </c>
      <c r="C306" s="1" t="s">
        <v>5483</v>
      </c>
      <c r="D306" s="1" t="s">
        <v>5484</v>
      </c>
      <c r="E306" s="3">
        <v>1.0</v>
      </c>
      <c r="F306" s="3">
        <v>7.0</v>
      </c>
      <c r="G306" s="1" t="s">
        <v>31</v>
      </c>
    </row>
    <row r="307" ht="12.75" customHeight="1">
      <c r="A307" s="1">
        <v>0.0</v>
      </c>
      <c r="B307" s="2" t="s">
        <v>4487</v>
      </c>
      <c r="C307" s="1" t="s">
        <v>4488</v>
      </c>
      <c r="D307" s="1" t="s">
        <v>4489</v>
      </c>
      <c r="E307" s="3">
        <v>1.0</v>
      </c>
      <c r="F307" s="3">
        <v>7.0</v>
      </c>
      <c r="G307" s="1" t="s">
        <v>31</v>
      </c>
    </row>
    <row r="308" ht="12.75" customHeight="1">
      <c r="A308" s="1">
        <v>0.0</v>
      </c>
      <c r="B308" s="2" t="s">
        <v>5485</v>
      </c>
      <c r="C308" s="1" t="s">
        <v>5486</v>
      </c>
      <c r="D308" s="1" t="s">
        <v>5487</v>
      </c>
      <c r="E308" s="3">
        <v>1.0</v>
      </c>
      <c r="F308" s="3">
        <v>7.0</v>
      </c>
      <c r="G308" s="1" t="s">
        <v>31</v>
      </c>
    </row>
    <row r="309" ht="12.75" customHeight="1">
      <c r="A309" s="1">
        <v>0.0</v>
      </c>
      <c r="B309" s="2" t="s">
        <v>5488</v>
      </c>
      <c r="C309" s="1" t="s">
        <v>5489</v>
      </c>
      <c r="D309" s="1" t="s">
        <v>5490</v>
      </c>
      <c r="E309" s="3">
        <v>1.0</v>
      </c>
      <c r="F309" s="3">
        <v>7.0</v>
      </c>
      <c r="G309" s="1" t="s">
        <v>31</v>
      </c>
    </row>
    <row r="310" ht="12.75" customHeight="1">
      <c r="A310" s="1">
        <v>0.0</v>
      </c>
      <c r="B310" s="2" t="s">
        <v>4483</v>
      </c>
      <c r="C310" s="1" t="s">
        <v>340</v>
      </c>
      <c r="D310" s="1" t="s">
        <v>1550</v>
      </c>
      <c r="E310" s="3">
        <v>1.0</v>
      </c>
      <c r="F310" s="3">
        <v>7.0</v>
      </c>
      <c r="G310" s="1" t="s">
        <v>31</v>
      </c>
    </row>
    <row r="311" ht="12.75" customHeight="1">
      <c r="A311" s="1">
        <v>0.0</v>
      </c>
      <c r="B311" s="2" t="s">
        <v>5491</v>
      </c>
      <c r="C311" s="1" t="s">
        <v>4513</v>
      </c>
      <c r="D311" s="1" t="s">
        <v>5492</v>
      </c>
      <c r="E311" s="3">
        <v>1.0</v>
      </c>
      <c r="F311" s="3">
        <v>7.0</v>
      </c>
      <c r="G311" s="1" t="s">
        <v>31</v>
      </c>
    </row>
    <row r="312" ht="12.75" customHeight="1">
      <c r="A312" s="1">
        <v>0.0</v>
      </c>
      <c r="B312" s="2" t="s">
        <v>5493</v>
      </c>
      <c r="C312" s="1" t="s">
        <v>5494</v>
      </c>
      <c r="D312" s="1" t="s">
        <v>5495</v>
      </c>
      <c r="E312" s="3">
        <v>1.0</v>
      </c>
      <c r="F312" s="3">
        <v>7.0</v>
      </c>
      <c r="G312" s="1" t="s">
        <v>31</v>
      </c>
    </row>
    <row r="313" ht="12.75" customHeight="1">
      <c r="A313" s="1">
        <v>0.0</v>
      </c>
      <c r="B313" s="2">
        <v>690018.0</v>
      </c>
      <c r="C313" s="1" t="s">
        <v>5496</v>
      </c>
      <c r="D313" s="1" t="s">
        <v>5497</v>
      </c>
      <c r="E313" s="3">
        <v>1.0</v>
      </c>
      <c r="F313" s="3">
        <v>7.0</v>
      </c>
      <c r="G313" s="1" t="s">
        <v>31</v>
      </c>
    </row>
    <row r="314" ht="12.75" customHeight="1">
      <c r="A314" s="1">
        <v>0.0</v>
      </c>
      <c r="B314" s="2">
        <v>3801558.0</v>
      </c>
      <c r="C314" s="1" t="s">
        <v>21</v>
      </c>
      <c r="D314" s="1" t="s">
        <v>4475</v>
      </c>
      <c r="E314" s="3">
        <v>1.0</v>
      </c>
      <c r="F314" s="3">
        <v>7.0</v>
      </c>
      <c r="G314" s="1" t="s">
        <v>31</v>
      </c>
    </row>
    <row r="315" ht="12.75" customHeight="1">
      <c r="A315" s="1">
        <v>0.0</v>
      </c>
      <c r="B315" s="2">
        <v>3801930.0</v>
      </c>
      <c r="C315" s="1" t="s">
        <v>220</v>
      </c>
      <c r="D315" s="1" t="s">
        <v>4482</v>
      </c>
      <c r="E315" s="3">
        <v>1.0</v>
      </c>
      <c r="F315" s="3">
        <v>7.0</v>
      </c>
      <c r="G315" s="1" t="s">
        <v>31</v>
      </c>
    </row>
    <row r="316" ht="12.75" customHeight="1">
      <c r="A316" s="1">
        <v>0.0</v>
      </c>
      <c r="B316" s="2" t="s">
        <v>5498</v>
      </c>
      <c r="C316" s="1" t="s">
        <v>5499</v>
      </c>
      <c r="D316" s="1" t="s">
        <v>5500</v>
      </c>
      <c r="E316" s="3">
        <v>1.0</v>
      </c>
      <c r="F316" s="3">
        <v>4.0</v>
      </c>
      <c r="G316" s="1" t="s">
        <v>29</v>
      </c>
    </row>
    <row r="317" ht="12.75" customHeight="1">
      <c r="A317" s="1">
        <v>0.0</v>
      </c>
      <c r="B317" s="2">
        <v>561142.0</v>
      </c>
      <c r="C317" s="1" t="s">
        <v>5501</v>
      </c>
      <c r="D317" s="1" t="s">
        <v>5502</v>
      </c>
      <c r="E317" s="3">
        <v>1.0</v>
      </c>
      <c r="F317" s="3">
        <v>4.0</v>
      </c>
      <c r="G317" s="1" t="s">
        <v>29</v>
      </c>
    </row>
    <row r="318" ht="12.75" customHeight="1">
      <c r="A318" s="1">
        <v>0.0</v>
      </c>
      <c r="B318" s="2">
        <v>1900101.0</v>
      </c>
      <c r="C318" s="1" t="s">
        <v>4471</v>
      </c>
      <c r="D318" s="1" t="s">
        <v>4472</v>
      </c>
      <c r="E318" s="3">
        <v>1.0</v>
      </c>
      <c r="F318" s="3">
        <v>4.0</v>
      </c>
      <c r="G318" s="1" t="s">
        <v>29</v>
      </c>
    </row>
    <row r="319" ht="12.75" customHeight="1">
      <c r="A319" s="1">
        <v>0.0</v>
      </c>
      <c r="B319" s="2">
        <v>3801268.0</v>
      </c>
      <c r="C319" s="1" t="s">
        <v>55</v>
      </c>
      <c r="D319" s="1" t="s">
        <v>4470</v>
      </c>
      <c r="E319" s="3">
        <v>1.0</v>
      </c>
      <c r="F319" s="3">
        <v>2.0</v>
      </c>
      <c r="G319" s="1" t="s">
        <v>5365</v>
      </c>
    </row>
    <row r="320" ht="12.75" customHeight="1">
      <c r="A320" s="1">
        <v>0.0</v>
      </c>
      <c r="B320" s="2">
        <v>30535.0</v>
      </c>
      <c r="C320" s="1" t="s">
        <v>4266</v>
      </c>
      <c r="D320" s="1" t="s">
        <v>4267</v>
      </c>
      <c r="E320" s="3">
        <v>1.0</v>
      </c>
      <c r="F320" s="3">
        <v>1.0</v>
      </c>
      <c r="G320" s="1" t="s">
        <v>23</v>
      </c>
    </row>
    <row r="321" ht="12.75" customHeight="1">
      <c r="A321" s="1">
        <v>0.0</v>
      </c>
      <c r="B321" s="2">
        <v>160003.0</v>
      </c>
      <c r="C321" s="1" t="s">
        <v>91</v>
      </c>
      <c r="D321" s="1" t="s">
        <v>4142</v>
      </c>
      <c r="E321" s="3">
        <v>1.0</v>
      </c>
      <c r="F321" s="3">
        <v>1.0</v>
      </c>
      <c r="G321" s="1" t="s">
        <v>23</v>
      </c>
    </row>
    <row r="322" ht="12.75" customHeight="1">
      <c r="A322" s="1">
        <v>0.0</v>
      </c>
      <c r="B322" s="2">
        <v>400310.0</v>
      </c>
      <c r="C322" s="1" t="s">
        <v>4607</v>
      </c>
      <c r="D322" s="1" t="s">
        <v>5503</v>
      </c>
      <c r="E322" s="3">
        <v>1.0</v>
      </c>
      <c r="F322" s="3">
        <v>1.0</v>
      </c>
      <c r="G322" s="1" t="s">
        <v>23</v>
      </c>
    </row>
    <row r="323" ht="12.75" customHeight="1">
      <c r="A323" s="1">
        <v>0.0</v>
      </c>
      <c r="B323" s="2" t="s">
        <v>4449</v>
      </c>
      <c r="C323" s="1" t="s">
        <v>4450</v>
      </c>
      <c r="D323" s="1" t="s">
        <v>4451</v>
      </c>
      <c r="E323" s="3">
        <v>1.0</v>
      </c>
      <c r="F323" s="3">
        <v>1.0</v>
      </c>
      <c r="G323" s="1" t="s">
        <v>23</v>
      </c>
    </row>
    <row r="324" ht="12.75" customHeight="1">
      <c r="A324" s="1">
        <v>0.0</v>
      </c>
      <c r="B324" s="2" t="s">
        <v>4338</v>
      </c>
      <c r="C324" s="1" t="s">
        <v>4339</v>
      </c>
      <c r="D324" s="1" t="s">
        <v>4340</v>
      </c>
      <c r="E324" s="3">
        <v>1.0</v>
      </c>
      <c r="F324" s="3">
        <v>1.0</v>
      </c>
      <c r="G324" s="1" t="s">
        <v>23</v>
      </c>
    </row>
    <row r="325" ht="12.75" customHeight="1">
      <c r="A325" s="1">
        <v>0.0</v>
      </c>
      <c r="B325" s="2" t="s">
        <v>4260</v>
      </c>
      <c r="C325" s="1" t="s">
        <v>4261</v>
      </c>
      <c r="D325" s="1" t="s">
        <v>4262</v>
      </c>
      <c r="E325" s="3">
        <v>1.0</v>
      </c>
      <c r="F325" s="3">
        <v>1.0</v>
      </c>
      <c r="G325" s="1" t="s">
        <v>23</v>
      </c>
    </row>
    <row r="326" ht="12.75" customHeight="1">
      <c r="A326" s="1">
        <v>0.0</v>
      </c>
      <c r="B326" s="2" t="s">
        <v>5504</v>
      </c>
      <c r="C326" s="1" t="s">
        <v>5505</v>
      </c>
      <c r="D326" s="1" t="s">
        <v>5506</v>
      </c>
      <c r="E326" s="3">
        <v>1.0</v>
      </c>
      <c r="F326" s="3">
        <v>1.0</v>
      </c>
      <c r="G326" s="1" t="s">
        <v>23</v>
      </c>
    </row>
    <row r="327" ht="12.75" customHeight="1">
      <c r="A327" s="1">
        <v>0.0</v>
      </c>
      <c r="B327" s="2" t="s">
        <v>5507</v>
      </c>
      <c r="C327" s="1" t="s">
        <v>5508</v>
      </c>
      <c r="D327" s="1" t="s">
        <v>5509</v>
      </c>
      <c r="E327" s="3">
        <v>1.0</v>
      </c>
      <c r="F327" s="3">
        <v>1.0</v>
      </c>
      <c r="G327" s="1" t="s">
        <v>23</v>
      </c>
    </row>
    <row r="328" ht="12.75" customHeight="1">
      <c r="A328" s="1">
        <v>0.0</v>
      </c>
      <c r="B328" s="2" t="s">
        <v>5510</v>
      </c>
      <c r="C328" s="1" t="s">
        <v>5511</v>
      </c>
      <c r="D328" s="1" t="s">
        <v>1482</v>
      </c>
      <c r="E328" s="3">
        <v>1.0</v>
      </c>
      <c r="F328" s="3">
        <v>1.0</v>
      </c>
      <c r="G328" s="1" t="s">
        <v>23</v>
      </c>
    </row>
    <row r="329" ht="12.75" customHeight="1">
      <c r="A329" s="1">
        <v>0.0</v>
      </c>
      <c r="B329" s="2" t="s">
        <v>5512</v>
      </c>
      <c r="C329" s="1" t="s">
        <v>5513</v>
      </c>
      <c r="D329" s="1" t="s">
        <v>5514</v>
      </c>
      <c r="E329" s="3">
        <v>1.0</v>
      </c>
      <c r="F329" s="3">
        <v>1.0</v>
      </c>
      <c r="G329" s="1" t="s">
        <v>23</v>
      </c>
    </row>
    <row r="330" ht="12.75" customHeight="1">
      <c r="A330" s="1">
        <v>0.0</v>
      </c>
      <c r="B330" s="2" t="s">
        <v>4414</v>
      </c>
      <c r="C330" s="1" t="s">
        <v>4415</v>
      </c>
      <c r="D330" s="1" t="s">
        <v>4416</v>
      </c>
      <c r="E330" s="3">
        <v>1.0</v>
      </c>
      <c r="F330" s="3">
        <v>1.0</v>
      </c>
      <c r="G330" s="1" t="s">
        <v>23</v>
      </c>
    </row>
    <row r="331" ht="12.75" customHeight="1">
      <c r="A331" s="1">
        <v>0.0</v>
      </c>
      <c r="B331" s="2" t="s">
        <v>4241</v>
      </c>
      <c r="C331" s="1" t="s">
        <v>4242</v>
      </c>
      <c r="D331" s="1" t="s">
        <v>4242</v>
      </c>
      <c r="E331" s="3">
        <v>1.0</v>
      </c>
      <c r="F331" s="3">
        <v>1.0</v>
      </c>
      <c r="G331" s="1" t="s">
        <v>23</v>
      </c>
    </row>
    <row r="332" ht="12.75" customHeight="1">
      <c r="A332" s="1">
        <v>0.0</v>
      </c>
      <c r="B332" s="2" t="s">
        <v>4411</v>
      </c>
      <c r="C332" s="1" t="s">
        <v>4412</v>
      </c>
      <c r="D332" s="1" t="s">
        <v>4413</v>
      </c>
      <c r="E332" s="3">
        <v>1.0</v>
      </c>
      <c r="F332" s="3">
        <v>1.0</v>
      </c>
      <c r="G332" s="1" t="s">
        <v>23</v>
      </c>
    </row>
    <row r="333" ht="12.75" customHeight="1">
      <c r="A333" s="1">
        <v>0.0</v>
      </c>
      <c r="B333" s="2" t="s">
        <v>5515</v>
      </c>
      <c r="C333" s="1" t="s">
        <v>5516</v>
      </c>
      <c r="D333" s="1" t="s">
        <v>5517</v>
      </c>
      <c r="E333" s="3">
        <v>1.0</v>
      </c>
      <c r="F333" s="3">
        <v>1.0</v>
      </c>
      <c r="G333" s="1" t="s">
        <v>23</v>
      </c>
    </row>
    <row r="334" ht="12.75" customHeight="1">
      <c r="A334" s="1">
        <v>0.0</v>
      </c>
      <c r="B334" s="2">
        <v>560749.0</v>
      </c>
      <c r="C334" s="1" t="s">
        <v>203</v>
      </c>
      <c r="D334" s="1" t="s">
        <v>4253</v>
      </c>
      <c r="E334" s="3">
        <v>1.0</v>
      </c>
      <c r="F334" s="3">
        <v>1.0</v>
      </c>
      <c r="G334" s="1" t="s">
        <v>23</v>
      </c>
    </row>
    <row r="335" ht="12.75" customHeight="1">
      <c r="A335" s="1">
        <v>0.0</v>
      </c>
      <c r="B335" s="2" t="s">
        <v>4249</v>
      </c>
      <c r="C335" s="1" t="s">
        <v>4250</v>
      </c>
      <c r="D335" s="1" t="s">
        <v>4251</v>
      </c>
      <c r="E335" s="3">
        <v>1.0</v>
      </c>
      <c r="F335" s="3">
        <v>1.0</v>
      </c>
      <c r="G335" s="1" t="s">
        <v>23</v>
      </c>
    </row>
    <row r="336" ht="12.75" customHeight="1">
      <c r="A336" s="1">
        <v>0.0</v>
      </c>
      <c r="B336" s="2" t="s">
        <v>4148</v>
      </c>
      <c r="C336" s="1" t="s">
        <v>4149</v>
      </c>
      <c r="D336" s="1" t="s">
        <v>1742</v>
      </c>
      <c r="E336" s="3">
        <v>1.0</v>
      </c>
      <c r="F336" s="3">
        <v>1.0</v>
      </c>
      <c r="G336" s="1" t="s">
        <v>23</v>
      </c>
    </row>
    <row r="337" ht="12.75" customHeight="1">
      <c r="A337" s="1">
        <v>0.0</v>
      </c>
      <c r="B337" s="2" t="s">
        <v>4362</v>
      </c>
      <c r="C337" s="1" t="s">
        <v>4363</v>
      </c>
      <c r="D337" s="1" t="s">
        <v>4364</v>
      </c>
      <c r="E337" s="3">
        <v>1.0</v>
      </c>
      <c r="F337" s="3">
        <v>1.0</v>
      </c>
      <c r="G337" s="1" t="s">
        <v>23</v>
      </c>
    </row>
    <row r="338" ht="12.75" customHeight="1">
      <c r="A338" s="1">
        <v>0.0</v>
      </c>
      <c r="B338" s="2" t="s">
        <v>5518</v>
      </c>
      <c r="C338" s="1" t="s">
        <v>5519</v>
      </c>
      <c r="D338" s="1" t="s">
        <v>5520</v>
      </c>
      <c r="E338" s="3">
        <v>1.0</v>
      </c>
      <c r="F338" s="3">
        <v>1.0</v>
      </c>
      <c r="G338" s="1" t="s">
        <v>23</v>
      </c>
    </row>
    <row r="339" ht="12.75" customHeight="1">
      <c r="A339" s="1">
        <v>0.0</v>
      </c>
      <c r="B339" s="2" t="s">
        <v>4089</v>
      </c>
      <c r="C339" s="1" t="s">
        <v>4090</v>
      </c>
      <c r="D339" s="1" t="s">
        <v>4091</v>
      </c>
      <c r="E339" s="3">
        <v>1.0</v>
      </c>
      <c r="F339" s="3">
        <v>1.0</v>
      </c>
      <c r="G339" s="1" t="s">
        <v>23</v>
      </c>
    </row>
    <row r="340" ht="12.75" customHeight="1">
      <c r="A340" s="1">
        <v>0.0</v>
      </c>
      <c r="B340" s="2" t="s">
        <v>5521</v>
      </c>
      <c r="C340" s="1" t="s">
        <v>5522</v>
      </c>
      <c r="D340" s="1" t="s">
        <v>5523</v>
      </c>
      <c r="E340" s="3">
        <v>1.0</v>
      </c>
      <c r="F340" s="3">
        <v>1.0</v>
      </c>
      <c r="G340" s="1" t="s">
        <v>23</v>
      </c>
    </row>
    <row r="341" ht="12.75" customHeight="1">
      <c r="A341" s="1">
        <v>0.0</v>
      </c>
      <c r="B341" s="2" t="s">
        <v>4446</v>
      </c>
      <c r="C341" s="1" t="s">
        <v>4447</v>
      </c>
      <c r="D341" s="1" t="s">
        <v>4448</v>
      </c>
      <c r="E341" s="3">
        <v>1.0</v>
      </c>
      <c r="F341" s="3">
        <v>1.0</v>
      </c>
      <c r="G341" s="1" t="s">
        <v>23</v>
      </c>
    </row>
    <row r="342" ht="12.75" customHeight="1">
      <c r="A342" s="1">
        <v>0.0</v>
      </c>
      <c r="B342" s="2" t="s">
        <v>4217</v>
      </c>
      <c r="C342" s="1" t="s">
        <v>4218</v>
      </c>
      <c r="D342" s="1" t="s">
        <v>4219</v>
      </c>
      <c r="E342" s="3">
        <v>1.0</v>
      </c>
      <c r="F342" s="3">
        <v>1.0</v>
      </c>
      <c r="G342" s="1" t="s">
        <v>23</v>
      </c>
    </row>
    <row r="343" ht="12.75" customHeight="1">
      <c r="A343" s="1">
        <v>0.0</v>
      </c>
      <c r="B343" s="2">
        <v>561055.0</v>
      </c>
      <c r="C343" s="1" t="s">
        <v>203</v>
      </c>
      <c r="D343" s="1" t="s">
        <v>4252</v>
      </c>
      <c r="E343" s="3">
        <v>1.0</v>
      </c>
      <c r="F343" s="3">
        <v>1.0</v>
      </c>
      <c r="G343" s="1" t="s">
        <v>23</v>
      </c>
    </row>
    <row r="344" ht="12.75" customHeight="1">
      <c r="A344" s="1">
        <v>0.0</v>
      </c>
      <c r="B344" s="2" t="s">
        <v>5524</v>
      </c>
      <c r="C344" s="1" t="s">
        <v>5525</v>
      </c>
      <c r="D344" s="1" t="s">
        <v>5526</v>
      </c>
      <c r="E344" s="3">
        <v>1.0</v>
      </c>
      <c r="F344" s="3">
        <v>1.0</v>
      </c>
      <c r="G344" s="1" t="s">
        <v>23</v>
      </c>
    </row>
    <row r="345" ht="12.75" customHeight="1">
      <c r="A345" s="1">
        <v>0.0</v>
      </c>
      <c r="B345" s="2" t="s">
        <v>4233</v>
      </c>
      <c r="C345" s="1" t="s">
        <v>4234</v>
      </c>
      <c r="D345" s="1" t="s">
        <v>4235</v>
      </c>
      <c r="E345" s="3">
        <v>1.0</v>
      </c>
      <c r="F345" s="3">
        <v>1.0</v>
      </c>
      <c r="G345" s="1" t="s">
        <v>23</v>
      </c>
    </row>
    <row r="346" ht="12.75" customHeight="1">
      <c r="A346" s="1">
        <v>0.0</v>
      </c>
      <c r="B346" s="2" t="s">
        <v>4230</v>
      </c>
      <c r="C346" s="1" t="s">
        <v>4231</v>
      </c>
      <c r="D346" s="1" t="s">
        <v>4232</v>
      </c>
      <c r="E346" s="3">
        <v>1.0</v>
      </c>
      <c r="F346" s="3">
        <v>1.0</v>
      </c>
      <c r="G346" s="1" t="s">
        <v>23</v>
      </c>
    </row>
    <row r="347" ht="12.75" customHeight="1">
      <c r="A347" s="1">
        <v>0.0</v>
      </c>
      <c r="B347" s="2" t="s">
        <v>4150</v>
      </c>
      <c r="C347" s="1" t="s">
        <v>4151</v>
      </c>
      <c r="D347" s="1" t="s">
        <v>1742</v>
      </c>
      <c r="E347" s="3">
        <v>1.0</v>
      </c>
      <c r="F347" s="3">
        <v>1.0</v>
      </c>
      <c r="G347" s="1" t="s">
        <v>23</v>
      </c>
    </row>
    <row r="348" ht="12.75" customHeight="1">
      <c r="A348" s="1">
        <v>0.0</v>
      </c>
      <c r="B348" s="2" t="s">
        <v>4202</v>
      </c>
      <c r="C348" s="1" t="s">
        <v>4203</v>
      </c>
      <c r="D348" s="1" t="s">
        <v>4204</v>
      </c>
      <c r="E348" s="3">
        <v>1.0</v>
      </c>
      <c r="F348" s="3">
        <v>1.0</v>
      </c>
      <c r="G348" s="1" t="s">
        <v>23</v>
      </c>
    </row>
    <row r="349" ht="12.75" customHeight="1">
      <c r="A349" s="1">
        <v>0.0</v>
      </c>
      <c r="B349" s="2" t="s">
        <v>5527</v>
      </c>
      <c r="C349" s="1" t="s">
        <v>5528</v>
      </c>
      <c r="D349" s="1" t="s">
        <v>5529</v>
      </c>
      <c r="E349" s="3">
        <v>1.0</v>
      </c>
      <c r="F349" s="3">
        <v>1.0</v>
      </c>
      <c r="G349" s="1" t="s">
        <v>23</v>
      </c>
    </row>
    <row r="350" ht="12.75" customHeight="1">
      <c r="A350" s="1">
        <v>0.0</v>
      </c>
      <c r="B350" s="2" t="s">
        <v>4199</v>
      </c>
      <c r="C350" s="1" t="s">
        <v>4200</v>
      </c>
      <c r="D350" s="1" t="s">
        <v>4201</v>
      </c>
      <c r="E350" s="3">
        <v>1.0</v>
      </c>
      <c r="F350" s="3">
        <v>1.0</v>
      </c>
      <c r="G350" s="1" t="s">
        <v>23</v>
      </c>
    </row>
    <row r="351" ht="12.75" customHeight="1">
      <c r="A351" s="1">
        <v>0.0</v>
      </c>
      <c r="B351" s="2" t="s">
        <v>5530</v>
      </c>
      <c r="C351" s="1" t="s">
        <v>5531</v>
      </c>
      <c r="D351" s="1" t="s">
        <v>1445</v>
      </c>
      <c r="E351" s="3">
        <v>1.0</v>
      </c>
      <c r="F351" s="3">
        <v>1.0</v>
      </c>
      <c r="G351" s="1" t="s">
        <v>23</v>
      </c>
    </row>
    <row r="352" ht="12.75" customHeight="1">
      <c r="A352" s="1">
        <v>0.0</v>
      </c>
      <c r="B352" s="2" t="s">
        <v>5532</v>
      </c>
      <c r="C352" s="1" t="s">
        <v>5533</v>
      </c>
      <c r="D352" s="1" t="s">
        <v>3991</v>
      </c>
      <c r="E352" s="3">
        <v>1.0</v>
      </c>
      <c r="F352" s="3">
        <v>1.0</v>
      </c>
      <c r="G352" s="1" t="s">
        <v>23</v>
      </c>
    </row>
    <row r="353" ht="12.75" customHeight="1">
      <c r="A353" s="1">
        <v>0.0</v>
      </c>
      <c r="B353" s="2" t="s">
        <v>5534</v>
      </c>
      <c r="C353" s="1" t="s">
        <v>5535</v>
      </c>
      <c r="D353" s="1" t="s">
        <v>5536</v>
      </c>
      <c r="E353" s="3">
        <v>1.0</v>
      </c>
      <c r="F353" s="3">
        <v>1.0</v>
      </c>
      <c r="G353" s="1" t="s">
        <v>23</v>
      </c>
    </row>
    <row r="354" ht="12.75" customHeight="1">
      <c r="A354" s="1">
        <v>0.0</v>
      </c>
      <c r="B354" s="2" t="s">
        <v>4444</v>
      </c>
      <c r="C354" s="1" t="s">
        <v>4445</v>
      </c>
      <c r="D354" s="1" t="s">
        <v>3991</v>
      </c>
      <c r="E354" s="3">
        <v>1.0</v>
      </c>
      <c r="F354" s="3">
        <v>1.0</v>
      </c>
      <c r="G354" s="1" t="s">
        <v>23</v>
      </c>
    </row>
    <row r="355" ht="12.75" customHeight="1">
      <c r="A355" s="1">
        <v>0.0</v>
      </c>
      <c r="B355" s="2" t="s">
        <v>5537</v>
      </c>
      <c r="C355" s="1" t="s">
        <v>5538</v>
      </c>
      <c r="D355" s="1" t="s">
        <v>5539</v>
      </c>
      <c r="E355" s="3">
        <v>1.0</v>
      </c>
      <c r="F355" s="3">
        <v>1.0</v>
      </c>
      <c r="G355" s="1" t="s">
        <v>23</v>
      </c>
    </row>
    <row r="356" ht="12.75" customHeight="1">
      <c r="A356" s="1">
        <v>0.0</v>
      </c>
      <c r="B356" s="2" t="s">
        <v>4145</v>
      </c>
      <c r="C356" s="1" t="s">
        <v>4146</v>
      </c>
      <c r="D356" s="1" t="s">
        <v>4147</v>
      </c>
      <c r="E356" s="3">
        <v>1.0</v>
      </c>
      <c r="F356" s="3">
        <v>1.0</v>
      </c>
      <c r="G356" s="1" t="s">
        <v>23</v>
      </c>
    </row>
    <row r="357" ht="12.75" customHeight="1">
      <c r="A357" s="1">
        <v>0.0</v>
      </c>
      <c r="B357" s="2">
        <v>561430.0</v>
      </c>
      <c r="C357" s="1" t="s">
        <v>4373</v>
      </c>
      <c r="D357" s="1" t="s">
        <v>4374</v>
      </c>
      <c r="E357" s="3">
        <v>1.0</v>
      </c>
      <c r="F357" s="3">
        <v>1.0</v>
      </c>
      <c r="G357" s="1" t="s">
        <v>23</v>
      </c>
    </row>
    <row r="358" ht="12.75" customHeight="1">
      <c r="A358" s="1">
        <v>0.0</v>
      </c>
      <c r="B358" s="2" t="s">
        <v>4086</v>
      </c>
      <c r="C358" s="1" t="s">
        <v>4087</v>
      </c>
      <c r="D358" s="1" t="s">
        <v>4088</v>
      </c>
      <c r="E358" s="3">
        <v>1.0</v>
      </c>
      <c r="F358" s="3">
        <v>1.0</v>
      </c>
      <c r="G358" s="1" t="s">
        <v>23</v>
      </c>
    </row>
    <row r="359" ht="12.75" customHeight="1">
      <c r="A359" s="1">
        <v>0.0</v>
      </c>
      <c r="B359" s="2" t="s">
        <v>4152</v>
      </c>
      <c r="C359" s="1" t="s">
        <v>4153</v>
      </c>
      <c r="D359" s="1" t="s">
        <v>1742</v>
      </c>
      <c r="E359" s="3">
        <v>1.0</v>
      </c>
      <c r="F359" s="3">
        <v>1.0</v>
      </c>
      <c r="G359" s="1" t="s">
        <v>23</v>
      </c>
    </row>
    <row r="360" ht="12.75" customHeight="1">
      <c r="A360" s="1">
        <v>0.0</v>
      </c>
      <c r="B360" s="2" t="s">
        <v>4154</v>
      </c>
      <c r="C360" s="1" t="s">
        <v>4155</v>
      </c>
      <c r="D360" s="1" t="s">
        <v>1742</v>
      </c>
      <c r="E360" s="3">
        <v>1.0</v>
      </c>
      <c r="F360" s="3">
        <v>1.0</v>
      </c>
      <c r="G360" s="1" t="s">
        <v>23</v>
      </c>
    </row>
    <row r="361" ht="12.75" customHeight="1">
      <c r="A361" s="1">
        <v>0.0</v>
      </c>
      <c r="B361" s="2" t="s">
        <v>4246</v>
      </c>
      <c r="C361" s="1" t="s">
        <v>4247</v>
      </c>
      <c r="D361" s="1" t="s">
        <v>4248</v>
      </c>
      <c r="E361" s="3">
        <v>1.0</v>
      </c>
      <c r="F361" s="3">
        <v>1.0</v>
      </c>
      <c r="G361" s="1" t="s">
        <v>23</v>
      </c>
    </row>
    <row r="362" ht="12.75" customHeight="1">
      <c r="A362" s="1">
        <v>0.0</v>
      </c>
      <c r="B362" s="2" t="s">
        <v>4278</v>
      </c>
      <c r="C362" s="1" t="s">
        <v>4279</v>
      </c>
      <c r="D362" s="1" t="s">
        <v>4280</v>
      </c>
      <c r="E362" s="3">
        <v>1.0</v>
      </c>
      <c r="F362" s="3">
        <v>1.0</v>
      </c>
      <c r="G362" s="1" t="s">
        <v>23</v>
      </c>
    </row>
    <row r="363" ht="12.75" customHeight="1">
      <c r="A363" s="1">
        <v>0.0</v>
      </c>
      <c r="B363" s="2" t="s">
        <v>5540</v>
      </c>
      <c r="C363" s="1" t="s">
        <v>5541</v>
      </c>
      <c r="D363" s="1" t="s">
        <v>5542</v>
      </c>
      <c r="E363" s="3">
        <v>1.0</v>
      </c>
      <c r="F363" s="3">
        <v>1.0</v>
      </c>
      <c r="G363" s="1" t="s">
        <v>23</v>
      </c>
    </row>
    <row r="364" ht="12.75" customHeight="1">
      <c r="A364" s="1">
        <v>0.0</v>
      </c>
      <c r="B364" s="2" t="s">
        <v>5543</v>
      </c>
      <c r="C364" s="1" t="s">
        <v>5544</v>
      </c>
      <c r="D364" s="1" t="s">
        <v>5545</v>
      </c>
      <c r="E364" s="3">
        <v>1.0</v>
      </c>
      <c r="F364" s="3">
        <v>1.0</v>
      </c>
      <c r="G364" s="1" t="s">
        <v>23</v>
      </c>
    </row>
    <row r="365" ht="12.75" customHeight="1">
      <c r="A365" s="1">
        <v>0.0</v>
      </c>
      <c r="B365" s="2" t="s">
        <v>4422</v>
      </c>
      <c r="C365" s="1" t="s">
        <v>1557</v>
      </c>
      <c r="D365" s="1" t="s">
        <v>4423</v>
      </c>
      <c r="E365" s="3">
        <v>1.0</v>
      </c>
      <c r="F365" s="3">
        <v>1.0</v>
      </c>
      <c r="G365" s="1" t="s">
        <v>23</v>
      </c>
    </row>
    <row r="366" ht="12.75" customHeight="1">
      <c r="A366" s="1">
        <v>0.0</v>
      </c>
      <c r="B366" s="2" t="s">
        <v>5546</v>
      </c>
      <c r="C366" s="1" t="s">
        <v>5547</v>
      </c>
      <c r="D366" s="1" t="s">
        <v>5548</v>
      </c>
      <c r="E366" s="3">
        <v>1.0</v>
      </c>
      <c r="F366" s="3">
        <v>1.0</v>
      </c>
      <c r="G366" s="1" t="s">
        <v>23</v>
      </c>
    </row>
    <row r="367" ht="12.75" customHeight="1">
      <c r="A367" s="1">
        <v>0.0</v>
      </c>
      <c r="B367" s="2" t="s">
        <v>4078</v>
      </c>
      <c r="C367" s="1" t="s">
        <v>4079</v>
      </c>
      <c r="D367" s="1" t="s">
        <v>4080</v>
      </c>
      <c r="E367" s="3">
        <v>1.0</v>
      </c>
      <c r="F367" s="3">
        <v>1.0</v>
      </c>
      <c r="G367" s="1" t="s">
        <v>23</v>
      </c>
    </row>
    <row r="368" ht="12.75" customHeight="1">
      <c r="A368" s="1">
        <v>0.0</v>
      </c>
      <c r="B368" s="2" t="s">
        <v>4419</v>
      </c>
      <c r="C368" s="1" t="s">
        <v>4420</v>
      </c>
      <c r="D368" s="1" t="s">
        <v>4421</v>
      </c>
      <c r="E368" s="3">
        <v>1.0</v>
      </c>
      <c r="F368" s="3">
        <v>1.0</v>
      </c>
      <c r="G368" s="1" t="s">
        <v>23</v>
      </c>
    </row>
    <row r="369" ht="12.75" customHeight="1">
      <c r="A369" s="1">
        <v>0.0</v>
      </c>
      <c r="B369" s="2" t="s">
        <v>5549</v>
      </c>
      <c r="C369" s="1" t="s">
        <v>5550</v>
      </c>
      <c r="D369" s="1" t="s">
        <v>5551</v>
      </c>
      <c r="E369" s="3">
        <v>1.0</v>
      </c>
      <c r="F369" s="3">
        <v>1.0</v>
      </c>
      <c r="G369" s="1" t="s">
        <v>23</v>
      </c>
    </row>
    <row r="370" ht="12.75" customHeight="1">
      <c r="A370" s="1">
        <v>0.0</v>
      </c>
      <c r="B370" s="2" t="s">
        <v>4330</v>
      </c>
      <c r="C370" s="1" t="s">
        <v>4331</v>
      </c>
      <c r="D370" s="1" t="s">
        <v>4332</v>
      </c>
      <c r="E370" s="3">
        <v>1.0</v>
      </c>
      <c r="F370" s="3">
        <v>1.0</v>
      </c>
      <c r="G370" s="1" t="s">
        <v>23</v>
      </c>
    </row>
    <row r="371" ht="12.75" customHeight="1">
      <c r="A371" s="1">
        <v>0.0</v>
      </c>
      <c r="B371" s="2" t="s">
        <v>4283</v>
      </c>
      <c r="C371" s="1" t="s">
        <v>4284</v>
      </c>
      <c r="D371" s="1" t="s">
        <v>4285</v>
      </c>
      <c r="E371" s="3">
        <v>1.0</v>
      </c>
      <c r="F371" s="3">
        <v>1.0</v>
      </c>
      <c r="G371" s="1" t="s">
        <v>23</v>
      </c>
    </row>
    <row r="372" ht="12.75" customHeight="1">
      <c r="A372" s="1">
        <v>0.0</v>
      </c>
      <c r="B372" s="2" t="s">
        <v>5552</v>
      </c>
      <c r="C372" s="1" t="s">
        <v>5553</v>
      </c>
      <c r="D372" s="1" t="s">
        <v>5554</v>
      </c>
      <c r="E372" s="3">
        <v>1.0</v>
      </c>
      <c r="F372" s="3">
        <v>1.0</v>
      </c>
      <c r="G372" s="1" t="s">
        <v>23</v>
      </c>
    </row>
    <row r="373" ht="12.75" customHeight="1">
      <c r="A373" s="1">
        <v>0.0</v>
      </c>
      <c r="B373" s="2" t="s">
        <v>4156</v>
      </c>
      <c r="C373" s="1" t="s">
        <v>4157</v>
      </c>
      <c r="D373" s="1" t="s">
        <v>4158</v>
      </c>
      <c r="E373" s="3">
        <v>1.0</v>
      </c>
      <c r="F373" s="3">
        <v>1.0</v>
      </c>
      <c r="G373" s="1" t="s">
        <v>23</v>
      </c>
    </row>
    <row r="374" ht="12.75" customHeight="1">
      <c r="A374" s="1">
        <v>0.0</v>
      </c>
      <c r="B374" s="2" t="s">
        <v>5555</v>
      </c>
      <c r="C374" s="1" t="s">
        <v>5556</v>
      </c>
      <c r="D374" s="1" t="s">
        <v>5557</v>
      </c>
      <c r="E374" s="3">
        <v>1.0</v>
      </c>
      <c r="F374" s="3">
        <v>1.0</v>
      </c>
      <c r="G374" s="1" t="s">
        <v>23</v>
      </c>
    </row>
    <row r="375" ht="12.75" customHeight="1">
      <c r="A375" s="1">
        <v>0.0</v>
      </c>
      <c r="B375" s="2" t="s">
        <v>5558</v>
      </c>
      <c r="C375" s="1" t="s">
        <v>5559</v>
      </c>
      <c r="D375" s="1" t="s">
        <v>5560</v>
      </c>
      <c r="E375" s="3">
        <v>1.0</v>
      </c>
      <c r="F375" s="3">
        <v>1.0</v>
      </c>
      <c r="G375" s="1" t="s">
        <v>23</v>
      </c>
    </row>
    <row r="376" ht="12.75" customHeight="1">
      <c r="A376" s="1">
        <v>0.0</v>
      </c>
      <c r="B376" s="2" t="s">
        <v>4465</v>
      </c>
      <c r="C376" s="1" t="s">
        <v>4466</v>
      </c>
      <c r="D376" s="1" t="s">
        <v>4467</v>
      </c>
      <c r="E376" s="3">
        <v>1.0</v>
      </c>
      <c r="F376" s="3">
        <v>1.0</v>
      </c>
      <c r="G376" s="1" t="s">
        <v>23</v>
      </c>
    </row>
    <row r="377" ht="12.75" customHeight="1">
      <c r="A377" s="1">
        <v>0.0</v>
      </c>
      <c r="B377" s="2">
        <v>562109.0</v>
      </c>
      <c r="C377" s="1" t="s">
        <v>5561</v>
      </c>
      <c r="D377" s="1" t="s">
        <v>4980</v>
      </c>
      <c r="E377" s="3">
        <v>1.0</v>
      </c>
      <c r="F377" s="3">
        <v>1.0</v>
      </c>
      <c r="G377" s="1" t="s">
        <v>23</v>
      </c>
    </row>
    <row r="378" ht="12.75" customHeight="1">
      <c r="A378" s="1">
        <v>0.0</v>
      </c>
      <c r="B378" s="2" t="s">
        <v>4309</v>
      </c>
      <c r="C378" s="1" t="s">
        <v>4310</v>
      </c>
      <c r="D378" s="1" t="s">
        <v>1123</v>
      </c>
      <c r="E378" s="3">
        <v>1.0</v>
      </c>
      <c r="F378" s="3">
        <v>1.0</v>
      </c>
      <c r="G378" s="1" t="s">
        <v>23</v>
      </c>
    </row>
    <row r="379" ht="12.75" customHeight="1">
      <c r="A379" s="1">
        <v>0.0</v>
      </c>
      <c r="B379" s="2" t="s">
        <v>4195</v>
      </c>
      <c r="C379" s="1" t="s">
        <v>4196</v>
      </c>
      <c r="D379" s="1" t="s">
        <v>2022</v>
      </c>
      <c r="E379" s="3">
        <v>1.0</v>
      </c>
      <c r="F379" s="3">
        <v>1.0</v>
      </c>
      <c r="G379" s="1" t="s">
        <v>23</v>
      </c>
    </row>
    <row r="380" ht="12.75" customHeight="1">
      <c r="A380" s="1">
        <v>0.0</v>
      </c>
      <c r="B380" s="2" t="s">
        <v>5562</v>
      </c>
      <c r="C380" s="1" t="s">
        <v>5563</v>
      </c>
      <c r="D380" s="1">
        <v>4.0</v>
      </c>
      <c r="E380" s="3">
        <v>1.0</v>
      </c>
      <c r="F380" s="3">
        <v>1.0</v>
      </c>
      <c r="G380" s="1" t="s">
        <v>23</v>
      </c>
    </row>
    <row r="381" ht="12.75" customHeight="1">
      <c r="A381" s="1">
        <v>0.0</v>
      </c>
      <c r="B381" s="2" t="s">
        <v>4143</v>
      </c>
      <c r="C381" s="1" t="s">
        <v>4144</v>
      </c>
      <c r="D381" s="1" t="s">
        <v>4142</v>
      </c>
      <c r="E381" s="3">
        <v>1.0</v>
      </c>
      <c r="F381" s="3">
        <v>1.0</v>
      </c>
      <c r="G381" s="1" t="s">
        <v>23</v>
      </c>
    </row>
    <row r="382" ht="12.75" customHeight="1">
      <c r="A382" s="1">
        <v>0.0</v>
      </c>
      <c r="B382" s="2" t="s">
        <v>4306</v>
      </c>
      <c r="C382" s="1" t="s">
        <v>4307</v>
      </c>
      <c r="D382" s="1" t="s">
        <v>4308</v>
      </c>
      <c r="E382" s="3">
        <v>1.0</v>
      </c>
      <c r="F382" s="3">
        <v>1.0</v>
      </c>
      <c r="G382" s="1" t="s">
        <v>23</v>
      </c>
    </row>
    <row r="383" ht="12.75" customHeight="1">
      <c r="A383" s="1">
        <v>0.0</v>
      </c>
      <c r="B383" s="2" t="s">
        <v>4236</v>
      </c>
      <c r="C383" s="1" t="s">
        <v>4237</v>
      </c>
      <c r="D383" s="1" t="s">
        <v>4238</v>
      </c>
      <c r="E383" s="3">
        <v>1.0</v>
      </c>
      <c r="F383" s="3">
        <v>1.0</v>
      </c>
      <c r="G383" s="1" t="s">
        <v>23</v>
      </c>
    </row>
    <row r="384" ht="12.75" customHeight="1">
      <c r="A384" s="1">
        <v>0.0</v>
      </c>
      <c r="B384" s="2" t="s">
        <v>4178</v>
      </c>
      <c r="C384" s="1" t="s">
        <v>4179</v>
      </c>
      <c r="D384" s="1" t="s">
        <v>1811</v>
      </c>
      <c r="E384" s="3">
        <v>1.0</v>
      </c>
      <c r="F384" s="3">
        <v>1.0</v>
      </c>
      <c r="G384" s="1" t="s">
        <v>23</v>
      </c>
    </row>
    <row r="385" ht="12.75" customHeight="1">
      <c r="A385" s="1">
        <v>0.0</v>
      </c>
      <c r="B385" s="2" t="s">
        <v>5564</v>
      </c>
      <c r="C385" s="1" t="s">
        <v>5565</v>
      </c>
      <c r="D385" s="1" t="s">
        <v>5566</v>
      </c>
      <c r="E385" s="3">
        <v>1.0</v>
      </c>
      <c r="F385" s="3">
        <v>1.0</v>
      </c>
      <c r="G385" s="1" t="s">
        <v>23</v>
      </c>
    </row>
    <row r="386" ht="12.75" customHeight="1">
      <c r="A386" s="1">
        <v>0.0</v>
      </c>
      <c r="B386" s="2" t="s">
        <v>4352</v>
      </c>
      <c r="C386" s="1" t="s">
        <v>4353</v>
      </c>
      <c r="D386" s="1" t="s">
        <v>4354</v>
      </c>
      <c r="E386" s="3">
        <v>1.0</v>
      </c>
      <c r="F386" s="3">
        <v>1.0</v>
      </c>
      <c r="G386" s="1" t="s">
        <v>23</v>
      </c>
    </row>
    <row r="387" ht="12.75" customHeight="1">
      <c r="A387" s="1">
        <v>0.0</v>
      </c>
      <c r="B387" s="2">
        <v>562882.0</v>
      </c>
      <c r="C387" s="1" t="s">
        <v>5567</v>
      </c>
      <c r="D387" s="1" t="s">
        <v>5568</v>
      </c>
      <c r="E387" s="3">
        <v>1.0</v>
      </c>
      <c r="F387" s="3">
        <v>1.0</v>
      </c>
      <c r="G387" s="1" t="s">
        <v>23</v>
      </c>
    </row>
    <row r="388" ht="12.75" customHeight="1">
      <c r="A388" s="1">
        <v>0.0</v>
      </c>
      <c r="B388" s="2" t="s">
        <v>4387</v>
      </c>
      <c r="C388" s="1" t="s">
        <v>4388</v>
      </c>
      <c r="D388" s="1" t="s">
        <v>4389</v>
      </c>
      <c r="E388" s="3">
        <v>1.0</v>
      </c>
      <c r="F388" s="3">
        <v>1.0</v>
      </c>
      <c r="G388" s="1" t="s">
        <v>23</v>
      </c>
    </row>
    <row r="389" ht="12.75" customHeight="1">
      <c r="A389" s="1">
        <v>0.0</v>
      </c>
      <c r="B389" s="2" t="s">
        <v>4454</v>
      </c>
      <c r="C389" s="1" t="s">
        <v>4455</v>
      </c>
      <c r="D389" s="1" t="s">
        <v>4456</v>
      </c>
      <c r="E389" s="3">
        <v>1.0</v>
      </c>
      <c r="F389" s="3">
        <v>1.0</v>
      </c>
      <c r="G389" s="1" t="s">
        <v>23</v>
      </c>
    </row>
    <row r="390" ht="12.75" customHeight="1">
      <c r="A390" s="1">
        <v>0.0</v>
      </c>
      <c r="B390" s="2" t="s">
        <v>4434</v>
      </c>
      <c r="C390" s="1" t="s">
        <v>4435</v>
      </c>
      <c r="D390" s="1" t="s">
        <v>4436</v>
      </c>
      <c r="E390" s="3">
        <v>1.0</v>
      </c>
      <c r="F390" s="3">
        <v>1.0</v>
      </c>
      <c r="G390" s="1" t="s">
        <v>23</v>
      </c>
    </row>
    <row r="391" ht="12.75" customHeight="1">
      <c r="A391" s="1">
        <v>0.0</v>
      </c>
      <c r="B391" s="2" t="s">
        <v>5569</v>
      </c>
      <c r="C391" s="1" t="s">
        <v>3473</v>
      </c>
      <c r="D391" s="1" t="s">
        <v>5570</v>
      </c>
      <c r="E391" s="3">
        <v>1.0</v>
      </c>
      <c r="F391" s="3">
        <v>1.0</v>
      </c>
      <c r="G391" s="1" t="s">
        <v>23</v>
      </c>
    </row>
    <row r="392" ht="12.75" customHeight="1">
      <c r="A392" s="1">
        <v>0.0</v>
      </c>
      <c r="B392" s="2">
        <v>5.629E7</v>
      </c>
      <c r="C392" s="1" t="s">
        <v>4263</v>
      </c>
      <c r="D392" s="1" t="s">
        <v>4264</v>
      </c>
      <c r="E392" s="3">
        <v>1.0</v>
      </c>
      <c r="F392" s="3">
        <v>1.0</v>
      </c>
      <c r="G392" s="1" t="s">
        <v>23</v>
      </c>
    </row>
    <row r="393" ht="12.75" customHeight="1">
      <c r="A393" s="1">
        <v>0.0</v>
      </c>
      <c r="B393" s="2" t="s">
        <v>4457</v>
      </c>
      <c r="C393" s="1" t="s">
        <v>4458</v>
      </c>
      <c r="D393" s="1" t="s">
        <v>1360</v>
      </c>
      <c r="E393" s="3">
        <v>1.0</v>
      </c>
      <c r="F393" s="3">
        <v>1.0</v>
      </c>
      <c r="G393" s="1" t="s">
        <v>23</v>
      </c>
    </row>
    <row r="394" ht="12.75" customHeight="1">
      <c r="A394" s="1">
        <v>0.0</v>
      </c>
      <c r="B394" s="2" t="s">
        <v>5571</v>
      </c>
      <c r="C394" s="1" t="s">
        <v>5572</v>
      </c>
      <c r="D394" s="1" t="s">
        <v>5573</v>
      </c>
      <c r="E394" s="3">
        <v>1.0</v>
      </c>
      <c r="F394" s="3">
        <v>1.0</v>
      </c>
      <c r="G394" s="1" t="s">
        <v>23</v>
      </c>
    </row>
    <row r="395" ht="12.75" customHeight="1">
      <c r="A395" s="1">
        <v>0.0</v>
      </c>
      <c r="B395" s="2" t="s">
        <v>4429</v>
      </c>
      <c r="C395" s="1" t="s">
        <v>4430</v>
      </c>
      <c r="D395" s="1" t="s">
        <v>4431</v>
      </c>
      <c r="E395" s="3">
        <v>1.0</v>
      </c>
      <c r="F395" s="3">
        <v>1.0</v>
      </c>
      <c r="G395" s="1" t="s">
        <v>23</v>
      </c>
    </row>
    <row r="396" ht="12.75" customHeight="1">
      <c r="A396" s="1">
        <v>0.0</v>
      </c>
      <c r="B396" s="2" t="s">
        <v>4409</v>
      </c>
      <c r="C396" s="1" t="s">
        <v>384</v>
      </c>
      <c r="D396" s="1" t="s">
        <v>4410</v>
      </c>
      <c r="E396" s="3">
        <v>1.0</v>
      </c>
      <c r="F396" s="3">
        <v>1.0</v>
      </c>
      <c r="G396" s="1" t="s">
        <v>23</v>
      </c>
    </row>
    <row r="397" ht="12.75" customHeight="1">
      <c r="A397" s="1">
        <v>0.0</v>
      </c>
      <c r="B397" s="2" t="s">
        <v>5574</v>
      </c>
      <c r="C397" s="1" t="s">
        <v>5575</v>
      </c>
      <c r="D397" s="1" t="s">
        <v>5576</v>
      </c>
      <c r="E397" s="3">
        <v>1.0</v>
      </c>
      <c r="F397" s="3">
        <v>1.0</v>
      </c>
      <c r="G397" s="1" t="s">
        <v>23</v>
      </c>
    </row>
    <row r="398" ht="12.75" customHeight="1">
      <c r="A398" s="1">
        <v>0.0</v>
      </c>
      <c r="B398" s="2" t="s">
        <v>4347</v>
      </c>
      <c r="C398" s="1" t="s">
        <v>4348</v>
      </c>
      <c r="D398" s="1" t="s">
        <v>4349</v>
      </c>
      <c r="E398" s="3">
        <v>1.0</v>
      </c>
      <c r="F398" s="3">
        <v>1.0</v>
      </c>
      <c r="G398" s="1" t="s">
        <v>23</v>
      </c>
    </row>
    <row r="399" ht="12.75" customHeight="1">
      <c r="A399" s="1">
        <v>0.0</v>
      </c>
      <c r="B399" s="2" t="s">
        <v>4376</v>
      </c>
      <c r="C399" s="1" t="s">
        <v>4377</v>
      </c>
      <c r="D399" s="1" t="s">
        <v>4378</v>
      </c>
      <c r="E399" s="3">
        <v>1.0</v>
      </c>
      <c r="F399" s="3">
        <v>1.0</v>
      </c>
      <c r="G399" s="1" t="s">
        <v>23</v>
      </c>
    </row>
    <row r="400" ht="12.75" customHeight="1">
      <c r="A400" s="1">
        <v>0.0</v>
      </c>
      <c r="B400" s="2" t="s">
        <v>4461</v>
      </c>
      <c r="C400" s="1" t="s">
        <v>4462</v>
      </c>
      <c r="D400" s="1" t="s">
        <v>1503</v>
      </c>
      <c r="E400" s="3">
        <v>1.0</v>
      </c>
      <c r="F400" s="3">
        <v>1.0</v>
      </c>
      <c r="G400" s="1" t="s">
        <v>23</v>
      </c>
    </row>
    <row r="401" ht="12.75" customHeight="1">
      <c r="A401" s="1">
        <v>0.0</v>
      </c>
      <c r="B401" s="2">
        <v>563279.0</v>
      </c>
      <c r="C401" s="1" t="s">
        <v>4205</v>
      </c>
      <c r="D401" s="1" t="s">
        <v>4206</v>
      </c>
      <c r="E401" s="3">
        <v>1.0</v>
      </c>
      <c r="F401" s="3">
        <v>1.0</v>
      </c>
      <c r="G401" s="1" t="s">
        <v>23</v>
      </c>
    </row>
    <row r="402" ht="12.75" customHeight="1">
      <c r="A402" s="1">
        <v>0.0</v>
      </c>
      <c r="B402" s="2" t="s">
        <v>5577</v>
      </c>
      <c r="C402" s="1" t="s">
        <v>5578</v>
      </c>
      <c r="D402" s="1" t="s">
        <v>5579</v>
      </c>
      <c r="E402" s="3">
        <v>1.0</v>
      </c>
      <c r="F402" s="3">
        <v>1.0</v>
      </c>
      <c r="G402" s="1" t="s">
        <v>23</v>
      </c>
    </row>
    <row r="403" ht="12.75" customHeight="1">
      <c r="A403" s="1">
        <v>0.0</v>
      </c>
      <c r="B403" s="2" t="s">
        <v>4207</v>
      </c>
      <c r="C403" s="1" t="s">
        <v>4208</v>
      </c>
      <c r="D403" s="1" t="s">
        <v>4209</v>
      </c>
      <c r="E403" s="3">
        <v>1.0</v>
      </c>
      <c r="F403" s="3">
        <v>1.0</v>
      </c>
      <c r="G403" s="1" t="s">
        <v>23</v>
      </c>
    </row>
    <row r="404" ht="12.75" customHeight="1">
      <c r="A404" s="1">
        <v>0.0</v>
      </c>
      <c r="B404" s="2" t="s">
        <v>4210</v>
      </c>
      <c r="C404" s="1" t="s">
        <v>4211</v>
      </c>
      <c r="D404" s="1" t="s">
        <v>4212</v>
      </c>
      <c r="E404" s="3">
        <v>1.0</v>
      </c>
      <c r="F404" s="3">
        <v>1.0</v>
      </c>
      <c r="G404" s="1" t="s">
        <v>23</v>
      </c>
    </row>
    <row r="405" ht="12.75" customHeight="1">
      <c r="A405" s="1">
        <v>0.0</v>
      </c>
      <c r="B405" s="2" t="s">
        <v>5580</v>
      </c>
      <c r="C405" s="1" t="s">
        <v>5581</v>
      </c>
      <c r="D405" s="1" t="s">
        <v>5582</v>
      </c>
      <c r="E405" s="3">
        <v>1.0</v>
      </c>
      <c r="F405" s="3">
        <v>1.0</v>
      </c>
      <c r="G405" s="1" t="s">
        <v>23</v>
      </c>
    </row>
    <row r="406" ht="12.75" customHeight="1">
      <c r="A406" s="1">
        <v>0.0</v>
      </c>
      <c r="B406" s="2" t="s">
        <v>4325</v>
      </c>
      <c r="C406" s="1" t="s">
        <v>4326</v>
      </c>
      <c r="D406" s="1" t="s">
        <v>3151</v>
      </c>
      <c r="E406" s="3">
        <v>1.0</v>
      </c>
      <c r="F406" s="3">
        <v>1.0</v>
      </c>
      <c r="G406" s="1" t="s">
        <v>23</v>
      </c>
    </row>
    <row r="407" ht="12.75" customHeight="1">
      <c r="A407" s="1">
        <v>0.0</v>
      </c>
      <c r="B407" s="2" t="s">
        <v>5583</v>
      </c>
      <c r="C407" s="1" t="s">
        <v>5584</v>
      </c>
      <c r="D407" s="1" t="s">
        <v>5585</v>
      </c>
      <c r="E407" s="3">
        <v>1.0</v>
      </c>
      <c r="F407" s="3">
        <v>1.0</v>
      </c>
      <c r="G407" s="1" t="s">
        <v>23</v>
      </c>
    </row>
    <row r="408" ht="12.75" customHeight="1">
      <c r="A408" s="1">
        <v>0.0</v>
      </c>
      <c r="B408" s="2" t="s">
        <v>5586</v>
      </c>
      <c r="C408" s="1" t="s">
        <v>5587</v>
      </c>
      <c r="D408" s="1" t="s">
        <v>5588</v>
      </c>
      <c r="E408" s="3">
        <v>1.0</v>
      </c>
      <c r="F408" s="3">
        <v>1.0</v>
      </c>
      <c r="G408" s="1" t="s">
        <v>23</v>
      </c>
    </row>
    <row r="409" ht="12.75" customHeight="1">
      <c r="A409" s="1">
        <v>0.0</v>
      </c>
      <c r="B409" s="2" t="s">
        <v>4459</v>
      </c>
      <c r="C409" s="1" t="s">
        <v>4460</v>
      </c>
      <c r="D409" s="1" t="s">
        <v>1360</v>
      </c>
      <c r="E409" s="3">
        <v>1.0</v>
      </c>
      <c r="F409" s="3">
        <v>1.0</v>
      </c>
      <c r="G409" s="1" t="s">
        <v>23</v>
      </c>
    </row>
    <row r="410" ht="12.75" customHeight="1">
      <c r="A410" s="1">
        <v>0.0</v>
      </c>
      <c r="B410" s="2" t="s">
        <v>5589</v>
      </c>
      <c r="C410" s="1" t="s">
        <v>5590</v>
      </c>
      <c r="D410" s="1" t="s">
        <v>5591</v>
      </c>
      <c r="E410" s="3">
        <v>1.0</v>
      </c>
      <c r="F410" s="3">
        <v>1.0</v>
      </c>
      <c r="G410" s="1" t="s">
        <v>23</v>
      </c>
    </row>
    <row r="411" ht="12.75" customHeight="1">
      <c r="A411" s="1">
        <v>0.0</v>
      </c>
      <c r="B411" s="2" t="s">
        <v>5592</v>
      </c>
      <c r="C411" s="1" t="s">
        <v>5593</v>
      </c>
      <c r="D411" s="1" t="s">
        <v>4138</v>
      </c>
      <c r="E411" s="3">
        <v>1.0</v>
      </c>
      <c r="F411" s="3">
        <v>1.0</v>
      </c>
      <c r="G411" s="1" t="s">
        <v>23</v>
      </c>
    </row>
    <row r="412" ht="12.75" customHeight="1">
      <c r="A412" s="1">
        <v>0.0</v>
      </c>
      <c r="B412" s="2" t="s">
        <v>4286</v>
      </c>
      <c r="C412" s="1" t="s">
        <v>4287</v>
      </c>
      <c r="D412" s="1" t="s">
        <v>4288</v>
      </c>
      <c r="E412" s="3">
        <v>1.0</v>
      </c>
      <c r="F412" s="3">
        <v>1.0</v>
      </c>
      <c r="G412" s="1" t="s">
        <v>23</v>
      </c>
    </row>
    <row r="413" ht="12.75" customHeight="1">
      <c r="A413" s="1">
        <v>0.0</v>
      </c>
      <c r="B413" s="2" t="s">
        <v>4427</v>
      </c>
      <c r="C413" s="1" t="s">
        <v>4428</v>
      </c>
      <c r="D413" s="1" t="s">
        <v>1479</v>
      </c>
      <c r="E413" s="3">
        <v>1.0</v>
      </c>
      <c r="F413" s="3">
        <v>1.0</v>
      </c>
      <c r="G413" s="1" t="s">
        <v>23</v>
      </c>
    </row>
    <row r="414" ht="12.75" customHeight="1">
      <c r="A414" s="1">
        <v>0.0</v>
      </c>
      <c r="B414" s="2" t="s">
        <v>5594</v>
      </c>
      <c r="C414" s="1" t="s">
        <v>5595</v>
      </c>
      <c r="D414" s="1" t="s">
        <v>5596</v>
      </c>
      <c r="E414" s="3">
        <v>1.0</v>
      </c>
      <c r="F414" s="3">
        <v>1.0</v>
      </c>
      <c r="G414" s="1" t="s">
        <v>23</v>
      </c>
    </row>
    <row r="415" ht="12.75" customHeight="1">
      <c r="A415" s="1">
        <v>0.0</v>
      </c>
      <c r="B415" s="2" t="s">
        <v>5597</v>
      </c>
      <c r="C415" s="1" t="s">
        <v>5598</v>
      </c>
      <c r="D415" s="1" t="s">
        <v>5599</v>
      </c>
      <c r="E415" s="3">
        <v>1.0</v>
      </c>
      <c r="F415" s="3">
        <v>1.0</v>
      </c>
      <c r="G415" s="1" t="s">
        <v>23</v>
      </c>
    </row>
    <row r="416" ht="12.75" customHeight="1">
      <c r="A416" s="1">
        <v>0.0</v>
      </c>
      <c r="B416" s="2" t="s">
        <v>5600</v>
      </c>
      <c r="C416" s="1" t="s">
        <v>5601</v>
      </c>
      <c r="D416" s="1" t="s">
        <v>5602</v>
      </c>
      <c r="E416" s="3">
        <v>1.0</v>
      </c>
      <c r="F416" s="3">
        <v>1.0</v>
      </c>
      <c r="G416" s="1" t="s">
        <v>23</v>
      </c>
    </row>
    <row r="417" ht="12.75" customHeight="1">
      <c r="A417" s="1">
        <v>0.0</v>
      </c>
      <c r="B417" s="2" t="s">
        <v>5603</v>
      </c>
      <c r="C417" s="1" t="s">
        <v>5604</v>
      </c>
      <c r="D417" s="1" t="s">
        <v>5605</v>
      </c>
      <c r="E417" s="3">
        <v>1.0</v>
      </c>
      <c r="F417" s="3">
        <v>1.0</v>
      </c>
      <c r="G417" s="1" t="s">
        <v>23</v>
      </c>
    </row>
    <row r="418" ht="12.75" customHeight="1">
      <c r="A418" s="1">
        <v>0.0</v>
      </c>
      <c r="B418" s="2" t="s">
        <v>4268</v>
      </c>
      <c r="C418" s="1" t="s">
        <v>4269</v>
      </c>
      <c r="D418" s="1" t="s">
        <v>4270</v>
      </c>
      <c r="E418" s="3">
        <v>1.0</v>
      </c>
      <c r="F418" s="3">
        <v>1.0</v>
      </c>
      <c r="G418" s="1" t="s">
        <v>23</v>
      </c>
    </row>
    <row r="419" ht="12.75" customHeight="1">
      <c r="A419" s="1">
        <v>0.0</v>
      </c>
      <c r="B419" s="2" t="s">
        <v>4335</v>
      </c>
      <c r="C419" s="1" t="s">
        <v>4336</v>
      </c>
      <c r="D419" s="1" t="s">
        <v>4337</v>
      </c>
      <c r="E419" s="3">
        <v>1.0</v>
      </c>
      <c r="F419" s="3">
        <v>1.0</v>
      </c>
      <c r="G419" s="1" t="s">
        <v>23</v>
      </c>
    </row>
    <row r="420" ht="12.75" customHeight="1">
      <c r="A420" s="1">
        <v>0.0</v>
      </c>
      <c r="B420" s="2" t="s">
        <v>4400</v>
      </c>
      <c r="C420" s="1" t="s">
        <v>4401</v>
      </c>
      <c r="D420" s="1" t="s">
        <v>4402</v>
      </c>
      <c r="E420" s="3">
        <v>1.0</v>
      </c>
      <c r="F420" s="3">
        <v>1.0</v>
      </c>
      <c r="G420" s="1" t="s">
        <v>23</v>
      </c>
    </row>
    <row r="421" ht="12.75" customHeight="1">
      <c r="A421" s="1">
        <v>0.0</v>
      </c>
      <c r="B421" s="2" t="s">
        <v>4192</v>
      </c>
      <c r="C421" s="1" t="s">
        <v>4193</v>
      </c>
      <c r="D421" s="1" t="s">
        <v>4194</v>
      </c>
      <c r="E421" s="3">
        <v>1.0</v>
      </c>
      <c r="F421" s="3">
        <v>1.0</v>
      </c>
      <c r="G421" s="1" t="s">
        <v>23</v>
      </c>
    </row>
    <row r="422" ht="12.75" customHeight="1">
      <c r="A422" s="1">
        <v>0.0</v>
      </c>
      <c r="B422" s="2" t="s">
        <v>5606</v>
      </c>
      <c r="C422" s="1" t="s">
        <v>4607</v>
      </c>
      <c r="D422" s="1" t="s">
        <v>3914</v>
      </c>
      <c r="E422" s="3">
        <v>1.0</v>
      </c>
      <c r="F422" s="3">
        <v>1.0</v>
      </c>
      <c r="G422" s="1" t="s">
        <v>23</v>
      </c>
    </row>
    <row r="423" ht="12.75" customHeight="1">
      <c r="A423" s="1">
        <v>0.0</v>
      </c>
      <c r="B423" s="2" t="s">
        <v>5607</v>
      </c>
      <c r="C423" s="1" t="s">
        <v>5608</v>
      </c>
      <c r="D423" s="1" t="s">
        <v>5609</v>
      </c>
      <c r="E423" s="3">
        <v>1.0</v>
      </c>
      <c r="F423" s="3">
        <v>1.0</v>
      </c>
      <c r="G423" s="1" t="s">
        <v>23</v>
      </c>
    </row>
    <row r="424" ht="12.75" customHeight="1">
      <c r="A424" s="1">
        <v>0.0</v>
      </c>
      <c r="B424" s="2" t="s">
        <v>4390</v>
      </c>
      <c r="C424" s="1" t="s">
        <v>4391</v>
      </c>
      <c r="D424" s="1" t="s">
        <v>1454</v>
      </c>
      <c r="E424" s="3">
        <v>1.0</v>
      </c>
      <c r="F424" s="3">
        <v>1.0</v>
      </c>
      <c r="G424" s="1" t="s">
        <v>23</v>
      </c>
    </row>
    <row r="425" ht="12.75" customHeight="1">
      <c r="A425" s="1">
        <v>0.0</v>
      </c>
      <c r="B425" s="2" t="s">
        <v>5610</v>
      </c>
      <c r="C425" s="1" t="s">
        <v>5611</v>
      </c>
      <c r="D425" s="1" t="s">
        <v>4399</v>
      </c>
      <c r="E425" s="3">
        <v>1.0</v>
      </c>
      <c r="F425" s="3">
        <v>1.0</v>
      </c>
      <c r="G425" s="1" t="s">
        <v>23</v>
      </c>
    </row>
    <row r="426" ht="12.75" customHeight="1">
      <c r="A426" s="1">
        <v>0.0</v>
      </c>
      <c r="B426" s="2" t="s">
        <v>4275</v>
      </c>
      <c r="C426" s="1" t="s">
        <v>4276</v>
      </c>
      <c r="D426" s="1" t="s">
        <v>4277</v>
      </c>
      <c r="E426" s="3">
        <v>1.0</v>
      </c>
      <c r="F426" s="3">
        <v>1.0</v>
      </c>
      <c r="G426" s="1" t="s">
        <v>23</v>
      </c>
    </row>
    <row r="427" ht="12.75" customHeight="1">
      <c r="A427" s="1">
        <v>0.0</v>
      </c>
      <c r="B427" s="2" t="s">
        <v>4342</v>
      </c>
      <c r="C427" s="1" t="s">
        <v>4343</v>
      </c>
      <c r="D427" s="1" t="s">
        <v>1177</v>
      </c>
      <c r="E427" s="3">
        <v>1.0</v>
      </c>
      <c r="F427" s="3">
        <v>1.0</v>
      </c>
      <c r="G427" s="1" t="s">
        <v>23</v>
      </c>
    </row>
    <row r="428" ht="12.75" customHeight="1">
      <c r="A428" s="1">
        <v>0.0</v>
      </c>
      <c r="B428" s="2">
        <v>564640.0</v>
      </c>
      <c r="C428" s="1" t="s">
        <v>5612</v>
      </c>
      <c r="D428" s="1" t="s">
        <v>2625</v>
      </c>
      <c r="E428" s="3">
        <v>1.0</v>
      </c>
      <c r="F428" s="3">
        <v>1.0</v>
      </c>
      <c r="G428" s="1" t="s">
        <v>23</v>
      </c>
    </row>
    <row r="429" ht="12.75" customHeight="1">
      <c r="A429" s="1">
        <v>0.0</v>
      </c>
      <c r="B429" s="2">
        <v>564701.0</v>
      </c>
      <c r="C429" s="1" t="s">
        <v>748</v>
      </c>
      <c r="D429" s="1" t="s">
        <v>4216</v>
      </c>
      <c r="E429" s="3">
        <v>1.0</v>
      </c>
      <c r="F429" s="3">
        <v>1.0</v>
      </c>
      <c r="G429" s="1" t="s">
        <v>23</v>
      </c>
    </row>
    <row r="430" ht="12.75" customHeight="1">
      <c r="A430" s="1">
        <v>0.0</v>
      </c>
      <c r="B430" s="2">
        <v>564727.0</v>
      </c>
      <c r="C430" s="1" t="s">
        <v>5613</v>
      </c>
      <c r="D430" s="1" t="s">
        <v>5614</v>
      </c>
      <c r="E430" s="3">
        <v>1.0</v>
      </c>
      <c r="F430" s="3">
        <v>1.0</v>
      </c>
      <c r="G430" s="1" t="s">
        <v>23</v>
      </c>
    </row>
    <row r="431" ht="12.75" customHeight="1">
      <c r="A431" s="1">
        <v>0.0</v>
      </c>
      <c r="B431" s="2">
        <v>564728.0</v>
      </c>
      <c r="C431" s="1" t="s">
        <v>1210</v>
      </c>
      <c r="D431" s="1" t="s">
        <v>4379</v>
      </c>
      <c r="E431" s="3">
        <v>1.0</v>
      </c>
      <c r="F431" s="3">
        <v>1.0</v>
      </c>
      <c r="G431" s="1" t="s">
        <v>23</v>
      </c>
    </row>
    <row r="432" ht="12.75" customHeight="1">
      <c r="A432" s="1">
        <v>0.0</v>
      </c>
      <c r="B432" s="2">
        <v>564734.0</v>
      </c>
      <c r="C432" s="1" t="s">
        <v>5615</v>
      </c>
      <c r="D432" s="1" t="s">
        <v>5195</v>
      </c>
      <c r="E432" s="3">
        <v>1.0</v>
      </c>
      <c r="F432" s="3">
        <v>1.0</v>
      </c>
      <c r="G432" s="1" t="s">
        <v>23</v>
      </c>
    </row>
    <row r="433" ht="12.75" customHeight="1">
      <c r="A433" s="1">
        <v>0.0</v>
      </c>
      <c r="B433" s="2">
        <v>564754.0</v>
      </c>
      <c r="C433" s="1" t="s">
        <v>4100</v>
      </c>
      <c r="D433" s="1" t="s">
        <v>1373</v>
      </c>
      <c r="E433" s="3">
        <v>1.0</v>
      </c>
      <c r="F433" s="3">
        <v>1.0</v>
      </c>
      <c r="G433" s="1" t="s">
        <v>23</v>
      </c>
    </row>
    <row r="434" ht="12.75" customHeight="1">
      <c r="A434" s="1">
        <v>0.0</v>
      </c>
      <c r="B434" s="2">
        <v>564757.0</v>
      </c>
      <c r="C434" s="1" t="s">
        <v>5616</v>
      </c>
      <c r="D434" s="1" t="s">
        <v>2625</v>
      </c>
      <c r="E434" s="3">
        <v>1.0</v>
      </c>
      <c r="F434" s="3">
        <v>1.0</v>
      </c>
      <c r="G434" s="1" t="s">
        <v>23</v>
      </c>
    </row>
    <row r="435" ht="12.75" customHeight="1">
      <c r="A435" s="1">
        <v>0.0</v>
      </c>
      <c r="B435" s="2" t="s">
        <v>4213</v>
      </c>
      <c r="C435" s="1" t="s">
        <v>4214</v>
      </c>
      <c r="D435" s="1" t="s">
        <v>4215</v>
      </c>
      <c r="E435" s="3">
        <v>1.0</v>
      </c>
      <c r="F435" s="3">
        <v>1.0</v>
      </c>
      <c r="G435" s="1" t="s">
        <v>23</v>
      </c>
    </row>
    <row r="436" ht="12.75" customHeight="1">
      <c r="A436" s="1">
        <v>0.0</v>
      </c>
      <c r="B436" s="2">
        <v>564786.0</v>
      </c>
      <c r="C436" s="1" t="s">
        <v>5617</v>
      </c>
      <c r="D436" s="1" t="s">
        <v>5618</v>
      </c>
      <c r="E436" s="3">
        <v>1.0</v>
      </c>
      <c r="F436" s="3">
        <v>1.0</v>
      </c>
      <c r="G436" s="1" t="s">
        <v>23</v>
      </c>
    </row>
    <row r="437" ht="12.75" customHeight="1">
      <c r="A437" s="1">
        <v>0.0</v>
      </c>
      <c r="B437" s="2">
        <v>564787.0</v>
      </c>
      <c r="C437" s="1" t="s">
        <v>4350</v>
      </c>
      <c r="D437" s="1" t="s">
        <v>4351</v>
      </c>
      <c r="E437" s="3">
        <v>1.0</v>
      </c>
      <c r="F437" s="3">
        <v>1.0</v>
      </c>
      <c r="G437" s="1" t="s">
        <v>23</v>
      </c>
    </row>
    <row r="438" ht="12.75" customHeight="1">
      <c r="A438" s="1">
        <v>0.0</v>
      </c>
      <c r="B438" s="2" t="s">
        <v>4258</v>
      </c>
      <c r="C438" s="1" t="s">
        <v>3595</v>
      </c>
      <c r="D438" s="1" t="s">
        <v>4259</v>
      </c>
      <c r="E438" s="3">
        <v>1.0</v>
      </c>
      <c r="F438" s="3">
        <v>1.0</v>
      </c>
      <c r="G438" s="1" t="s">
        <v>23</v>
      </c>
    </row>
    <row r="439" ht="12.75" customHeight="1">
      <c r="A439" s="1">
        <v>0.0</v>
      </c>
      <c r="B439" s="2">
        <v>564790.0</v>
      </c>
      <c r="C439" s="1" t="s">
        <v>5619</v>
      </c>
      <c r="D439" s="1" t="s">
        <v>2625</v>
      </c>
      <c r="E439" s="3">
        <v>1.0</v>
      </c>
      <c r="F439" s="3">
        <v>1.0</v>
      </c>
      <c r="G439" s="1" t="s">
        <v>23</v>
      </c>
    </row>
    <row r="440" ht="12.75" customHeight="1">
      <c r="A440" s="1">
        <v>0.0</v>
      </c>
      <c r="B440" s="2">
        <v>564791.0</v>
      </c>
      <c r="C440" s="1" t="s">
        <v>4081</v>
      </c>
      <c r="D440" s="1" t="s">
        <v>4082</v>
      </c>
      <c r="E440" s="3">
        <v>1.0</v>
      </c>
      <c r="F440" s="3">
        <v>1.0</v>
      </c>
      <c r="G440" s="1" t="s">
        <v>23</v>
      </c>
    </row>
    <row r="441" ht="12.75" customHeight="1">
      <c r="A441" s="1">
        <v>0.0</v>
      </c>
      <c r="B441" s="2">
        <v>564799.0</v>
      </c>
      <c r="C441" s="1" t="s">
        <v>5616</v>
      </c>
      <c r="D441" s="1" t="s">
        <v>5195</v>
      </c>
      <c r="E441" s="3">
        <v>1.0</v>
      </c>
      <c r="F441" s="3">
        <v>1.0</v>
      </c>
      <c r="G441" s="1" t="s">
        <v>23</v>
      </c>
    </row>
    <row r="442" ht="12.75" customHeight="1">
      <c r="A442" s="1">
        <v>0.0</v>
      </c>
      <c r="B442" s="2" t="s">
        <v>5620</v>
      </c>
      <c r="C442" s="1" t="s">
        <v>5621</v>
      </c>
      <c r="D442" s="1" t="s">
        <v>5622</v>
      </c>
      <c r="E442" s="3">
        <v>1.0</v>
      </c>
      <c r="F442" s="3">
        <v>1.0</v>
      </c>
      <c r="G442" s="1" t="s">
        <v>23</v>
      </c>
    </row>
    <row r="443" ht="12.75" customHeight="1">
      <c r="A443" s="1">
        <v>0.0</v>
      </c>
      <c r="B443" s="2" t="s">
        <v>5623</v>
      </c>
      <c r="C443" s="1" t="s">
        <v>5624</v>
      </c>
      <c r="D443" s="1" t="s">
        <v>5195</v>
      </c>
      <c r="E443" s="3">
        <v>1.0</v>
      </c>
      <c r="F443" s="3">
        <v>1.0</v>
      </c>
      <c r="G443" s="1" t="s">
        <v>23</v>
      </c>
    </row>
    <row r="444" ht="12.75" customHeight="1">
      <c r="A444" s="1">
        <v>0.0</v>
      </c>
      <c r="B444" s="2" t="s">
        <v>5625</v>
      </c>
      <c r="C444" s="1" t="s">
        <v>5229</v>
      </c>
      <c r="D444" s="1" t="s">
        <v>2625</v>
      </c>
      <c r="E444" s="3">
        <v>1.0</v>
      </c>
      <c r="F444" s="3">
        <v>1.0</v>
      </c>
      <c r="G444" s="1" t="s">
        <v>23</v>
      </c>
    </row>
    <row r="445" ht="12.75" customHeight="1">
      <c r="A445" s="1">
        <v>0.0</v>
      </c>
      <c r="B445" s="2" t="s">
        <v>5626</v>
      </c>
      <c r="C445" s="1" t="s">
        <v>5627</v>
      </c>
      <c r="D445" s="1" t="s">
        <v>5184</v>
      </c>
      <c r="E445" s="3">
        <v>1.0</v>
      </c>
      <c r="F445" s="3">
        <v>1.0</v>
      </c>
      <c r="G445" s="1" t="s">
        <v>23</v>
      </c>
    </row>
    <row r="446" ht="12.75" customHeight="1">
      <c r="A446" s="1">
        <v>0.0</v>
      </c>
      <c r="B446" s="2" t="s">
        <v>5628</v>
      </c>
      <c r="C446" s="1" t="s">
        <v>5629</v>
      </c>
      <c r="D446" s="1" t="s">
        <v>5195</v>
      </c>
      <c r="E446" s="3">
        <v>1.0</v>
      </c>
      <c r="F446" s="3">
        <v>1.0</v>
      </c>
      <c r="G446" s="1" t="s">
        <v>23</v>
      </c>
    </row>
    <row r="447" ht="12.75" customHeight="1">
      <c r="A447" s="1">
        <v>0.0</v>
      </c>
      <c r="B447" s="2" t="s">
        <v>4101</v>
      </c>
      <c r="C447" s="1" t="s">
        <v>4102</v>
      </c>
      <c r="D447" s="1" t="s">
        <v>1373</v>
      </c>
      <c r="E447" s="3">
        <v>1.0</v>
      </c>
      <c r="F447" s="3">
        <v>1.0</v>
      </c>
      <c r="G447" s="1" t="s">
        <v>23</v>
      </c>
    </row>
    <row r="448" ht="12.75" customHeight="1">
      <c r="A448" s="1">
        <v>0.0</v>
      </c>
      <c r="B448" s="2" t="s">
        <v>4103</v>
      </c>
      <c r="C448" s="1" t="s">
        <v>4104</v>
      </c>
      <c r="D448" s="1" t="s">
        <v>1373</v>
      </c>
      <c r="E448" s="3">
        <v>1.0</v>
      </c>
      <c r="F448" s="3">
        <v>1.0</v>
      </c>
      <c r="G448" s="1" t="s">
        <v>23</v>
      </c>
    </row>
    <row r="449" ht="12.75" customHeight="1">
      <c r="A449" s="1">
        <v>0.0</v>
      </c>
      <c r="B449" s="2" t="s">
        <v>5630</v>
      </c>
      <c r="C449" s="1" t="s">
        <v>5631</v>
      </c>
      <c r="D449" s="1" t="s">
        <v>5195</v>
      </c>
      <c r="E449" s="3">
        <v>1.0</v>
      </c>
      <c r="F449" s="3">
        <v>1.0</v>
      </c>
      <c r="G449" s="1" t="s">
        <v>23</v>
      </c>
    </row>
    <row r="450" ht="12.75" customHeight="1">
      <c r="A450" s="1">
        <v>0.0</v>
      </c>
      <c r="B450" s="2" t="s">
        <v>5632</v>
      </c>
      <c r="C450" s="1" t="s">
        <v>5633</v>
      </c>
      <c r="D450" s="1" t="s">
        <v>982</v>
      </c>
      <c r="E450" s="3">
        <v>1.0</v>
      </c>
      <c r="F450" s="3">
        <v>1.0</v>
      </c>
      <c r="G450" s="1" t="s">
        <v>23</v>
      </c>
    </row>
    <row r="451" ht="12.75" customHeight="1">
      <c r="A451" s="1">
        <v>0.0</v>
      </c>
      <c r="B451" s="2" t="s">
        <v>5634</v>
      </c>
      <c r="C451" s="1" t="s">
        <v>5635</v>
      </c>
      <c r="D451" s="1" t="s">
        <v>5195</v>
      </c>
      <c r="E451" s="3">
        <v>1.0</v>
      </c>
      <c r="F451" s="3">
        <v>1.0</v>
      </c>
      <c r="G451" s="1" t="s">
        <v>23</v>
      </c>
    </row>
    <row r="452" ht="12.75" customHeight="1">
      <c r="A452" s="1">
        <v>0.0</v>
      </c>
      <c r="B452" s="2" t="s">
        <v>5636</v>
      </c>
      <c r="C452" s="1" t="s">
        <v>5637</v>
      </c>
      <c r="D452" s="1" t="s">
        <v>5195</v>
      </c>
      <c r="E452" s="3">
        <v>1.0</v>
      </c>
      <c r="F452" s="3">
        <v>1.0</v>
      </c>
      <c r="G452" s="1" t="s">
        <v>23</v>
      </c>
    </row>
    <row r="453" ht="12.75" customHeight="1">
      <c r="A453" s="1">
        <v>0.0</v>
      </c>
      <c r="B453" s="2" t="s">
        <v>5638</v>
      </c>
      <c r="C453" s="1" t="s">
        <v>5639</v>
      </c>
      <c r="D453" s="1" t="s">
        <v>5622</v>
      </c>
      <c r="E453" s="3">
        <v>1.0</v>
      </c>
      <c r="F453" s="3">
        <v>1.0</v>
      </c>
      <c r="G453" s="1" t="s">
        <v>23</v>
      </c>
    </row>
    <row r="454" ht="12.75" customHeight="1">
      <c r="A454" s="1">
        <v>0.0</v>
      </c>
      <c r="B454" s="2" t="s">
        <v>4440</v>
      </c>
      <c r="C454" s="1" t="s">
        <v>4441</v>
      </c>
      <c r="D454" s="1" t="s">
        <v>4442</v>
      </c>
      <c r="E454" s="3">
        <v>1.0</v>
      </c>
      <c r="F454" s="3">
        <v>1.0</v>
      </c>
      <c r="G454" s="1" t="s">
        <v>23</v>
      </c>
    </row>
    <row r="455" ht="12.75" customHeight="1">
      <c r="A455" s="1">
        <v>0.0</v>
      </c>
      <c r="B455" s="2" t="s">
        <v>4105</v>
      </c>
      <c r="C455" s="1" t="s">
        <v>4106</v>
      </c>
      <c r="D455" s="1" t="s">
        <v>1373</v>
      </c>
      <c r="E455" s="3">
        <v>1.0</v>
      </c>
      <c r="F455" s="3">
        <v>1.0</v>
      </c>
      <c r="G455" s="1" t="s">
        <v>23</v>
      </c>
    </row>
    <row r="456" ht="12.75" customHeight="1">
      <c r="A456" s="1">
        <v>0.0</v>
      </c>
      <c r="B456" s="2" t="s">
        <v>4255</v>
      </c>
      <c r="C456" s="1" t="s">
        <v>4256</v>
      </c>
      <c r="D456" s="1" t="s">
        <v>4257</v>
      </c>
      <c r="E456" s="3">
        <v>1.0</v>
      </c>
      <c r="F456" s="3">
        <v>1.0</v>
      </c>
      <c r="G456" s="1" t="s">
        <v>23</v>
      </c>
    </row>
    <row r="457" ht="12.75" customHeight="1">
      <c r="A457" s="1">
        <v>0.0</v>
      </c>
      <c r="B457" s="2" t="s">
        <v>4107</v>
      </c>
      <c r="C457" s="1" t="s">
        <v>1105</v>
      </c>
      <c r="D457" s="1" t="s">
        <v>1373</v>
      </c>
      <c r="E457" s="3">
        <v>1.0</v>
      </c>
      <c r="F457" s="3">
        <v>1.0</v>
      </c>
      <c r="G457" s="1" t="s">
        <v>23</v>
      </c>
    </row>
    <row r="458" ht="12.75" customHeight="1">
      <c r="A458" s="1">
        <v>0.0</v>
      </c>
      <c r="B458" s="2" t="s">
        <v>5640</v>
      </c>
      <c r="C458" s="1" t="s">
        <v>5641</v>
      </c>
      <c r="D458" s="1" t="s">
        <v>5486</v>
      </c>
      <c r="E458" s="3">
        <v>1.0</v>
      </c>
      <c r="F458" s="3">
        <v>1.0</v>
      </c>
      <c r="G458" s="1" t="s">
        <v>23</v>
      </c>
    </row>
    <row r="459" ht="12.75" customHeight="1">
      <c r="A459" s="1">
        <v>0.0</v>
      </c>
      <c r="B459" s="2" t="s">
        <v>4083</v>
      </c>
      <c r="C459" s="1" t="s">
        <v>4084</v>
      </c>
      <c r="D459" s="1" t="s">
        <v>4085</v>
      </c>
      <c r="E459" s="3">
        <v>1.0</v>
      </c>
      <c r="F459" s="3">
        <v>1.0</v>
      </c>
      <c r="G459" s="1" t="s">
        <v>23</v>
      </c>
    </row>
    <row r="460" ht="12.75" customHeight="1">
      <c r="A460" s="1">
        <v>0.0</v>
      </c>
      <c r="B460" s="2" t="s">
        <v>5642</v>
      </c>
      <c r="C460" s="1" t="s">
        <v>5643</v>
      </c>
      <c r="D460" s="1" t="s">
        <v>5184</v>
      </c>
      <c r="E460" s="3">
        <v>1.0</v>
      </c>
      <c r="F460" s="3">
        <v>1.0</v>
      </c>
      <c r="G460" s="1" t="s">
        <v>23</v>
      </c>
    </row>
    <row r="461" ht="12.75" customHeight="1">
      <c r="A461" s="1">
        <v>0.0</v>
      </c>
      <c r="B461" s="2" t="s">
        <v>5644</v>
      </c>
      <c r="C461" s="1" t="s">
        <v>5645</v>
      </c>
      <c r="D461" s="1" t="s">
        <v>5184</v>
      </c>
      <c r="E461" s="3">
        <v>1.0</v>
      </c>
      <c r="F461" s="3">
        <v>1.0</v>
      </c>
      <c r="G461" s="1" t="s">
        <v>23</v>
      </c>
    </row>
    <row r="462" ht="12.75" customHeight="1">
      <c r="A462" s="1">
        <v>0.0</v>
      </c>
      <c r="B462" s="2" t="s">
        <v>5646</v>
      </c>
      <c r="C462" s="1" t="s">
        <v>5647</v>
      </c>
      <c r="D462" s="1" t="s">
        <v>2625</v>
      </c>
      <c r="E462" s="3">
        <v>1.0</v>
      </c>
      <c r="F462" s="3">
        <v>1.0</v>
      </c>
      <c r="G462" s="1" t="s">
        <v>23</v>
      </c>
    </row>
    <row r="463" ht="12.75" customHeight="1">
      <c r="A463" s="1">
        <v>0.0</v>
      </c>
      <c r="B463" s="2" t="s">
        <v>5648</v>
      </c>
      <c r="C463" s="1" t="s">
        <v>5649</v>
      </c>
      <c r="D463" s="1" t="s">
        <v>5195</v>
      </c>
      <c r="E463" s="3">
        <v>1.0</v>
      </c>
      <c r="F463" s="3">
        <v>1.0</v>
      </c>
      <c r="G463" s="1" t="s">
        <v>23</v>
      </c>
    </row>
    <row r="464" ht="12.75" customHeight="1">
      <c r="A464" s="1">
        <v>0.0</v>
      </c>
      <c r="B464" s="2" t="s">
        <v>5650</v>
      </c>
      <c r="C464" s="1" t="s">
        <v>5651</v>
      </c>
      <c r="D464" s="1" t="s">
        <v>5195</v>
      </c>
      <c r="E464" s="3">
        <v>1.0</v>
      </c>
      <c r="F464" s="3">
        <v>1.0</v>
      </c>
      <c r="G464" s="1" t="s">
        <v>23</v>
      </c>
    </row>
    <row r="465" ht="12.75" customHeight="1">
      <c r="A465" s="1">
        <v>0.0</v>
      </c>
      <c r="B465" s="2" t="s">
        <v>5652</v>
      </c>
      <c r="C465" s="1" t="s">
        <v>5653</v>
      </c>
      <c r="D465" s="1" t="s">
        <v>5195</v>
      </c>
      <c r="E465" s="3">
        <v>1.0</v>
      </c>
      <c r="F465" s="3">
        <v>1.0</v>
      </c>
      <c r="G465" s="1" t="s">
        <v>23</v>
      </c>
    </row>
    <row r="466" ht="12.75" customHeight="1">
      <c r="A466" s="1">
        <v>0.0</v>
      </c>
      <c r="B466" s="2" t="s">
        <v>5654</v>
      </c>
      <c r="C466" s="1" t="s">
        <v>5647</v>
      </c>
      <c r="D466" s="1" t="s">
        <v>5655</v>
      </c>
      <c r="E466" s="3">
        <v>1.0</v>
      </c>
      <c r="F466" s="3">
        <v>1.0</v>
      </c>
      <c r="G466" s="1" t="s">
        <v>23</v>
      </c>
    </row>
    <row r="467" ht="12.75" customHeight="1">
      <c r="A467" s="1">
        <v>0.0</v>
      </c>
      <c r="B467" s="2" t="s">
        <v>5656</v>
      </c>
      <c r="C467" s="1" t="s">
        <v>5657</v>
      </c>
      <c r="D467" s="1" t="s">
        <v>5658</v>
      </c>
      <c r="E467" s="3">
        <v>1.0</v>
      </c>
      <c r="F467" s="3">
        <v>1.0</v>
      </c>
      <c r="G467" s="1" t="s">
        <v>23</v>
      </c>
    </row>
    <row r="468" ht="12.75" customHeight="1">
      <c r="A468" s="1">
        <v>0.0</v>
      </c>
      <c r="B468" s="2" t="s">
        <v>4108</v>
      </c>
      <c r="C468" s="1" t="s">
        <v>4109</v>
      </c>
      <c r="D468" s="1" t="s">
        <v>1373</v>
      </c>
      <c r="E468" s="3">
        <v>1.0</v>
      </c>
      <c r="F468" s="3">
        <v>1.0</v>
      </c>
      <c r="G468" s="1" t="s">
        <v>23</v>
      </c>
    </row>
    <row r="469" ht="12.75" customHeight="1">
      <c r="A469" s="1">
        <v>0.0</v>
      </c>
      <c r="B469" s="2" t="s">
        <v>5659</v>
      </c>
      <c r="C469" s="1" t="s">
        <v>5660</v>
      </c>
      <c r="D469" s="1" t="s">
        <v>5661</v>
      </c>
      <c r="E469" s="3">
        <v>1.0</v>
      </c>
      <c r="F469" s="3">
        <v>1.0</v>
      </c>
      <c r="G469" s="1" t="s">
        <v>23</v>
      </c>
    </row>
    <row r="470" ht="12.75" customHeight="1">
      <c r="A470" s="1">
        <v>0.0</v>
      </c>
      <c r="B470" s="2" t="s">
        <v>4110</v>
      </c>
      <c r="C470" s="1" t="s">
        <v>4111</v>
      </c>
      <c r="D470" s="1" t="s">
        <v>1373</v>
      </c>
      <c r="E470" s="3">
        <v>1.0</v>
      </c>
      <c r="F470" s="3">
        <v>1.0</v>
      </c>
      <c r="G470" s="1" t="s">
        <v>23</v>
      </c>
    </row>
    <row r="471" ht="12.75" customHeight="1">
      <c r="A471" s="1">
        <v>0.0</v>
      </c>
      <c r="B471" s="2" t="s">
        <v>4112</v>
      </c>
      <c r="C471" s="1" t="s">
        <v>4113</v>
      </c>
      <c r="D471" s="1" t="s">
        <v>1373</v>
      </c>
      <c r="E471" s="3">
        <v>1.0</v>
      </c>
      <c r="F471" s="3">
        <v>1.0</v>
      </c>
      <c r="G471" s="1" t="s">
        <v>23</v>
      </c>
    </row>
    <row r="472" ht="12.75" customHeight="1">
      <c r="A472" s="1">
        <v>0.0</v>
      </c>
      <c r="B472" s="2" t="s">
        <v>4406</v>
      </c>
      <c r="C472" s="1" t="s">
        <v>4407</v>
      </c>
      <c r="D472" s="1" t="s">
        <v>4408</v>
      </c>
      <c r="E472" s="3">
        <v>1.0</v>
      </c>
      <c r="F472" s="3">
        <v>1.0</v>
      </c>
      <c r="G472" s="1" t="s">
        <v>23</v>
      </c>
    </row>
    <row r="473" ht="12.75" customHeight="1">
      <c r="A473" s="1">
        <v>0.0</v>
      </c>
      <c r="B473" s="2" t="s">
        <v>5662</v>
      </c>
      <c r="C473" s="1" t="s">
        <v>5663</v>
      </c>
      <c r="D473" s="1" t="s">
        <v>5195</v>
      </c>
      <c r="E473" s="3">
        <v>1.0</v>
      </c>
      <c r="F473" s="3">
        <v>1.0</v>
      </c>
      <c r="G473" s="1" t="s">
        <v>23</v>
      </c>
    </row>
    <row r="474" ht="12.75" customHeight="1">
      <c r="A474" s="1">
        <v>0.0</v>
      </c>
      <c r="B474" s="2" t="s">
        <v>5664</v>
      </c>
      <c r="C474" s="1" t="s">
        <v>5665</v>
      </c>
      <c r="D474" s="1" t="s">
        <v>5195</v>
      </c>
      <c r="E474" s="3">
        <v>1.0</v>
      </c>
      <c r="F474" s="3">
        <v>1.0</v>
      </c>
      <c r="G474" s="1" t="s">
        <v>23</v>
      </c>
    </row>
    <row r="475" ht="12.75" customHeight="1">
      <c r="A475" s="1">
        <v>0.0</v>
      </c>
      <c r="B475" s="2" t="s">
        <v>5666</v>
      </c>
      <c r="C475" s="1" t="s">
        <v>5667</v>
      </c>
      <c r="D475" s="1" t="s">
        <v>5195</v>
      </c>
      <c r="E475" s="3">
        <v>1.0</v>
      </c>
      <c r="F475" s="3">
        <v>1.0</v>
      </c>
      <c r="G475" s="1" t="s">
        <v>23</v>
      </c>
    </row>
    <row r="476" ht="12.75" customHeight="1">
      <c r="A476" s="1">
        <v>0.0</v>
      </c>
      <c r="B476" s="2" t="s">
        <v>5668</v>
      </c>
      <c r="C476" s="1" t="s">
        <v>5669</v>
      </c>
      <c r="D476" s="1" t="s">
        <v>5670</v>
      </c>
      <c r="E476" s="3">
        <v>1.0</v>
      </c>
      <c r="F476" s="3">
        <v>1.0</v>
      </c>
      <c r="G476" s="1" t="s">
        <v>23</v>
      </c>
    </row>
    <row r="477" ht="12.75" customHeight="1">
      <c r="A477" s="1">
        <v>0.0</v>
      </c>
      <c r="B477" s="2" t="s">
        <v>4180</v>
      </c>
      <c r="C477" s="1" t="s">
        <v>4181</v>
      </c>
      <c r="D477" s="1" t="s">
        <v>4182</v>
      </c>
      <c r="E477" s="3">
        <v>1.0</v>
      </c>
      <c r="F477" s="3">
        <v>1.0</v>
      </c>
      <c r="G477" s="1" t="s">
        <v>23</v>
      </c>
    </row>
    <row r="478" ht="12.75" customHeight="1">
      <c r="A478" s="1">
        <v>0.0</v>
      </c>
      <c r="B478" s="2" t="s">
        <v>4243</v>
      </c>
      <c r="C478" s="1" t="s">
        <v>4244</v>
      </c>
      <c r="D478" s="1" t="s">
        <v>854</v>
      </c>
      <c r="E478" s="3">
        <v>1.0</v>
      </c>
      <c r="F478" s="3">
        <v>1.0</v>
      </c>
      <c r="G478" s="1" t="s">
        <v>23</v>
      </c>
    </row>
    <row r="479" ht="12.75" customHeight="1">
      <c r="A479" s="1">
        <v>0.0</v>
      </c>
      <c r="B479" s="2" t="s">
        <v>4392</v>
      </c>
      <c r="C479" s="1" t="s">
        <v>4393</v>
      </c>
      <c r="D479" s="1" t="s">
        <v>4394</v>
      </c>
      <c r="E479" s="3">
        <v>1.0</v>
      </c>
      <c r="F479" s="3">
        <v>1.0</v>
      </c>
      <c r="G479" s="1" t="s">
        <v>23</v>
      </c>
    </row>
    <row r="480" ht="12.75" customHeight="1">
      <c r="A480" s="1">
        <v>0.0</v>
      </c>
      <c r="B480" s="2" t="s">
        <v>4114</v>
      </c>
      <c r="C480" s="1" t="s">
        <v>4115</v>
      </c>
      <c r="D480" s="1" t="s">
        <v>1373</v>
      </c>
      <c r="E480" s="3">
        <v>1.0</v>
      </c>
      <c r="F480" s="3">
        <v>1.0</v>
      </c>
      <c r="G480" s="1" t="s">
        <v>23</v>
      </c>
    </row>
    <row r="481" ht="12.75" customHeight="1">
      <c r="A481" s="1">
        <v>0.0</v>
      </c>
      <c r="B481" s="2" t="s">
        <v>4116</v>
      </c>
      <c r="C481" s="1" t="s">
        <v>4117</v>
      </c>
      <c r="D481" s="1" t="s">
        <v>1373</v>
      </c>
      <c r="E481" s="3">
        <v>1.0</v>
      </c>
      <c r="F481" s="3">
        <v>1.0</v>
      </c>
      <c r="G481" s="1" t="s">
        <v>23</v>
      </c>
    </row>
    <row r="482" ht="12.75" customHeight="1">
      <c r="A482" s="1">
        <v>0.0</v>
      </c>
      <c r="B482" s="2" t="s">
        <v>4118</v>
      </c>
      <c r="C482" s="1" t="s">
        <v>4119</v>
      </c>
      <c r="D482" s="1" t="s">
        <v>1373</v>
      </c>
      <c r="E482" s="3">
        <v>1.0</v>
      </c>
      <c r="F482" s="3">
        <v>1.0</v>
      </c>
      <c r="G482" s="1" t="s">
        <v>23</v>
      </c>
    </row>
    <row r="483" ht="12.75" customHeight="1">
      <c r="A483" s="1">
        <v>0.0</v>
      </c>
      <c r="B483" s="2">
        <v>56470.0</v>
      </c>
      <c r="C483" s="1" t="s">
        <v>5671</v>
      </c>
      <c r="D483" s="1" t="s">
        <v>5184</v>
      </c>
      <c r="E483" s="3">
        <v>1.0</v>
      </c>
      <c r="F483" s="3">
        <v>1.0</v>
      </c>
      <c r="G483" s="1" t="s">
        <v>23</v>
      </c>
    </row>
    <row r="484" ht="12.75" customHeight="1">
      <c r="A484" s="1">
        <v>0.0</v>
      </c>
      <c r="B484" s="2">
        <v>564700.0</v>
      </c>
      <c r="C484" s="1" t="s">
        <v>5672</v>
      </c>
      <c r="D484" s="1" t="s">
        <v>5195</v>
      </c>
      <c r="E484" s="3">
        <v>1.0</v>
      </c>
      <c r="F484" s="3">
        <v>1.0</v>
      </c>
      <c r="G484" s="1" t="s">
        <v>23</v>
      </c>
    </row>
    <row r="485" ht="12.75" customHeight="1">
      <c r="A485" s="1">
        <v>0.0</v>
      </c>
      <c r="B485" s="2">
        <v>5647000.0</v>
      </c>
      <c r="C485" s="1" t="s">
        <v>5673</v>
      </c>
      <c r="D485" s="1" t="s">
        <v>5195</v>
      </c>
      <c r="E485" s="3">
        <v>1.0</v>
      </c>
      <c r="F485" s="3">
        <v>1.0</v>
      </c>
      <c r="G485" s="1" t="s">
        <v>23</v>
      </c>
    </row>
    <row r="486" ht="12.75" customHeight="1">
      <c r="A486" s="1">
        <v>0.0</v>
      </c>
      <c r="B486" s="2">
        <v>5.647E7</v>
      </c>
      <c r="C486" s="1" t="s">
        <v>5674</v>
      </c>
      <c r="D486" s="1" t="s">
        <v>5195</v>
      </c>
      <c r="E486" s="3">
        <v>1.0</v>
      </c>
      <c r="F486" s="3">
        <v>1.0</v>
      </c>
      <c r="G486" s="1" t="s">
        <v>23</v>
      </c>
    </row>
    <row r="487" ht="12.75" customHeight="1">
      <c r="A487" s="1">
        <v>0.0</v>
      </c>
      <c r="B487" s="2">
        <v>5.647E9</v>
      </c>
      <c r="C487" s="1" t="s">
        <v>5675</v>
      </c>
      <c r="D487" s="1" t="s">
        <v>2625</v>
      </c>
      <c r="E487" s="3">
        <v>1.0</v>
      </c>
      <c r="F487" s="3">
        <v>1.0</v>
      </c>
      <c r="G487" s="1" t="s">
        <v>23</v>
      </c>
    </row>
    <row r="488" ht="12.75" customHeight="1">
      <c r="A488" s="1">
        <v>0.0</v>
      </c>
      <c r="B488" s="2">
        <v>5.647E10</v>
      </c>
      <c r="C488" s="1" t="s">
        <v>4254</v>
      </c>
      <c r="D488" s="1" t="s">
        <v>2457</v>
      </c>
      <c r="E488" s="3">
        <v>1.0</v>
      </c>
      <c r="F488" s="3">
        <v>1.0</v>
      </c>
      <c r="G488" s="1" t="s">
        <v>23</v>
      </c>
    </row>
    <row r="489" ht="12.75" customHeight="1">
      <c r="A489" s="1">
        <v>0.0</v>
      </c>
      <c r="B489" s="2" t="s">
        <v>4120</v>
      </c>
      <c r="C489" s="1" t="s">
        <v>4121</v>
      </c>
      <c r="D489" s="1" t="s">
        <v>1373</v>
      </c>
      <c r="E489" s="3">
        <v>1.0</v>
      </c>
      <c r="F489" s="3">
        <v>1.0</v>
      </c>
      <c r="G489" s="1" t="s">
        <v>23</v>
      </c>
    </row>
    <row r="490" ht="12.75" customHeight="1">
      <c r="A490" s="1">
        <v>0.0</v>
      </c>
      <c r="B490" s="2" t="s">
        <v>5676</v>
      </c>
      <c r="C490" s="1" t="s">
        <v>5677</v>
      </c>
      <c r="D490" s="1" t="s">
        <v>5658</v>
      </c>
      <c r="E490" s="3">
        <v>1.0</v>
      </c>
      <c r="F490" s="3">
        <v>1.0</v>
      </c>
      <c r="G490" s="1" t="s">
        <v>23</v>
      </c>
    </row>
    <row r="491" ht="12.75" customHeight="1">
      <c r="A491" s="1">
        <v>0.0</v>
      </c>
      <c r="B491" s="2" t="s">
        <v>5678</v>
      </c>
      <c r="C491" s="1" t="s">
        <v>5679</v>
      </c>
      <c r="D491" s="1" t="s">
        <v>5680</v>
      </c>
      <c r="E491" s="3">
        <v>1.0</v>
      </c>
      <c r="F491" s="3">
        <v>1.0</v>
      </c>
      <c r="G491" s="1" t="s">
        <v>23</v>
      </c>
    </row>
    <row r="492" ht="12.75" customHeight="1">
      <c r="A492" s="1">
        <v>0.0</v>
      </c>
      <c r="B492" s="2" t="s">
        <v>5681</v>
      </c>
      <c r="C492" s="1" t="s">
        <v>5682</v>
      </c>
      <c r="D492" s="1" t="s">
        <v>5680</v>
      </c>
      <c r="E492" s="3">
        <v>1.0</v>
      </c>
      <c r="F492" s="3">
        <v>1.0</v>
      </c>
      <c r="G492" s="1" t="s">
        <v>23</v>
      </c>
    </row>
    <row r="493" ht="12.75" customHeight="1">
      <c r="A493" s="1">
        <v>0.0</v>
      </c>
      <c r="B493" s="2" t="s">
        <v>4122</v>
      </c>
      <c r="C493" s="1" t="s">
        <v>4123</v>
      </c>
      <c r="D493" s="1" t="s">
        <v>1373</v>
      </c>
      <c r="E493" s="3">
        <v>1.0</v>
      </c>
      <c r="F493" s="3">
        <v>1.0</v>
      </c>
      <c r="G493" s="1" t="s">
        <v>23</v>
      </c>
    </row>
    <row r="494" ht="12.75" customHeight="1">
      <c r="A494" s="1">
        <v>0.0</v>
      </c>
      <c r="B494" s="2" t="s">
        <v>5683</v>
      </c>
      <c r="C494" s="1" t="s">
        <v>5684</v>
      </c>
      <c r="D494" s="1" t="s">
        <v>5685</v>
      </c>
      <c r="E494" s="3">
        <v>1.0</v>
      </c>
      <c r="F494" s="3">
        <v>1.0</v>
      </c>
      <c r="G494" s="1" t="s">
        <v>23</v>
      </c>
    </row>
    <row r="495" ht="12.75" customHeight="1">
      <c r="A495" s="1">
        <v>0.0</v>
      </c>
      <c r="B495" s="2" t="s">
        <v>4124</v>
      </c>
      <c r="C495" s="1" t="s">
        <v>4125</v>
      </c>
      <c r="D495" s="1" t="s">
        <v>1373</v>
      </c>
      <c r="E495" s="3">
        <v>1.0</v>
      </c>
      <c r="F495" s="3">
        <v>1.0</v>
      </c>
      <c r="G495" s="1" t="s">
        <v>23</v>
      </c>
    </row>
    <row r="496" ht="12.75" customHeight="1">
      <c r="A496" s="1">
        <v>0.0</v>
      </c>
      <c r="B496" s="2" t="s">
        <v>5686</v>
      </c>
      <c r="C496" s="1" t="s">
        <v>5687</v>
      </c>
      <c r="D496" s="1" t="s">
        <v>5195</v>
      </c>
      <c r="E496" s="3">
        <v>1.0</v>
      </c>
      <c r="F496" s="3">
        <v>1.0</v>
      </c>
      <c r="G496" s="1" t="s">
        <v>23</v>
      </c>
    </row>
    <row r="497" ht="12.75" customHeight="1">
      <c r="A497" s="1">
        <v>0.0</v>
      </c>
      <c r="B497" s="2" t="s">
        <v>5688</v>
      </c>
      <c r="C497" s="1" t="s">
        <v>5689</v>
      </c>
      <c r="D497" s="1" t="s">
        <v>5195</v>
      </c>
      <c r="E497" s="3">
        <v>1.0</v>
      </c>
      <c r="F497" s="3">
        <v>1.0</v>
      </c>
      <c r="G497" s="1" t="s">
        <v>23</v>
      </c>
    </row>
    <row r="498" ht="12.75" customHeight="1">
      <c r="A498" s="1">
        <v>0.0</v>
      </c>
      <c r="B498" s="2" t="s">
        <v>5690</v>
      </c>
      <c r="C498" s="1" t="s">
        <v>5691</v>
      </c>
      <c r="D498" s="1" t="s">
        <v>5692</v>
      </c>
      <c r="E498" s="3">
        <v>1.0</v>
      </c>
      <c r="F498" s="3">
        <v>1.0</v>
      </c>
      <c r="G498" s="1" t="s">
        <v>23</v>
      </c>
    </row>
    <row r="499" ht="12.75" customHeight="1">
      <c r="A499" s="1">
        <v>0.0</v>
      </c>
      <c r="B499" s="2" t="s">
        <v>5693</v>
      </c>
      <c r="C499" s="1" t="s">
        <v>5694</v>
      </c>
      <c r="D499" s="1" t="s">
        <v>5195</v>
      </c>
      <c r="E499" s="3">
        <v>1.0</v>
      </c>
      <c r="F499" s="3">
        <v>1.0</v>
      </c>
      <c r="G499" s="1" t="s">
        <v>23</v>
      </c>
    </row>
    <row r="500" ht="12.75" customHeight="1">
      <c r="A500" s="1">
        <v>0.0</v>
      </c>
      <c r="B500" s="2" t="s">
        <v>5695</v>
      </c>
      <c r="C500" s="1" t="s">
        <v>5696</v>
      </c>
      <c r="D500" s="1" t="s">
        <v>5692</v>
      </c>
      <c r="E500" s="3">
        <v>1.0</v>
      </c>
      <c r="F500" s="3">
        <v>1.0</v>
      </c>
      <c r="G500" s="1" t="s">
        <v>23</v>
      </c>
    </row>
    <row r="501" ht="12.75" customHeight="1">
      <c r="A501" s="1">
        <v>0.0</v>
      </c>
      <c r="B501" s="2" t="s">
        <v>5697</v>
      </c>
      <c r="C501" s="1" t="s">
        <v>5698</v>
      </c>
      <c r="D501" s="1" t="s">
        <v>5699</v>
      </c>
      <c r="E501" s="3">
        <v>1.0</v>
      </c>
      <c r="F501" s="3">
        <v>1.0</v>
      </c>
      <c r="G501" s="1" t="s">
        <v>23</v>
      </c>
    </row>
    <row r="502" ht="12.75" customHeight="1">
      <c r="A502" s="1">
        <v>0.0</v>
      </c>
      <c r="B502" s="2" t="s">
        <v>5700</v>
      </c>
      <c r="C502" s="1" t="s">
        <v>3477</v>
      </c>
      <c r="D502" s="1" t="s">
        <v>2625</v>
      </c>
      <c r="E502" s="3">
        <v>1.0</v>
      </c>
      <c r="F502" s="3">
        <v>1.0</v>
      </c>
      <c r="G502" s="1" t="s">
        <v>23</v>
      </c>
    </row>
    <row r="503" ht="12.75" customHeight="1">
      <c r="A503" s="1">
        <v>0.0</v>
      </c>
      <c r="B503" s="2" t="s">
        <v>5701</v>
      </c>
      <c r="C503" s="1" t="s">
        <v>5702</v>
      </c>
      <c r="D503" s="1" t="s">
        <v>5703</v>
      </c>
      <c r="E503" s="3">
        <v>1.0</v>
      </c>
      <c r="F503" s="3">
        <v>1.0</v>
      </c>
      <c r="G503" s="1" t="s">
        <v>23</v>
      </c>
    </row>
    <row r="504" ht="12.75" customHeight="1">
      <c r="A504" s="1">
        <v>0.0</v>
      </c>
      <c r="B504" s="2" t="s">
        <v>4395</v>
      </c>
      <c r="C504" s="1" t="s">
        <v>4396</v>
      </c>
      <c r="D504" s="1" t="s">
        <v>4397</v>
      </c>
      <c r="E504" s="3">
        <v>1.0</v>
      </c>
      <c r="F504" s="3">
        <v>1.0</v>
      </c>
      <c r="G504" s="1" t="s">
        <v>23</v>
      </c>
    </row>
    <row r="505" ht="12.75" customHeight="1">
      <c r="A505" s="1">
        <v>0.0</v>
      </c>
      <c r="B505" s="2" t="s">
        <v>4126</v>
      </c>
      <c r="C505" s="1" t="s">
        <v>4127</v>
      </c>
      <c r="D505" s="1" t="s">
        <v>1373</v>
      </c>
      <c r="E505" s="3">
        <v>1.0</v>
      </c>
      <c r="F505" s="3">
        <v>1.0</v>
      </c>
      <c r="G505" s="1" t="s">
        <v>23</v>
      </c>
    </row>
    <row r="506" ht="12.75" customHeight="1">
      <c r="A506" s="1">
        <v>0.0</v>
      </c>
      <c r="B506" s="2" t="s">
        <v>5704</v>
      </c>
      <c r="C506" s="1" t="s">
        <v>5705</v>
      </c>
      <c r="D506" s="1" t="s">
        <v>5230</v>
      </c>
      <c r="E506" s="3">
        <v>1.0</v>
      </c>
      <c r="F506" s="3">
        <v>1.0</v>
      </c>
      <c r="G506" s="1" t="s">
        <v>23</v>
      </c>
    </row>
    <row r="507" ht="12.75" customHeight="1">
      <c r="A507" s="1">
        <v>0.0</v>
      </c>
      <c r="B507" s="2" t="s">
        <v>5706</v>
      </c>
      <c r="C507" s="1" t="s">
        <v>3946</v>
      </c>
      <c r="D507" s="1" t="s">
        <v>5707</v>
      </c>
      <c r="E507" s="3">
        <v>1.0</v>
      </c>
      <c r="F507" s="3">
        <v>1.0</v>
      </c>
      <c r="G507" s="1" t="s">
        <v>23</v>
      </c>
    </row>
    <row r="508" ht="12.75" customHeight="1">
      <c r="A508" s="1">
        <v>0.0</v>
      </c>
      <c r="B508" s="2" t="s">
        <v>5708</v>
      </c>
      <c r="C508" s="1" t="s">
        <v>5709</v>
      </c>
      <c r="D508" s="1" t="s">
        <v>5195</v>
      </c>
      <c r="E508" s="3">
        <v>1.0</v>
      </c>
      <c r="F508" s="3">
        <v>1.0</v>
      </c>
      <c r="G508" s="1" t="s">
        <v>23</v>
      </c>
    </row>
    <row r="509" ht="12.75" customHeight="1">
      <c r="A509" s="1">
        <v>0.0</v>
      </c>
      <c r="B509" s="2" t="s">
        <v>5710</v>
      </c>
      <c r="C509" s="1" t="s">
        <v>5711</v>
      </c>
      <c r="D509" s="1" t="s">
        <v>5195</v>
      </c>
      <c r="E509" s="3">
        <v>1.0</v>
      </c>
      <c r="F509" s="3">
        <v>1.0</v>
      </c>
      <c r="G509" s="1" t="s">
        <v>23</v>
      </c>
    </row>
    <row r="510" ht="12.75" customHeight="1">
      <c r="A510" s="1">
        <v>0.0</v>
      </c>
      <c r="B510" s="2" t="s">
        <v>4128</v>
      </c>
      <c r="C510" s="1" t="s">
        <v>4129</v>
      </c>
      <c r="D510" s="1" t="s">
        <v>1373</v>
      </c>
      <c r="E510" s="3">
        <v>1.0</v>
      </c>
      <c r="F510" s="3">
        <v>1.0</v>
      </c>
      <c r="G510" s="1" t="s">
        <v>23</v>
      </c>
    </row>
    <row r="511" ht="12.75" customHeight="1">
      <c r="A511" s="1">
        <v>0.0</v>
      </c>
      <c r="B511" s="2" t="s">
        <v>5712</v>
      </c>
      <c r="C511" s="1" t="s">
        <v>5713</v>
      </c>
      <c r="D511" s="1" t="s">
        <v>5195</v>
      </c>
      <c r="E511" s="3">
        <v>1.0</v>
      </c>
      <c r="F511" s="3">
        <v>1.0</v>
      </c>
      <c r="G511" s="1" t="s">
        <v>23</v>
      </c>
    </row>
    <row r="512" ht="12.75" customHeight="1">
      <c r="A512" s="1">
        <v>0.0</v>
      </c>
      <c r="B512" s="2" t="s">
        <v>5714</v>
      </c>
      <c r="C512" s="1" t="s">
        <v>5715</v>
      </c>
      <c r="D512" s="1" t="s">
        <v>5716</v>
      </c>
      <c r="E512" s="3">
        <v>1.0</v>
      </c>
      <c r="F512" s="3">
        <v>1.0</v>
      </c>
      <c r="G512" s="1" t="s">
        <v>23</v>
      </c>
    </row>
    <row r="513" ht="12.75" customHeight="1">
      <c r="A513" s="1">
        <v>0.0</v>
      </c>
      <c r="B513" s="2" t="s">
        <v>4424</v>
      </c>
      <c r="C513" s="1" t="s">
        <v>4425</v>
      </c>
      <c r="D513" s="1" t="s">
        <v>4426</v>
      </c>
      <c r="E513" s="3">
        <v>1.0</v>
      </c>
      <c r="F513" s="3">
        <v>1.0</v>
      </c>
      <c r="G513" s="1" t="s">
        <v>23</v>
      </c>
    </row>
    <row r="514" ht="12.75" customHeight="1">
      <c r="A514" s="1">
        <v>0.0</v>
      </c>
      <c r="B514" s="2" t="s">
        <v>4220</v>
      </c>
      <c r="C514" s="1" t="s">
        <v>4221</v>
      </c>
      <c r="D514" s="1" t="s">
        <v>2219</v>
      </c>
      <c r="E514" s="3">
        <v>1.0</v>
      </c>
      <c r="F514" s="3">
        <v>1.0</v>
      </c>
      <c r="G514" s="1" t="s">
        <v>23</v>
      </c>
    </row>
    <row r="515" ht="12.75" customHeight="1">
      <c r="A515" s="1">
        <v>0.0</v>
      </c>
      <c r="B515" s="2" t="s">
        <v>5717</v>
      </c>
      <c r="C515" s="1" t="s">
        <v>5718</v>
      </c>
      <c r="D515" s="1" t="s">
        <v>5719</v>
      </c>
      <c r="E515" s="3">
        <v>1.0</v>
      </c>
      <c r="F515" s="3">
        <v>1.0</v>
      </c>
      <c r="G515" s="1" t="s">
        <v>23</v>
      </c>
    </row>
    <row r="516" ht="12.75" customHeight="1">
      <c r="A516" s="1">
        <v>0.0</v>
      </c>
      <c r="B516" s="2" t="s">
        <v>5720</v>
      </c>
      <c r="C516" s="1" t="s">
        <v>5721</v>
      </c>
      <c r="D516" s="1" t="s">
        <v>5722</v>
      </c>
      <c r="E516" s="3">
        <v>1.0</v>
      </c>
      <c r="F516" s="3">
        <v>1.0</v>
      </c>
      <c r="G516" s="1" t="s">
        <v>23</v>
      </c>
    </row>
    <row r="517" ht="12.75" customHeight="1">
      <c r="A517" s="1">
        <v>0.0</v>
      </c>
      <c r="B517" s="2" t="s">
        <v>5723</v>
      </c>
      <c r="C517" s="1" t="s">
        <v>5724</v>
      </c>
      <c r="D517" s="1" t="s">
        <v>5725</v>
      </c>
      <c r="E517" s="3">
        <v>1.0</v>
      </c>
      <c r="F517" s="3">
        <v>1.0</v>
      </c>
      <c r="G517" s="1" t="s">
        <v>23</v>
      </c>
    </row>
    <row r="518" ht="12.75" customHeight="1">
      <c r="A518" s="1">
        <v>0.0</v>
      </c>
      <c r="B518" s="2" t="s">
        <v>4130</v>
      </c>
      <c r="C518" s="1" t="s">
        <v>2946</v>
      </c>
      <c r="D518" s="1" t="s">
        <v>1373</v>
      </c>
      <c r="E518" s="3">
        <v>1.0</v>
      </c>
      <c r="F518" s="3">
        <v>1.0</v>
      </c>
      <c r="G518" s="1" t="s">
        <v>23</v>
      </c>
    </row>
    <row r="519" ht="12.75" customHeight="1">
      <c r="A519" s="1">
        <v>0.0</v>
      </c>
      <c r="B519" s="2" t="s">
        <v>5726</v>
      </c>
      <c r="C519" s="1" t="s">
        <v>5727</v>
      </c>
      <c r="D519" s="1" t="s">
        <v>5728</v>
      </c>
      <c r="E519" s="3">
        <v>1.0</v>
      </c>
      <c r="F519" s="3">
        <v>1.0</v>
      </c>
      <c r="G519" s="1" t="s">
        <v>23</v>
      </c>
    </row>
    <row r="520" ht="12.75" customHeight="1">
      <c r="A520" s="1">
        <v>0.0</v>
      </c>
      <c r="B520" s="2" t="s">
        <v>5729</v>
      </c>
      <c r="C520" s="1" t="s">
        <v>5730</v>
      </c>
      <c r="D520" s="1" t="s">
        <v>5731</v>
      </c>
      <c r="E520" s="3">
        <v>1.0</v>
      </c>
      <c r="F520" s="3">
        <v>1.0</v>
      </c>
      <c r="G520" s="1" t="s">
        <v>23</v>
      </c>
    </row>
    <row r="521" ht="12.75" customHeight="1">
      <c r="A521" s="1">
        <v>0.0</v>
      </c>
      <c r="B521" s="2" t="s">
        <v>5732</v>
      </c>
      <c r="C521" s="1" t="s">
        <v>5733</v>
      </c>
      <c r="D521" s="1" t="s">
        <v>5195</v>
      </c>
      <c r="E521" s="3">
        <v>1.0</v>
      </c>
      <c r="F521" s="3">
        <v>1.0</v>
      </c>
      <c r="G521" s="1" t="s">
        <v>23</v>
      </c>
    </row>
    <row r="522" ht="12.75" customHeight="1">
      <c r="A522" s="1">
        <v>0.0</v>
      </c>
      <c r="B522" s="2" t="s">
        <v>5734</v>
      </c>
      <c r="C522" s="1" t="s">
        <v>5735</v>
      </c>
      <c r="D522" s="1" t="s">
        <v>5195</v>
      </c>
      <c r="E522" s="3">
        <v>1.0</v>
      </c>
      <c r="F522" s="3">
        <v>1.0</v>
      </c>
      <c r="G522" s="1" t="s">
        <v>23</v>
      </c>
    </row>
    <row r="523" ht="12.75" customHeight="1">
      <c r="A523" s="1">
        <v>0.0</v>
      </c>
      <c r="B523" s="2" t="s">
        <v>4271</v>
      </c>
      <c r="C523" s="1" t="s">
        <v>4272</v>
      </c>
      <c r="D523" s="1" t="s">
        <v>164</v>
      </c>
      <c r="E523" s="3">
        <v>1.0</v>
      </c>
      <c r="F523" s="3">
        <v>1.0</v>
      </c>
      <c r="G523" s="1" t="s">
        <v>23</v>
      </c>
    </row>
    <row r="524" ht="12.75" customHeight="1">
      <c r="A524" s="1">
        <v>0.0</v>
      </c>
      <c r="B524" s="2" t="s">
        <v>5736</v>
      </c>
      <c r="C524" s="1" t="s">
        <v>5737</v>
      </c>
      <c r="D524" s="1" t="s">
        <v>5658</v>
      </c>
      <c r="E524" s="3">
        <v>1.0</v>
      </c>
      <c r="F524" s="3">
        <v>1.0</v>
      </c>
      <c r="G524" s="1" t="s">
        <v>23</v>
      </c>
    </row>
    <row r="525" ht="12.75" customHeight="1">
      <c r="A525" s="1">
        <v>0.0</v>
      </c>
      <c r="B525" s="2" t="s">
        <v>4095</v>
      </c>
      <c r="C525" s="1" t="s">
        <v>4096</v>
      </c>
      <c r="D525" s="1" t="s">
        <v>4097</v>
      </c>
      <c r="E525" s="3">
        <v>1.0</v>
      </c>
      <c r="F525" s="3">
        <v>1.0</v>
      </c>
      <c r="G525" s="1" t="s">
        <v>23</v>
      </c>
    </row>
    <row r="526" ht="12.75" customHeight="1">
      <c r="A526" s="1">
        <v>0.0</v>
      </c>
      <c r="B526" s="2" t="s">
        <v>5738</v>
      </c>
      <c r="C526" s="1" t="s">
        <v>5739</v>
      </c>
      <c r="D526" s="1" t="s">
        <v>5740</v>
      </c>
      <c r="E526" s="3">
        <v>1.0</v>
      </c>
      <c r="F526" s="3">
        <v>1.0</v>
      </c>
      <c r="G526" s="1" t="s">
        <v>23</v>
      </c>
    </row>
    <row r="527" ht="12.75" customHeight="1">
      <c r="A527" s="1">
        <v>0.0</v>
      </c>
      <c r="B527" s="2" t="s">
        <v>5741</v>
      </c>
      <c r="C527" s="1" t="s">
        <v>4806</v>
      </c>
      <c r="D527" s="1" t="s">
        <v>5742</v>
      </c>
      <c r="E527" s="3">
        <v>1.0</v>
      </c>
      <c r="F527" s="3">
        <v>1.0</v>
      </c>
      <c r="G527" s="1" t="s">
        <v>23</v>
      </c>
    </row>
    <row r="528" ht="12.75" customHeight="1">
      <c r="A528" s="1">
        <v>0.0</v>
      </c>
      <c r="B528" s="2" t="s">
        <v>5743</v>
      </c>
      <c r="C528" s="1" t="s">
        <v>5744</v>
      </c>
      <c r="D528" s="1" t="s">
        <v>5195</v>
      </c>
      <c r="E528" s="3">
        <v>1.0</v>
      </c>
      <c r="F528" s="3">
        <v>1.0</v>
      </c>
      <c r="G528" s="1" t="s">
        <v>23</v>
      </c>
    </row>
    <row r="529" ht="12.75" customHeight="1">
      <c r="A529" s="1">
        <v>0.0</v>
      </c>
      <c r="B529" s="2" t="s">
        <v>5745</v>
      </c>
      <c r="C529" s="1" t="s">
        <v>5746</v>
      </c>
      <c r="D529" s="1" t="s">
        <v>5747</v>
      </c>
      <c r="E529" s="3">
        <v>1.0</v>
      </c>
      <c r="F529" s="3">
        <v>1.0</v>
      </c>
      <c r="G529" s="1" t="s">
        <v>23</v>
      </c>
    </row>
    <row r="530" ht="12.75" customHeight="1">
      <c r="A530" s="1">
        <v>0.0</v>
      </c>
      <c r="B530" s="2" t="s">
        <v>5748</v>
      </c>
      <c r="C530" s="1" t="s">
        <v>5749</v>
      </c>
      <c r="D530" s="1" t="s">
        <v>2625</v>
      </c>
      <c r="E530" s="3">
        <v>1.0</v>
      </c>
      <c r="F530" s="3">
        <v>1.0</v>
      </c>
      <c r="G530" s="1" t="s">
        <v>23</v>
      </c>
    </row>
    <row r="531" ht="12.75" customHeight="1">
      <c r="A531" s="1">
        <v>0.0</v>
      </c>
      <c r="B531" s="2" t="s">
        <v>5750</v>
      </c>
      <c r="C531" s="1" t="s">
        <v>5751</v>
      </c>
      <c r="D531" s="1" t="s">
        <v>5752</v>
      </c>
      <c r="E531" s="3">
        <v>1.0</v>
      </c>
      <c r="F531" s="3">
        <v>1.0</v>
      </c>
      <c r="G531" s="1" t="s">
        <v>23</v>
      </c>
    </row>
    <row r="532" ht="12.75" customHeight="1">
      <c r="A532" s="1">
        <v>0.0</v>
      </c>
      <c r="B532" s="2" t="s">
        <v>5753</v>
      </c>
      <c r="C532" s="1" t="s">
        <v>5754</v>
      </c>
      <c r="D532" s="1" t="s">
        <v>5195</v>
      </c>
      <c r="E532" s="3">
        <v>1.0</v>
      </c>
      <c r="F532" s="3">
        <v>1.0</v>
      </c>
      <c r="G532" s="1" t="s">
        <v>23</v>
      </c>
    </row>
    <row r="533" ht="12.75" customHeight="1">
      <c r="A533" s="1">
        <v>0.0</v>
      </c>
      <c r="B533" s="2" t="s">
        <v>5755</v>
      </c>
      <c r="C533" s="1" t="s">
        <v>4074</v>
      </c>
      <c r="D533" s="1" t="s">
        <v>5195</v>
      </c>
      <c r="E533" s="3">
        <v>1.0</v>
      </c>
      <c r="F533" s="3">
        <v>1.0</v>
      </c>
      <c r="G533" s="1" t="s">
        <v>23</v>
      </c>
    </row>
    <row r="534" ht="12.75" customHeight="1">
      <c r="A534" s="1">
        <v>0.0</v>
      </c>
      <c r="B534" s="2" t="s">
        <v>5756</v>
      </c>
      <c r="C534" s="1" t="s">
        <v>5757</v>
      </c>
      <c r="D534" s="1" t="s">
        <v>5195</v>
      </c>
      <c r="E534" s="3">
        <v>1.0</v>
      </c>
      <c r="F534" s="3">
        <v>1.0</v>
      </c>
      <c r="G534" s="1" t="s">
        <v>23</v>
      </c>
    </row>
    <row r="535" ht="12.75" customHeight="1">
      <c r="A535" s="1">
        <v>0.0</v>
      </c>
      <c r="B535" s="2" t="s">
        <v>5758</v>
      </c>
      <c r="C535" s="1" t="s">
        <v>5759</v>
      </c>
      <c r="D535" s="1" t="s">
        <v>5195</v>
      </c>
      <c r="E535" s="3">
        <v>1.0</v>
      </c>
      <c r="F535" s="3">
        <v>1.0</v>
      </c>
      <c r="G535" s="1" t="s">
        <v>23</v>
      </c>
    </row>
    <row r="536" ht="12.75" customHeight="1">
      <c r="A536" s="1">
        <v>0.0</v>
      </c>
      <c r="B536" s="2" t="s">
        <v>4131</v>
      </c>
      <c r="C536" s="1" t="s">
        <v>4132</v>
      </c>
      <c r="D536" s="1" t="s">
        <v>1373</v>
      </c>
      <c r="E536" s="3">
        <v>1.0</v>
      </c>
      <c r="F536" s="3">
        <v>1.0</v>
      </c>
      <c r="G536" s="1" t="s">
        <v>23</v>
      </c>
    </row>
    <row r="537" ht="12.75" customHeight="1">
      <c r="A537" s="1">
        <v>0.0</v>
      </c>
      <c r="B537" s="2" t="s">
        <v>5760</v>
      </c>
      <c r="C537" s="1" t="s">
        <v>5761</v>
      </c>
      <c r="D537" s="1" t="s">
        <v>5762</v>
      </c>
      <c r="E537" s="3">
        <v>1.0</v>
      </c>
      <c r="F537" s="3">
        <v>1.0</v>
      </c>
      <c r="G537" s="1" t="s">
        <v>23</v>
      </c>
    </row>
    <row r="538" ht="12.75" customHeight="1">
      <c r="A538" s="1">
        <v>0.0</v>
      </c>
      <c r="B538" s="2" t="s">
        <v>4292</v>
      </c>
      <c r="C538" s="1" t="s">
        <v>4293</v>
      </c>
      <c r="D538" s="1" t="s">
        <v>1097</v>
      </c>
      <c r="E538" s="3">
        <v>1.0</v>
      </c>
      <c r="F538" s="3">
        <v>1.0</v>
      </c>
      <c r="G538" s="1" t="s">
        <v>23</v>
      </c>
    </row>
    <row r="539" ht="12.75" customHeight="1">
      <c r="A539" s="1">
        <v>0.0</v>
      </c>
      <c r="B539" s="2" t="s">
        <v>4222</v>
      </c>
      <c r="C539" s="1" t="s">
        <v>4223</v>
      </c>
      <c r="D539" s="1" t="s">
        <v>2219</v>
      </c>
      <c r="E539" s="3">
        <v>1.0</v>
      </c>
      <c r="F539" s="3">
        <v>1.0</v>
      </c>
      <c r="G539" s="1" t="s">
        <v>23</v>
      </c>
    </row>
    <row r="540" ht="12.75" customHeight="1">
      <c r="A540" s="1">
        <v>0.0</v>
      </c>
      <c r="B540" s="2" t="s">
        <v>5763</v>
      </c>
      <c r="C540" s="1" t="s">
        <v>5764</v>
      </c>
      <c r="D540" s="1" t="s">
        <v>5566</v>
      </c>
      <c r="E540" s="3">
        <v>1.0</v>
      </c>
      <c r="F540" s="3">
        <v>1.0</v>
      </c>
      <c r="G540" s="1" t="s">
        <v>23</v>
      </c>
    </row>
    <row r="541" ht="12.75" customHeight="1">
      <c r="A541" s="1">
        <v>0.0</v>
      </c>
      <c r="B541" s="2" t="s">
        <v>4133</v>
      </c>
      <c r="C541" s="1" t="s">
        <v>4134</v>
      </c>
      <c r="D541" s="1" t="s">
        <v>1373</v>
      </c>
      <c r="E541" s="3">
        <v>1.0</v>
      </c>
      <c r="F541" s="3">
        <v>1.0</v>
      </c>
      <c r="G541" s="1" t="s">
        <v>23</v>
      </c>
    </row>
    <row r="542" ht="12.75" customHeight="1">
      <c r="A542" s="1">
        <v>0.0</v>
      </c>
      <c r="B542" s="2" t="s">
        <v>4184</v>
      </c>
      <c r="C542" s="1" t="s">
        <v>4185</v>
      </c>
      <c r="D542" s="1" t="s">
        <v>4186</v>
      </c>
      <c r="E542" s="3">
        <v>1.0</v>
      </c>
      <c r="F542" s="3">
        <v>1.0</v>
      </c>
      <c r="G542" s="1" t="s">
        <v>23</v>
      </c>
    </row>
    <row r="543" ht="12.75" customHeight="1">
      <c r="A543" s="1">
        <v>0.0</v>
      </c>
      <c r="B543" s="2" t="s">
        <v>4302</v>
      </c>
      <c r="C543" s="1" t="s">
        <v>4303</v>
      </c>
      <c r="D543" s="1" t="s">
        <v>1120</v>
      </c>
      <c r="E543" s="3">
        <v>1.0</v>
      </c>
      <c r="F543" s="3">
        <v>1.0</v>
      </c>
      <c r="G543" s="1" t="s">
        <v>23</v>
      </c>
    </row>
    <row r="544" ht="12.75" customHeight="1">
      <c r="A544" s="1">
        <v>0.0</v>
      </c>
      <c r="B544" s="2" t="s">
        <v>4304</v>
      </c>
      <c r="C544" s="1" t="s">
        <v>4305</v>
      </c>
      <c r="D544" s="1" t="s">
        <v>1120</v>
      </c>
      <c r="E544" s="3">
        <v>1.0</v>
      </c>
      <c r="F544" s="3">
        <v>1.0</v>
      </c>
      <c r="G544" s="1" t="s">
        <v>23</v>
      </c>
    </row>
    <row r="545" ht="12.75" customHeight="1">
      <c r="A545" s="1">
        <v>0.0</v>
      </c>
      <c r="B545" s="2" t="s">
        <v>4135</v>
      </c>
      <c r="C545" s="1" t="s">
        <v>4136</v>
      </c>
      <c r="D545" s="1" t="s">
        <v>1373</v>
      </c>
      <c r="E545" s="3">
        <v>1.0</v>
      </c>
      <c r="F545" s="3">
        <v>1.0</v>
      </c>
      <c r="G545" s="1" t="s">
        <v>23</v>
      </c>
    </row>
    <row r="546" ht="12.75" customHeight="1">
      <c r="A546" s="1">
        <v>0.0</v>
      </c>
      <c r="B546" s="2" t="s">
        <v>5765</v>
      </c>
      <c r="C546" s="1" t="s">
        <v>5766</v>
      </c>
      <c r="D546" s="1" t="s">
        <v>5195</v>
      </c>
      <c r="E546" s="3">
        <v>1.0</v>
      </c>
      <c r="F546" s="3">
        <v>1.0</v>
      </c>
      <c r="G546" s="1" t="s">
        <v>23</v>
      </c>
    </row>
    <row r="547" ht="12.75" customHeight="1">
      <c r="A547" s="1">
        <v>0.0</v>
      </c>
      <c r="B547" s="2" t="s">
        <v>5767</v>
      </c>
      <c r="C547" s="1" t="s">
        <v>5768</v>
      </c>
      <c r="D547" s="1" t="s">
        <v>5707</v>
      </c>
      <c r="E547" s="3">
        <v>1.0</v>
      </c>
      <c r="F547" s="3">
        <v>1.0</v>
      </c>
      <c r="G547" s="1" t="s">
        <v>23</v>
      </c>
    </row>
    <row r="548" ht="12.75" customHeight="1">
      <c r="A548" s="1">
        <v>0.0</v>
      </c>
      <c r="B548" s="2" t="s">
        <v>5769</v>
      </c>
      <c r="C548" s="1" t="s">
        <v>5770</v>
      </c>
      <c r="D548" s="1" t="s">
        <v>5184</v>
      </c>
      <c r="E548" s="3">
        <v>1.0</v>
      </c>
      <c r="F548" s="3">
        <v>1.0</v>
      </c>
      <c r="G548" s="1" t="s">
        <v>23</v>
      </c>
    </row>
    <row r="549" ht="12.75" customHeight="1">
      <c r="A549" s="1">
        <v>0.0</v>
      </c>
      <c r="B549" s="2" t="s">
        <v>5771</v>
      </c>
      <c r="C549" s="1" t="s">
        <v>5772</v>
      </c>
      <c r="D549" s="1" t="s">
        <v>5195</v>
      </c>
      <c r="E549" s="3">
        <v>1.0</v>
      </c>
      <c r="F549" s="3">
        <v>1.0</v>
      </c>
      <c r="G549" s="1" t="s">
        <v>23</v>
      </c>
    </row>
    <row r="550" ht="12.75" customHeight="1">
      <c r="A550" s="1">
        <v>0.0</v>
      </c>
      <c r="B550" s="2" t="s">
        <v>5773</v>
      </c>
      <c r="C550" s="1" t="s">
        <v>5774</v>
      </c>
      <c r="D550" s="1" t="s">
        <v>5775</v>
      </c>
      <c r="E550" s="3">
        <v>1.0</v>
      </c>
      <c r="F550" s="3">
        <v>1.0</v>
      </c>
      <c r="G550" s="1" t="s">
        <v>23</v>
      </c>
    </row>
    <row r="551" ht="12.75" customHeight="1">
      <c r="A551" s="1">
        <v>0.0</v>
      </c>
      <c r="B551" s="2" t="s">
        <v>4298</v>
      </c>
      <c r="C551" s="1" t="s">
        <v>2954</v>
      </c>
      <c r="D551" s="1" t="s">
        <v>4299</v>
      </c>
      <c r="E551" s="3">
        <v>1.0</v>
      </c>
      <c r="F551" s="3">
        <v>1.0</v>
      </c>
      <c r="G551" s="1" t="s">
        <v>23</v>
      </c>
    </row>
    <row r="552" ht="12.75" customHeight="1">
      <c r="A552" s="1">
        <v>0.0</v>
      </c>
      <c r="B552" s="2" t="s">
        <v>5776</v>
      </c>
      <c r="C552" s="1" t="s">
        <v>5777</v>
      </c>
      <c r="D552" s="1" t="s">
        <v>5195</v>
      </c>
      <c r="E552" s="3">
        <v>1.0</v>
      </c>
      <c r="F552" s="3">
        <v>1.0</v>
      </c>
      <c r="G552" s="1" t="s">
        <v>23</v>
      </c>
    </row>
    <row r="553" ht="12.75" customHeight="1">
      <c r="A553" s="1">
        <v>0.0</v>
      </c>
      <c r="B553" s="2" t="s">
        <v>5778</v>
      </c>
      <c r="C553" s="1" t="s">
        <v>5779</v>
      </c>
      <c r="D553" s="1" t="s">
        <v>5184</v>
      </c>
      <c r="E553" s="3">
        <v>1.0</v>
      </c>
      <c r="F553" s="3">
        <v>1.0</v>
      </c>
      <c r="G553" s="1" t="s">
        <v>23</v>
      </c>
    </row>
    <row r="554" ht="12.75" customHeight="1">
      <c r="A554" s="1">
        <v>0.0</v>
      </c>
      <c r="B554" s="2" t="s">
        <v>5780</v>
      </c>
      <c r="C554" s="1" t="s">
        <v>5781</v>
      </c>
      <c r="D554" s="1" t="s">
        <v>5184</v>
      </c>
      <c r="E554" s="3">
        <v>1.0</v>
      </c>
      <c r="F554" s="3">
        <v>1.0</v>
      </c>
      <c r="G554" s="1" t="s">
        <v>23</v>
      </c>
    </row>
    <row r="555" ht="12.75" customHeight="1">
      <c r="A555" s="1">
        <v>0.0</v>
      </c>
      <c r="B555" s="2" t="s">
        <v>5782</v>
      </c>
      <c r="C555" s="1" t="s">
        <v>5783</v>
      </c>
      <c r="D555" s="1" t="s">
        <v>5707</v>
      </c>
      <c r="E555" s="3">
        <v>1.0</v>
      </c>
      <c r="F555" s="3">
        <v>1.0</v>
      </c>
      <c r="G555" s="1" t="s">
        <v>23</v>
      </c>
    </row>
    <row r="556" ht="12.75" customHeight="1">
      <c r="A556" s="1">
        <v>0.0</v>
      </c>
      <c r="B556" s="2" t="s">
        <v>5784</v>
      </c>
      <c r="C556" s="1" t="s">
        <v>4138</v>
      </c>
      <c r="D556" s="1" t="s">
        <v>5184</v>
      </c>
      <c r="E556" s="3">
        <v>1.0</v>
      </c>
      <c r="F556" s="3">
        <v>1.0</v>
      </c>
      <c r="G556" s="1" t="s">
        <v>23</v>
      </c>
    </row>
    <row r="557" ht="12.75" customHeight="1">
      <c r="A557" s="1">
        <v>0.0</v>
      </c>
      <c r="B557" s="2" t="s">
        <v>5785</v>
      </c>
      <c r="C557" s="1" t="s">
        <v>5786</v>
      </c>
      <c r="D557" s="1" t="s">
        <v>5184</v>
      </c>
      <c r="E557" s="3">
        <v>1.0</v>
      </c>
      <c r="F557" s="3">
        <v>1.0</v>
      </c>
      <c r="G557" s="1" t="s">
        <v>23</v>
      </c>
    </row>
    <row r="558" ht="12.75" customHeight="1">
      <c r="A558" s="1">
        <v>0.0</v>
      </c>
      <c r="B558" s="2" t="s">
        <v>5787</v>
      </c>
      <c r="C558" s="1" t="s">
        <v>5633</v>
      </c>
      <c r="D558" s="1" t="s">
        <v>5184</v>
      </c>
      <c r="E558" s="3">
        <v>1.0</v>
      </c>
      <c r="F558" s="3">
        <v>1.0</v>
      </c>
      <c r="G558" s="1" t="s">
        <v>23</v>
      </c>
    </row>
    <row r="559" ht="12.75" customHeight="1">
      <c r="A559" s="1">
        <v>0.0</v>
      </c>
      <c r="B559" s="2" t="s">
        <v>5788</v>
      </c>
      <c r="C559" s="1" t="s">
        <v>5789</v>
      </c>
      <c r="D559" s="1" t="s">
        <v>5184</v>
      </c>
      <c r="E559" s="3">
        <v>1.0</v>
      </c>
      <c r="F559" s="3">
        <v>1.0</v>
      </c>
      <c r="G559" s="1" t="s">
        <v>23</v>
      </c>
    </row>
    <row r="560" ht="12.75" customHeight="1">
      <c r="A560" s="1">
        <v>0.0</v>
      </c>
      <c r="B560" s="2" t="s">
        <v>5790</v>
      </c>
      <c r="C560" s="1" t="s">
        <v>5229</v>
      </c>
      <c r="D560" s="1" t="s">
        <v>5791</v>
      </c>
      <c r="E560" s="3">
        <v>1.0</v>
      </c>
      <c r="F560" s="3">
        <v>1.0</v>
      </c>
      <c r="G560" s="1" t="s">
        <v>23</v>
      </c>
    </row>
    <row r="561" ht="12.75" customHeight="1">
      <c r="A561" s="1">
        <v>0.0</v>
      </c>
      <c r="B561" s="2" t="s">
        <v>5792</v>
      </c>
      <c r="C561" s="1" t="s">
        <v>1952</v>
      </c>
      <c r="D561" s="1" t="s">
        <v>5195</v>
      </c>
      <c r="E561" s="3">
        <v>1.0</v>
      </c>
      <c r="F561" s="3">
        <v>1.0</v>
      </c>
      <c r="G561" s="1" t="s">
        <v>23</v>
      </c>
    </row>
    <row r="562" ht="12.75" customHeight="1">
      <c r="A562" s="1">
        <v>0.0</v>
      </c>
      <c r="B562" s="2" t="s">
        <v>5793</v>
      </c>
      <c r="C562" s="1" t="s">
        <v>5794</v>
      </c>
      <c r="D562" s="1" t="s">
        <v>5195</v>
      </c>
      <c r="E562" s="3">
        <v>1.0</v>
      </c>
      <c r="F562" s="3">
        <v>1.0</v>
      </c>
      <c r="G562" s="1" t="s">
        <v>23</v>
      </c>
    </row>
    <row r="563" ht="12.75" customHeight="1">
      <c r="A563" s="1">
        <v>0.0</v>
      </c>
      <c r="B563" s="2" t="s">
        <v>5795</v>
      </c>
      <c r="C563" s="1" t="s">
        <v>5796</v>
      </c>
      <c r="D563" s="1" t="s">
        <v>5195</v>
      </c>
      <c r="E563" s="3">
        <v>1.0</v>
      </c>
      <c r="F563" s="3">
        <v>1.0</v>
      </c>
      <c r="G563" s="1" t="s">
        <v>23</v>
      </c>
    </row>
    <row r="564" ht="12.75" customHeight="1">
      <c r="A564" s="1">
        <v>0.0</v>
      </c>
      <c r="B564" s="2" t="s">
        <v>5797</v>
      </c>
      <c r="C564" s="1" t="s">
        <v>5798</v>
      </c>
      <c r="D564" s="1" t="s">
        <v>5195</v>
      </c>
      <c r="E564" s="3">
        <v>1.0</v>
      </c>
      <c r="F564" s="3">
        <v>1.0</v>
      </c>
      <c r="G564" s="1" t="s">
        <v>23</v>
      </c>
    </row>
    <row r="565" ht="12.75" customHeight="1">
      <c r="A565" s="1">
        <v>0.0</v>
      </c>
      <c r="B565" s="2" t="s">
        <v>5799</v>
      </c>
      <c r="C565" s="1" t="s">
        <v>5800</v>
      </c>
      <c r="D565" s="1" t="s">
        <v>5195</v>
      </c>
      <c r="E565" s="3">
        <v>1.0</v>
      </c>
      <c r="F565" s="3">
        <v>1.0</v>
      </c>
      <c r="G565" s="1" t="s">
        <v>23</v>
      </c>
    </row>
    <row r="566" ht="12.75" customHeight="1">
      <c r="A566" s="1">
        <v>0.0</v>
      </c>
      <c r="B566" s="2" t="s">
        <v>4344</v>
      </c>
      <c r="C566" s="1" t="s">
        <v>4345</v>
      </c>
      <c r="D566" s="1" t="s">
        <v>4346</v>
      </c>
      <c r="E566" s="3">
        <v>1.0</v>
      </c>
      <c r="F566" s="3">
        <v>1.0</v>
      </c>
      <c r="G566" s="1" t="s">
        <v>23</v>
      </c>
    </row>
    <row r="567" ht="12.75" customHeight="1">
      <c r="A567" s="1">
        <v>0.0</v>
      </c>
      <c r="B567" s="2" t="s">
        <v>4187</v>
      </c>
      <c r="C567" s="1" t="s">
        <v>4188</v>
      </c>
      <c r="D567" s="1" t="s">
        <v>4189</v>
      </c>
      <c r="E567" s="3">
        <v>1.0</v>
      </c>
      <c r="F567" s="3">
        <v>1.0</v>
      </c>
      <c r="G567" s="1" t="s">
        <v>23</v>
      </c>
    </row>
    <row r="568" ht="12.75" customHeight="1">
      <c r="A568" s="1">
        <v>0.0</v>
      </c>
      <c r="B568" s="2" t="s">
        <v>4224</v>
      </c>
      <c r="C568" s="1" t="s">
        <v>4225</v>
      </c>
      <c r="D568" s="1" t="s">
        <v>2219</v>
      </c>
      <c r="E568" s="3">
        <v>1.0</v>
      </c>
      <c r="F568" s="3">
        <v>1.0</v>
      </c>
      <c r="G568" s="1" t="s">
        <v>23</v>
      </c>
    </row>
    <row r="569" ht="12.75" customHeight="1">
      <c r="A569" s="1">
        <v>0.0</v>
      </c>
      <c r="B569" s="2" t="s">
        <v>5801</v>
      </c>
      <c r="C569" s="1" t="s">
        <v>5802</v>
      </c>
      <c r="D569" s="1" t="s">
        <v>5184</v>
      </c>
      <c r="E569" s="3">
        <v>1.0</v>
      </c>
      <c r="F569" s="3">
        <v>1.0</v>
      </c>
      <c r="G569" s="1" t="s">
        <v>23</v>
      </c>
    </row>
    <row r="570" ht="12.75" customHeight="1">
      <c r="A570" s="1">
        <v>0.0</v>
      </c>
      <c r="B570" s="2" t="s">
        <v>5803</v>
      </c>
      <c r="C570" s="1" t="s">
        <v>5804</v>
      </c>
      <c r="D570" s="1" t="s">
        <v>5184</v>
      </c>
      <c r="E570" s="3">
        <v>1.0</v>
      </c>
      <c r="F570" s="3">
        <v>1.0</v>
      </c>
      <c r="G570" s="1" t="s">
        <v>23</v>
      </c>
    </row>
    <row r="571" ht="12.75" customHeight="1">
      <c r="A571" s="1">
        <v>0.0</v>
      </c>
      <c r="B571" s="2" t="s">
        <v>5805</v>
      </c>
      <c r="C571" s="1" t="s">
        <v>5806</v>
      </c>
      <c r="D571" s="1" t="s">
        <v>5195</v>
      </c>
      <c r="E571" s="3">
        <v>1.0</v>
      </c>
      <c r="F571" s="3">
        <v>1.0</v>
      </c>
      <c r="G571" s="1" t="s">
        <v>23</v>
      </c>
    </row>
    <row r="572" ht="12.75" customHeight="1">
      <c r="A572" s="1">
        <v>0.0</v>
      </c>
      <c r="B572" s="2" t="s">
        <v>5807</v>
      </c>
      <c r="C572" s="1" t="s">
        <v>5808</v>
      </c>
      <c r="D572" s="1" t="s">
        <v>5195</v>
      </c>
      <c r="E572" s="3">
        <v>1.0</v>
      </c>
      <c r="F572" s="3">
        <v>1.0</v>
      </c>
      <c r="G572" s="1" t="s">
        <v>23</v>
      </c>
    </row>
    <row r="573" ht="12.75" customHeight="1">
      <c r="A573" s="1">
        <v>0.0</v>
      </c>
      <c r="B573" s="2" t="s">
        <v>5809</v>
      </c>
      <c r="C573" s="1" t="s">
        <v>5810</v>
      </c>
      <c r="D573" s="1" t="s">
        <v>5707</v>
      </c>
      <c r="E573" s="3">
        <v>1.0</v>
      </c>
      <c r="F573" s="3">
        <v>1.0</v>
      </c>
      <c r="G573" s="1" t="s">
        <v>23</v>
      </c>
    </row>
    <row r="574" ht="12.75" customHeight="1">
      <c r="A574" s="1">
        <v>0.0</v>
      </c>
      <c r="B574" s="2" t="s">
        <v>4294</v>
      </c>
      <c r="C574" s="1" t="s">
        <v>4295</v>
      </c>
      <c r="D574" s="1" t="s">
        <v>1097</v>
      </c>
      <c r="E574" s="3">
        <v>1.0</v>
      </c>
      <c r="F574" s="3">
        <v>1.0</v>
      </c>
      <c r="G574" s="1" t="s">
        <v>23</v>
      </c>
    </row>
    <row r="575" ht="12.75" customHeight="1">
      <c r="A575" s="1">
        <v>0.0</v>
      </c>
      <c r="B575" s="2" t="s">
        <v>5811</v>
      </c>
      <c r="C575" s="1" t="s">
        <v>5812</v>
      </c>
      <c r="D575" s="1" t="s">
        <v>5813</v>
      </c>
      <c r="E575" s="3">
        <v>1.0</v>
      </c>
      <c r="F575" s="3">
        <v>1.0</v>
      </c>
      <c r="G575" s="1" t="s">
        <v>23</v>
      </c>
    </row>
    <row r="576" ht="12.75" customHeight="1">
      <c r="A576" s="1">
        <v>0.0</v>
      </c>
      <c r="B576" s="2" t="s">
        <v>5814</v>
      </c>
      <c r="C576" s="1" t="s">
        <v>5815</v>
      </c>
      <c r="D576" s="1" t="s">
        <v>5670</v>
      </c>
      <c r="E576" s="3">
        <v>1.0</v>
      </c>
      <c r="F576" s="3">
        <v>1.0</v>
      </c>
      <c r="G576" s="1" t="s">
        <v>23</v>
      </c>
    </row>
    <row r="577" ht="12.75" customHeight="1">
      <c r="A577" s="1">
        <v>0.0</v>
      </c>
      <c r="B577" s="2" t="s">
        <v>5816</v>
      </c>
      <c r="C577" s="1" t="s">
        <v>5817</v>
      </c>
      <c r="D577" s="1" t="s">
        <v>5195</v>
      </c>
      <c r="E577" s="3">
        <v>1.0</v>
      </c>
      <c r="F577" s="3">
        <v>1.0</v>
      </c>
      <c r="G577" s="1" t="s">
        <v>23</v>
      </c>
    </row>
    <row r="578" ht="12.75" customHeight="1">
      <c r="A578" s="1">
        <v>0.0</v>
      </c>
      <c r="B578" s="2" t="s">
        <v>5818</v>
      </c>
      <c r="C578" s="1" t="s">
        <v>5819</v>
      </c>
      <c r="D578" s="1" t="s">
        <v>5195</v>
      </c>
      <c r="E578" s="3">
        <v>1.0</v>
      </c>
      <c r="F578" s="3">
        <v>1.0</v>
      </c>
      <c r="G578" s="1" t="s">
        <v>23</v>
      </c>
    </row>
    <row r="579" ht="12.75" customHeight="1">
      <c r="A579" s="1">
        <v>0.0</v>
      </c>
      <c r="B579" s="2" t="s">
        <v>5820</v>
      </c>
      <c r="C579" s="1" t="s">
        <v>5821</v>
      </c>
      <c r="D579" s="1" t="s">
        <v>5184</v>
      </c>
      <c r="E579" s="3">
        <v>1.0</v>
      </c>
      <c r="F579" s="3">
        <v>1.0</v>
      </c>
      <c r="G579" s="1" t="s">
        <v>23</v>
      </c>
    </row>
    <row r="580" ht="12.75" customHeight="1">
      <c r="A580" s="1">
        <v>0.0</v>
      </c>
      <c r="B580" s="2" t="s">
        <v>5822</v>
      </c>
      <c r="C580" s="1" t="s">
        <v>3762</v>
      </c>
      <c r="D580" s="1" t="s">
        <v>5195</v>
      </c>
      <c r="E580" s="3">
        <v>1.0</v>
      </c>
      <c r="F580" s="3">
        <v>1.0</v>
      </c>
      <c r="G580" s="1" t="s">
        <v>23</v>
      </c>
    </row>
    <row r="581" ht="12.75" customHeight="1">
      <c r="A581" s="1">
        <v>0.0</v>
      </c>
      <c r="B581" s="2" t="s">
        <v>5823</v>
      </c>
      <c r="C581" s="1" t="s">
        <v>5824</v>
      </c>
      <c r="D581" s="1" t="s">
        <v>5195</v>
      </c>
      <c r="E581" s="3">
        <v>1.0</v>
      </c>
      <c r="F581" s="3">
        <v>1.0</v>
      </c>
      <c r="G581" s="1" t="s">
        <v>23</v>
      </c>
    </row>
    <row r="582" ht="12.75" customHeight="1">
      <c r="A582" s="1">
        <v>0.0</v>
      </c>
      <c r="B582" s="2" t="s">
        <v>4327</v>
      </c>
      <c r="C582" s="1" t="s">
        <v>4328</v>
      </c>
      <c r="D582" s="1" t="s">
        <v>4329</v>
      </c>
      <c r="E582" s="3">
        <v>1.0</v>
      </c>
      <c r="F582" s="3">
        <v>1.0</v>
      </c>
      <c r="G582" s="1" t="s">
        <v>23</v>
      </c>
    </row>
    <row r="583" ht="12.75" customHeight="1">
      <c r="A583" s="1">
        <v>0.0</v>
      </c>
      <c r="B583" s="2" t="s">
        <v>5825</v>
      </c>
      <c r="C583" s="1" t="s">
        <v>5826</v>
      </c>
      <c r="D583" s="1" t="s">
        <v>5195</v>
      </c>
      <c r="E583" s="3">
        <v>1.0</v>
      </c>
      <c r="F583" s="3">
        <v>1.0</v>
      </c>
      <c r="G583" s="1" t="s">
        <v>23</v>
      </c>
    </row>
    <row r="584" ht="12.75" customHeight="1">
      <c r="A584" s="1">
        <v>0.0</v>
      </c>
      <c r="B584" s="2" t="s">
        <v>5827</v>
      </c>
      <c r="C584" s="1" t="s">
        <v>5828</v>
      </c>
      <c r="D584" s="1" t="s">
        <v>5195</v>
      </c>
      <c r="E584" s="3">
        <v>1.0</v>
      </c>
      <c r="F584" s="3">
        <v>1.0</v>
      </c>
      <c r="G584" s="1" t="s">
        <v>23</v>
      </c>
    </row>
    <row r="585" ht="12.75" customHeight="1">
      <c r="A585" s="1">
        <v>0.0</v>
      </c>
      <c r="B585" s="2" t="s">
        <v>5829</v>
      </c>
      <c r="C585" s="1" t="s">
        <v>5595</v>
      </c>
      <c r="D585" s="1" t="s">
        <v>5195</v>
      </c>
      <c r="E585" s="3">
        <v>1.0</v>
      </c>
      <c r="F585" s="3">
        <v>1.0</v>
      </c>
      <c r="G585" s="1" t="s">
        <v>23</v>
      </c>
    </row>
    <row r="586" ht="12.75" customHeight="1">
      <c r="A586" s="1">
        <v>0.0</v>
      </c>
      <c r="B586" s="2" t="s">
        <v>5830</v>
      </c>
      <c r="C586" s="1" t="s">
        <v>5831</v>
      </c>
      <c r="D586" s="1" t="s">
        <v>5195</v>
      </c>
      <c r="E586" s="3">
        <v>1.0</v>
      </c>
      <c r="F586" s="3">
        <v>1.0</v>
      </c>
      <c r="G586" s="1" t="s">
        <v>23</v>
      </c>
    </row>
    <row r="587" ht="12.75" customHeight="1">
      <c r="A587" s="1">
        <v>0.0</v>
      </c>
      <c r="B587" s="2" t="s">
        <v>5832</v>
      </c>
      <c r="C587" s="1" t="s">
        <v>5833</v>
      </c>
      <c r="D587" s="1" t="s">
        <v>5195</v>
      </c>
      <c r="E587" s="3">
        <v>1.0</v>
      </c>
      <c r="F587" s="3">
        <v>1.0</v>
      </c>
      <c r="G587" s="1" t="s">
        <v>23</v>
      </c>
    </row>
    <row r="588" ht="12.75" customHeight="1">
      <c r="A588" s="1">
        <v>0.0</v>
      </c>
      <c r="B588" s="2" t="s">
        <v>5834</v>
      </c>
      <c r="C588" s="1" t="s">
        <v>4650</v>
      </c>
      <c r="D588" s="1" t="s">
        <v>5195</v>
      </c>
      <c r="E588" s="3">
        <v>1.0</v>
      </c>
      <c r="F588" s="3">
        <v>1.0</v>
      </c>
      <c r="G588" s="1" t="s">
        <v>23</v>
      </c>
    </row>
    <row r="589" ht="12.75" customHeight="1">
      <c r="A589" s="1">
        <v>0.0</v>
      </c>
      <c r="B589" s="2" t="s">
        <v>5835</v>
      </c>
      <c r="C589" s="1" t="s">
        <v>5836</v>
      </c>
      <c r="D589" s="1" t="s">
        <v>5195</v>
      </c>
      <c r="E589" s="3">
        <v>1.0</v>
      </c>
      <c r="F589" s="3">
        <v>1.0</v>
      </c>
      <c r="G589" s="1" t="s">
        <v>23</v>
      </c>
    </row>
    <row r="590" ht="12.75" customHeight="1">
      <c r="A590" s="1">
        <v>0.0</v>
      </c>
      <c r="B590" s="2" t="s">
        <v>5837</v>
      </c>
      <c r="C590" s="1" t="s">
        <v>5838</v>
      </c>
      <c r="D590" s="1" t="s">
        <v>5655</v>
      </c>
      <c r="E590" s="3">
        <v>1.0</v>
      </c>
      <c r="F590" s="3">
        <v>1.0</v>
      </c>
      <c r="G590" s="1" t="s">
        <v>23</v>
      </c>
    </row>
    <row r="591" ht="12.75" customHeight="1">
      <c r="A591" s="1">
        <v>0.0</v>
      </c>
      <c r="B591" s="2" t="s">
        <v>5839</v>
      </c>
      <c r="C591" s="1" t="s">
        <v>5840</v>
      </c>
      <c r="D591" s="1" t="s">
        <v>5195</v>
      </c>
      <c r="E591" s="3">
        <v>1.0</v>
      </c>
      <c r="F591" s="3">
        <v>1.0</v>
      </c>
      <c r="G591" s="1" t="s">
        <v>23</v>
      </c>
    </row>
    <row r="592" ht="12.75" customHeight="1">
      <c r="A592" s="1">
        <v>0.0</v>
      </c>
      <c r="B592" s="2" t="s">
        <v>5841</v>
      </c>
      <c r="C592" s="1" t="s">
        <v>5842</v>
      </c>
      <c r="D592" s="1" t="s">
        <v>5843</v>
      </c>
      <c r="E592" s="3">
        <v>1.0</v>
      </c>
      <c r="F592" s="3">
        <v>1.0</v>
      </c>
      <c r="G592" s="1" t="s">
        <v>23</v>
      </c>
    </row>
    <row r="593" ht="12.75" customHeight="1">
      <c r="A593" s="1">
        <v>0.0</v>
      </c>
      <c r="B593" s="2" t="s">
        <v>5844</v>
      </c>
      <c r="C593" s="1" t="s">
        <v>5845</v>
      </c>
      <c r="D593" s="1" t="s">
        <v>5195</v>
      </c>
      <c r="E593" s="3">
        <v>1.0</v>
      </c>
      <c r="F593" s="3">
        <v>1.0</v>
      </c>
      <c r="G593" s="1" t="s">
        <v>23</v>
      </c>
    </row>
    <row r="594" ht="12.75" customHeight="1">
      <c r="A594" s="1">
        <v>0.0</v>
      </c>
      <c r="B594" s="2" t="s">
        <v>5846</v>
      </c>
      <c r="C594" s="1" t="s">
        <v>5847</v>
      </c>
      <c r="D594" s="1" t="s">
        <v>5195</v>
      </c>
      <c r="E594" s="3">
        <v>1.0</v>
      </c>
      <c r="F594" s="3">
        <v>1.0</v>
      </c>
      <c r="G594" s="1" t="s">
        <v>23</v>
      </c>
    </row>
    <row r="595" ht="12.75" customHeight="1">
      <c r="A595" s="1">
        <v>0.0</v>
      </c>
      <c r="B595" s="2" t="s">
        <v>5848</v>
      </c>
      <c r="C595" s="1" t="s">
        <v>5849</v>
      </c>
      <c r="D595" s="1" t="s">
        <v>5195</v>
      </c>
      <c r="E595" s="3">
        <v>1.0</v>
      </c>
      <c r="F595" s="3">
        <v>1.0</v>
      </c>
      <c r="G595" s="1" t="s">
        <v>23</v>
      </c>
    </row>
    <row r="596" ht="12.75" customHeight="1">
      <c r="A596" s="1">
        <v>0.0</v>
      </c>
      <c r="B596" s="2" t="s">
        <v>5850</v>
      </c>
      <c r="C596" s="1" t="s">
        <v>5851</v>
      </c>
      <c r="D596" s="1" t="s">
        <v>5195</v>
      </c>
      <c r="E596" s="3">
        <v>1.0</v>
      </c>
      <c r="F596" s="3">
        <v>1.0</v>
      </c>
      <c r="G596" s="1" t="s">
        <v>23</v>
      </c>
    </row>
    <row r="597" ht="12.75" customHeight="1">
      <c r="A597" s="1">
        <v>0.0</v>
      </c>
      <c r="B597" s="2" t="s">
        <v>5852</v>
      </c>
      <c r="C597" s="1" t="s">
        <v>5853</v>
      </c>
      <c r="D597" s="1" t="s">
        <v>5195</v>
      </c>
      <c r="E597" s="3">
        <v>1.0</v>
      </c>
      <c r="F597" s="3">
        <v>1.0</v>
      </c>
      <c r="G597" s="1" t="s">
        <v>23</v>
      </c>
    </row>
    <row r="598" ht="12.75" customHeight="1">
      <c r="A598" s="1">
        <v>0.0</v>
      </c>
      <c r="B598" s="2" t="s">
        <v>5854</v>
      </c>
      <c r="C598" s="1" t="s">
        <v>5855</v>
      </c>
      <c r="D598" s="1" t="s">
        <v>5195</v>
      </c>
      <c r="E598" s="3">
        <v>1.0</v>
      </c>
      <c r="F598" s="3">
        <v>1.0</v>
      </c>
      <c r="G598" s="1" t="s">
        <v>23</v>
      </c>
    </row>
    <row r="599" ht="12.75" customHeight="1">
      <c r="A599" s="1">
        <v>0.0</v>
      </c>
      <c r="B599" s="2" t="s">
        <v>5856</v>
      </c>
      <c r="C599" s="1" t="s">
        <v>5857</v>
      </c>
      <c r="D599" s="1" t="s">
        <v>5195</v>
      </c>
      <c r="E599" s="3">
        <v>1.0</v>
      </c>
      <c r="F599" s="3">
        <v>1.0</v>
      </c>
      <c r="G599" s="1" t="s">
        <v>23</v>
      </c>
    </row>
    <row r="600" ht="12.75" customHeight="1">
      <c r="A600" s="1">
        <v>0.0</v>
      </c>
      <c r="B600" s="2" t="s">
        <v>5858</v>
      </c>
      <c r="C600" s="1" t="s">
        <v>5859</v>
      </c>
      <c r="D600" s="1" t="s">
        <v>5195</v>
      </c>
      <c r="E600" s="3">
        <v>1.0</v>
      </c>
      <c r="F600" s="3">
        <v>1.0</v>
      </c>
      <c r="G600" s="1" t="s">
        <v>23</v>
      </c>
    </row>
    <row r="601" ht="12.75" customHeight="1">
      <c r="A601" s="1">
        <v>0.0</v>
      </c>
      <c r="B601" s="2" t="s">
        <v>5860</v>
      </c>
      <c r="C601" s="1" t="s">
        <v>3473</v>
      </c>
      <c r="D601" s="1" t="s">
        <v>5195</v>
      </c>
      <c r="E601" s="3">
        <v>1.0</v>
      </c>
      <c r="F601" s="3">
        <v>1.0</v>
      </c>
      <c r="G601" s="1" t="s">
        <v>23</v>
      </c>
    </row>
    <row r="602" ht="12.75" customHeight="1">
      <c r="A602" s="1">
        <v>0.0</v>
      </c>
      <c r="B602" s="2" t="s">
        <v>5861</v>
      </c>
      <c r="C602" s="1" t="s">
        <v>5862</v>
      </c>
      <c r="D602" s="1" t="s">
        <v>5195</v>
      </c>
      <c r="E602" s="3">
        <v>1.0</v>
      </c>
      <c r="F602" s="3">
        <v>1.0</v>
      </c>
      <c r="G602" s="1" t="s">
        <v>23</v>
      </c>
    </row>
    <row r="603" ht="12.75" customHeight="1">
      <c r="A603" s="1">
        <v>0.0</v>
      </c>
      <c r="B603" s="2" t="s">
        <v>5863</v>
      </c>
      <c r="C603" s="1" t="s">
        <v>5864</v>
      </c>
      <c r="D603" s="1" t="s">
        <v>5195</v>
      </c>
      <c r="E603" s="3">
        <v>1.0</v>
      </c>
      <c r="F603" s="3">
        <v>1.0</v>
      </c>
      <c r="G603" s="1" t="s">
        <v>23</v>
      </c>
    </row>
    <row r="604" ht="12.75" customHeight="1">
      <c r="A604" s="1">
        <v>0.0</v>
      </c>
      <c r="B604" s="2" t="s">
        <v>5865</v>
      </c>
      <c r="C604" s="1" t="s">
        <v>5866</v>
      </c>
      <c r="D604" s="1" t="s">
        <v>5184</v>
      </c>
      <c r="E604" s="3">
        <v>1.0</v>
      </c>
      <c r="F604" s="3">
        <v>1.0</v>
      </c>
      <c r="G604" s="1" t="s">
        <v>23</v>
      </c>
    </row>
    <row r="605" ht="12.75" customHeight="1">
      <c r="A605" s="1">
        <v>0.0</v>
      </c>
      <c r="B605" s="2" t="s">
        <v>5867</v>
      </c>
      <c r="C605" s="1" t="s">
        <v>5868</v>
      </c>
      <c r="D605" s="1" t="s">
        <v>5869</v>
      </c>
      <c r="E605" s="3">
        <v>1.0</v>
      </c>
      <c r="F605" s="3">
        <v>1.0</v>
      </c>
      <c r="G605" s="1" t="s">
        <v>23</v>
      </c>
    </row>
    <row r="606" ht="12.75" customHeight="1">
      <c r="A606" s="1">
        <v>0.0</v>
      </c>
      <c r="B606" s="2" t="s">
        <v>5870</v>
      </c>
      <c r="C606" s="1" t="s">
        <v>5871</v>
      </c>
      <c r="D606" s="1" t="s">
        <v>5195</v>
      </c>
      <c r="E606" s="3">
        <v>1.0</v>
      </c>
      <c r="F606" s="3">
        <v>1.0</v>
      </c>
      <c r="G606" s="1" t="s">
        <v>23</v>
      </c>
    </row>
    <row r="607" ht="12.75" customHeight="1">
      <c r="A607" s="1">
        <v>0.0</v>
      </c>
      <c r="B607" s="2" t="s">
        <v>5872</v>
      </c>
      <c r="C607" s="1" t="s">
        <v>5873</v>
      </c>
      <c r="D607" s="1" t="s">
        <v>5195</v>
      </c>
      <c r="E607" s="3">
        <v>1.0</v>
      </c>
      <c r="F607" s="3">
        <v>1.0</v>
      </c>
      <c r="G607" s="1" t="s">
        <v>23</v>
      </c>
    </row>
    <row r="608" ht="12.75" customHeight="1">
      <c r="A608" s="1">
        <v>0.0</v>
      </c>
      <c r="B608" s="2" t="s">
        <v>5874</v>
      </c>
      <c r="C608" s="1" t="s">
        <v>5875</v>
      </c>
      <c r="D608" s="1" t="s">
        <v>5195</v>
      </c>
      <c r="E608" s="3">
        <v>1.0</v>
      </c>
      <c r="F608" s="3">
        <v>1.0</v>
      </c>
      <c r="G608" s="1" t="s">
        <v>23</v>
      </c>
    </row>
    <row r="609" ht="12.75" customHeight="1">
      <c r="A609" s="1">
        <v>0.0</v>
      </c>
      <c r="B609" s="2" t="s">
        <v>5876</v>
      </c>
      <c r="C609" s="1" t="s">
        <v>5877</v>
      </c>
      <c r="D609" s="1" t="s">
        <v>5184</v>
      </c>
      <c r="E609" s="3">
        <v>1.0</v>
      </c>
      <c r="F609" s="3">
        <v>1.0</v>
      </c>
      <c r="G609" s="1" t="s">
        <v>23</v>
      </c>
    </row>
    <row r="610" ht="12.75" customHeight="1">
      <c r="A610" s="1">
        <v>0.0</v>
      </c>
      <c r="B610" s="2" t="s">
        <v>5878</v>
      </c>
      <c r="C610" s="1" t="s">
        <v>5879</v>
      </c>
      <c r="D610" s="1" t="s">
        <v>5195</v>
      </c>
      <c r="E610" s="3">
        <v>1.0</v>
      </c>
      <c r="F610" s="3">
        <v>1.0</v>
      </c>
      <c r="G610" s="1" t="s">
        <v>23</v>
      </c>
    </row>
    <row r="611" ht="12.75" customHeight="1">
      <c r="A611" s="1">
        <v>0.0</v>
      </c>
      <c r="B611" s="2" t="s">
        <v>4137</v>
      </c>
      <c r="C611" s="1" t="s">
        <v>4138</v>
      </c>
      <c r="D611" s="1" t="s">
        <v>1373</v>
      </c>
      <c r="E611" s="3">
        <v>1.0</v>
      </c>
      <c r="F611" s="3">
        <v>1.0</v>
      </c>
      <c r="G611" s="1" t="s">
        <v>23</v>
      </c>
    </row>
    <row r="612" ht="12.75" customHeight="1">
      <c r="A612" s="1">
        <v>0.0</v>
      </c>
      <c r="B612" s="2" t="s">
        <v>5880</v>
      </c>
      <c r="C612" s="1" t="s">
        <v>5881</v>
      </c>
      <c r="D612" s="1" t="s">
        <v>5481</v>
      </c>
      <c r="E612" s="3">
        <v>1.0</v>
      </c>
      <c r="F612" s="3">
        <v>1.0</v>
      </c>
      <c r="G612" s="1" t="s">
        <v>23</v>
      </c>
    </row>
    <row r="613" ht="12.75" customHeight="1">
      <c r="A613" s="1">
        <v>0.0</v>
      </c>
      <c r="B613" s="2" t="s">
        <v>4355</v>
      </c>
      <c r="C613" s="1" t="s">
        <v>4356</v>
      </c>
      <c r="D613" s="1" t="s">
        <v>1204</v>
      </c>
      <c r="E613" s="3">
        <v>1.0</v>
      </c>
      <c r="F613" s="3">
        <v>1.0</v>
      </c>
      <c r="G613" s="1" t="s">
        <v>23</v>
      </c>
    </row>
    <row r="614" ht="12.75" customHeight="1">
      <c r="A614" s="1">
        <v>0.0</v>
      </c>
      <c r="B614" s="2" t="s">
        <v>5882</v>
      </c>
      <c r="C614" s="1" t="s">
        <v>5883</v>
      </c>
      <c r="D614" s="1" t="s">
        <v>5195</v>
      </c>
      <c r="E614" s="3">
        <v>1.0</v>
      </c>
      <c r="F614" s="3">
        <v>1.0</v>
      </c>
      <c r="G614" s="1" t="s">
        <v>23</v>
      </c>
    </row>
    <row r="615" ht="12.75" customHeight="1">
      <c r="A615" s="1">
        <v>0.0</v>
      </c>
      <c r="B615" s="2" t="s">
        <v>5884</v>
      </c>
      <c r="C615" s="1" t="s">
        <v>5885</v>
      </c>
      <c r="D615" s="1" t="s">
        <v>5195</v>
      </c>
      <c r="E615" s="3">
        <v>1.0</v>
      </c>
      <c r="F615" s="3">
        <v>1.0</v>
      </c>
      <c r="G615" s="1" t="s">
        <v>23</v>
      </c>
    </row>
    <row r="616" ht="12.75" customHeight="1">
      <c r="A616" s="1">
        <v>0.0</v>
      </c>
      <c r="B616" s="2" t="s">
        <v>5886</v>
      </c>
      <c r="C616" s="1" t="s">
        <v>5887</v>
      </c>
      <c r="D616" s="1" t="s">
        <v>5195</v>
      </c>
      <c r="E616" s="3">
        <v>1.0</v>
      </c>
      <c r="F616" s="3">
        <v>1.0</v>
      </c>
      <c r="G616" s="1" t="s">
        <v>23</v>
      </c>
    </row>
    <row r="617" ht="12.75" customHeight="1">
      <c r="A617" s="1">
        <v>0.0</v>
      </c>
      <c r="B617" s="2" t="s">
        <v>5888</v>
      </c>
      <c r="C617" s="1" t="s">
        <v>5889</v>
      </c>
      <c r="D617" s="1" t="s">
        <v>5195</v>
      </c>
      <c r="E617" s="3">
        <v>1.0</v>
      </c>
      <c r="F617" s="3">
        <v>1.0</v>
      </c>
      <c r="G617" s="1" t="s">
        <v>23</v>
      </c>
    </row>
    <row r="618" ht="12.75" customHeight="1">
      <c r="A618" s="1">
        <v>0.0</v>
      </c>
      <c r="B618" s="2" t="s">
        <v>5890</v>
      </c>
      <c r="C618" s="1" t="s">
        <v>1801</v>
      </c>
      <c r="D618" s="1" t="s">
        <v>5195</v>
      </c>
      <c r="E618" s="3">
        <v>1.0</v>
      </c>
      <c r="F618" s="3">
        <v>1.0</v>
      </c>
      <c r="G618" s="1" t="s">
        <v>23</v>
      </c>
    </row>
    <row r="619" ht="12.75" customHeight="1">
      <c r="A619" s="1">
        <v>0.0</v>
      </c>
      <c r="B619" s="2" t="s">
        <v>5891</v>
      </c>
      <c r="C619" s="1" t="s">
        <v>5892</v>
      </c>
      <c r="D619" s="1" t="s">
        <v>5195</v>
      </c>
      <c r="E619" s="3">
        <v>1.0</v>
      </c>
      <c r="F619" s="3">
        <v>1.0</v>
      </c>
      <c r="G619" s="1" t="s">
        <v>23</v>
      </c>
    </row>
    <row r="620" ht="12.75" customHeight="1">
      <c r="A620" s="1">
        <v>0.0</v>
      </c>
      <c r="B620" s="2" t="s">
        <v>5893</v>
      </c>
      <c r="C620" s="1" t="s">
        <v>5894</v>
      </c>
      <c r="D620" s="1" t="s">
        <v>5195</v>
      </c>
      <c r="E620" s="3">
        <v>1.0</v>
      </c>
      <c r="F620" s="3">
        <v>1.0</v>
      </c>
      <c r="G620" s="1" t="s">
        <v>23</v>
      </c>
    </row>
    <row r="621" ht="12.75" customHeight="1">
      <c r="A621" s="1">
        <v>0.0</v>
      </c>
      <c r="B621" s="2" t="s">
        <v>5895</v>
      </c>
      <c r="C621" s="1" t="s">
        <v>5896</v>
      </c>
      <c r="D621" s="1" t="s">
        <v>5195</v>
      </c>
      <c r="E621" s="3">
        <v>1.0</v>
      </c>
      <c r="F621" s="3">
        <v>1.0</v>
      </c>
      <c r="G621" s="1" t="s">
        <v>23</v>
      </c>
    </row>
    <row r="622" ht="12.75" customHeight="1">
      <c r="A622" s="1">
        <v>0.0</v>
      </c>
      <c r="B622" s="2" t="s">
        <v>5897</v>
      </c>
      <c r="C622" s="1" t="s">
        <v>5898</v>
      </c>
      <c r="D622" s="1" t="s">
        <v>5899</v>
      </c>
      <c r="E622" s="3">
        <v>1.0</v>
      </c>
      <c r="F622" s="3">
        <v>1.0</v>
      </c>
      <c r="G622" s="1" t="s">
        <v>23</v>
      </c>
    </row>
    <row r="623" ht="12.75" customHeight="1">
      <c r="A623" s="1">
        <v>0.0</v>
      </c>
      <c r="B623" s="2" t="s">
        <v>5900</v>
      </c>
      <c r="C623" s="1" t="s">
        <v>5901</v>
      </c>
      <c r="D623" s="1" t="s">
        <v>5902</v>
      </c>
      <c r="E623" s="3">
        <v>1.0</v>
      </c>
      <c r="F623" s="3">
        <v>1.0</v>
      </c>
      <c r="G623" s="1" t="s">
        <v>23</v>
      </c>
    </row>
    <row r="624" ht="12.75" customHeight="1">
      <c r="A624" s="1">
        <v>0.0</v>
      </c>
      <c r="B624" s="2" t="s">
        <v>4139</v>
      </c>
      <c r="C624" s="1" t="s">
        <v>2583</v>
      </c>
      <c r="D624" s="1" t="s">
        <v>1373</v>
      </c>
      <c r="E624" s="3">
        <v>1.0</v>
      </c>
      <c r="F624" s="3">
        <v>1.0</v>
      </c>
      <c r="G624" s="1" t="s">
        <v>23</v>
      </c>
    </row>
    <row r="625" ht="12.75" customHeight="1">
      <c r="A625" s="1">
        <v>0.0</v>
      </c>
      <c r="B625" s="2" t="s">
        <v>4092</v>
      </c>
      <c r="C625" s="1" t="s">
        <v>4093</v>
      </c>
      <c r="D625" s="1" t="s">
        <v>4094</v>
      </c>
      <c r="E625" s="3">
        <v>1.0</v>
      </c>
      <c r="F625" s="3">
        <v>1.0</v>
      </c>
      <c r="G625" s="1" t="s">
        <v>23</v>
      </c>
    </row>
    <row r="626" ht="12.75" customHeight="1">
      <c r="A626" s="1">
        <v>0.0</v>
      </c>
      <c r="B626" s="2" t="s">
        <v>4140</v>
      </c>
      <c r="C626" s="1" t="s">
        <v>4141</v>
      </c>
      <c r="D626" s="1" t="s">
        <v>1373</v>
      </c>
      <c r="E626" s="3">
        <v>1.0</v>
      </c>
      <c r="F626" s="3">
        <v>1.0</v>
      </c>
      <c r="G626" s="1" t="s">
        <v>23</v>
      </c>
    </row>
    <row r="627" ht="12.75" customHeight="1">
      <c r="A627" s="1">
        <v>0.0</v>
      </c>
      <c r="B627" s="2" t="s">
        <v>5903</v>
      </c>
      <c r="C627" s="1" t="s">
        <v>5296</v>
      </c>
      <c r="D627" s="1" t="s">
        <v>2219</v>
      </c>
      <c r="E627" s="3">
        <v>1.0</v>
      </c>
      <c r="F627" s="3">
        <v>1.0</v>
      </c>
      <c r="G627" s="1" t="s">
        <v>23</v>
      </c>
    </row>
    <row r="628" ht="12.75" customHeight="1">
      <c r="A628" s="1">
        <v>0.0</v>
      </c>
      <c r="B628" s="2" t="s">
        <v>5904</v>
      </c>
      <c r="C628" s="1" t="s">
        <v>5905</v>
      </c>
      <c r="D628" s="1" t="s">
        <v>5658</v>
      </c>
      <c r="E628" s="3">
        <v>1.0</v>
      </c>
      <c r="F628" s="3">
        <v>1.0</v>
      </c>
      <c r="G628" s="1" t="s">
        <v>23</v>
      </c>
    </row>
    <row r="629" ht="12.75" customHeight="1">
      <c r="A629" s="1">
        <v>0.0</v>
      </c>
      <c r="B629" s="2" t="s">
        <v>5906</v>
      </c>
      <c r="C629" s="1" t="s">
        <v>5907</v>
      </c>
      <c r="D629" s="1" t="s">
        <v>5908</v>
      </c>
      <c r="E629" s="3">
        <v>1.0</v>
      </c>
      <c r="F629" s="3">
        <v>1.0</v>
      </c>
      <c r="G629" s="1" t="s">
        <v>23</v>
      </c>
    </row>
    <row r="630" ht="12.75" customHeight="1">
      <c r="A630" s="1">
        <v>0.0</v>
      </c>
      <c r="B630" s="2" t="s">
        <v>4226</v>
      </c>
      <c r="C630" s="1" t="s">
        <v>4227</v>
      </c>
      <c r="D630" s="1" t="s">
        <v>2219</v>
      </c>
      <c r="E630" s="3">
        <v>1.0</v>
      </c>
      <c r="F630" s="3">
        <v>1.0</v>
      </c>
      <c r="G630" s="1" t="s">
        <v>23</v>
      </c>
    </row>
    <row r="631" ht="12.75" customHeight="1">
      <c r="A631" s="1">
        <v>0.0</v>
      </c>
      <c r="B631" s="2" t="s">
        <v>5909</v>
      </c>
      <c r="C631" s="1" t="s">
        <v>5910</v>
      </c>
      <c r="D631" s="1" t="s">
        <v>5911</v>
      </c>
      <c r="E631" s="3">
        <v>1.0</v>
      </c>
      <c r="F631" s="3">
        <v>1.0</v>
      </c>
      <c r="G631" s="1" t="s">
        <v>23</v>
      </c>
    </row>
    <row r="632" ht="12.75" customHeight="1">
      <c r="A632" s="1">
        <v>0.0</v>
      </c>
      <c r="B632" s="2" t="s">
        <v>4437</v>
      </c>
      <c r="C632" s="1" t="s">
        <v>4438</v>
      </c>
      <c r="D632" s="1" t="s">
        <v>4439</v>
      </c>
      <c r="E632" s="3">
        <v>1.0</v>
      </c>
      <c r="F632" s="3">
        <v>1.0</v>
      </c>
      <c r="G632" s="1" t="s">
        <v>23</v>
      </c>
    </row>
    <row r="633" ht="12.75" customHeight="1">
      <c r="A633" s="1">
        <v>0.0</v>
      </c>
      <c r="B633" s="2" t="s">
        <v>4311</v>
      </c>
      <c r="C633" s="1" t="s">
        <v>4312</v>
      </c>
      <c r="D633" s="1" t="s">
        <v>1123</v>
      </c>
      <c r="E633" s="3">
        <v>1.0</v>
      </c>
      <c r="F633" s="3">
        <v>1.0</v>
      </c>
      <c r="G633" s="1" t="s">
        <v>23</v>
      </c>
    </row>
    <row r="634" ht="12.75" customHeight="1">
      <c r="A634" s="1">
        <v>0.0</v>
      </c>
      <c r="B634" s="2" t="s">
        <v>4296</v>
      </c>
      <c r="C634" s="1" t="s">
        <v>4297</v>
      </c>
      <c r="D634" s="1" t="s">
        <v>1097</v>
      </c>
      <c r="E634" s="3">
        <v>1.0</v>
      </c>
      <c r="F634" s="3">
        <v>1.0</v>
      </c>
      <c r="G634" s="1" t="s">
        <v>23</v>
      </c>
    </row>
    <row r="635" ht="12.75" customHeight="1">
      <c r="A635" s="1">
        <v>0.0</v>
      </c>
      <c r="B635" s="2" t="s">
        <v>4317</v>
      </c>
      <c r="C635" s="1" t="s">
        <v>4318</v>
      </c>
      <c r="D635" s="1" t="s">
        <v>1424</v>
      </c>
      <c r="E635" s="3">
        <v>1.0</v>
      </c>
      <c r="F635" s="3">
        <v>1.0</v>
      </c>
      <c r="G635" s="1" t="s">
        <v>23</v>
      </c>
    </row>
    <row r="636" ht="12.75" customHeight="1">
      <c r="A636" s="1">
        <v>0.0</v>
      </c>
      <c r="B636" s="2" t="s">
        <v>4319</v>
      </c>
      <c r="C636" s="1" t="s">
        <v>4320</v>
      </c>
      <c r="D636" s="1" t="s">
        <v>1424</v>
      </c>
      <c r="E636" s="3">
        <v>1.0</v>
      </c>
      <c r="F636" s="3">
        <v>1.0</v>
      </c>
      <c r="G636" s="1" t="s">
        <v>23</v>
      </c>
    </row>
    <row r="637" ht="12.75" customHeight="1">
      <c r="A637" s="1">
        <v>0.0</v>
      </c>
      <c r="B637" s="2" t="s">
        <v>4313</v>
      </c>
      <c r="C637" s="1" t="s">
        <v>4314</v>
      </c>
      <c r="D637" s="1" t="s">
        <v>1123</v>
      </c>
      <c r="E637" s="3">
        <v>1.0</v>
      </c>
      <c r="F637" s="3">
        <v>1.0</v>
      </c>
      <c r="G637" s="1" t="s">
        <v>23</v>
      </c>
    </row>
    <row r="638" ht="12.75" customHeight="1">
      <c r="A638" s="1">
        <v>0.0</v>
      </c>
      <c r="B638" s="2">
        <v>567582.0</v>
      </c>
      <c r="C638" s="1" t="s">
        <v>4289</v>
      </c>
      <c r="D638" s="1" t="s">
        <v>4290</v>
      </c>
      <c r="E638" s="3">
        <v>1.0</v>
      </c>
      <c r="F638" s="3">
        <v>1.0</v>
      </c>
      <c r="G638" s="1" t="s">
        <v>23</v>
      </c>
    </row>
    <row r="639" ht="12.75" customHeight="1">
      <c r="A639" s="1">
        <v>0.0</v>
      </c>
      <c r="B639" s="2" t="s">
        <v>4403</v>
      </c>
      <c r="C639" s="1" t="s">
        <v>4404</v>
      </c>
      <c r="D639" s="1" t="s">
        <v>4405</v>
      </c>
      <c r="E639" s="3">
        <v>1.0</v>
      </c>
      <c r="F639" s="3">
        <v>1.0</v>
      </c>
      <c r="G639" s="1" t="s">
        <v>23</v>
      </c>
    </row>
    <row r="640" ht="12.75" customHeight="1">
      <c r="A640" s="1">
        <v>0.0</v>
      </c>
      <c r="B640" s="2" t="s">
        <v>4381</v>
      </c>
      <c r="C640" s="1" t="s">
        <v>4382</v>
      </c>
      <c r="D640" s="1" t="s">
        <v>1291</v>
      </c>
      <c r="E640" s="3">
        <v>1.0</v>
      </c>
      <c r="F640" s="3">
        <v>1.0</v>
      </c>
      <c r="G640" s="1" t="s">
        <v>23</v>
      </c>
    </row>
    <row r="641" ht="12.75" customHeight="1">
      <c r="A641" s="1">
        <v>0.0</v>
      </c>
      <c r="B641" s="2" t="s">
        <v>4383</v>
      </c>
      <c r="C641" s="1" t="s">
        <v>4384</v>
      </c>
      <c r="D641" s="1" t="s">
        <v>1291</v>
      </c>
      <c r="E641" s="3">
        <v>1.0</v>
      </c>
      <c r="F641" s="3">
        <v>1.0</v>
      </c>
      <c r="G641" s="1" t="s">
        <v>23</v>
      </c>
    </row>
    <row r="642" ht="12.75" customHeight="1">
      <c r="A642" s="1">
        <v>0.0</v>
      </c>
      <c r="B642" s="2" t="s">
        <v>4098</v>
      </c>
      <c r="C642" s="1" t="s">
        <v>4099</v>
      </c>
      <c r="D642" s="1" t="s">
        <v>1709</v>
      </c>
      <c r="E642" s="3">
        <v>1.0</v>
      </c>
      <c r="F642" s="3">
        <v>1.0</v>
      </c>
      <c r="G642" s="1" t="s">
        <v>23</v>
      </c>
    </row>
    <row r="643" ht="12.75" customHeight="1">
      <c r="A643" s="1">
        <v>0.0</v>
      </c>
      <c r="B643" s="2" t="s">
        <v>4385</v>
      </c>
      <c r="C643" s="1" t="s">
        <v>4386</v>
      </c>
      <c r="D643" s="1" t="s">
        <v>1291</v>
      </c>
      <c r="E643" s="3">
        <v>1.0</v>
      </c>
      <c r="F643" s="3">
        <v>1.0</v>
      </c>
      <c r="G643" s="1" t="s">
        <v>23</v>
      </c>
    </row>
    <row r="644" ht="12.75" customHeight="1">
      <c r="A644" s="1">
        <v>0.0</v>
      </c>
      <c r="B644" s="2" t="s">
        <v>4159</v>
      </c>
      <c r="C644" s="1" t="s">
        <v>4160</v>
      </c>
      <c r="D644" s="1" t="s">
        <v>4161</v>
      </c>
      <c r="E644" s="3">
        <v>1.0</v>
      </c>
      <c r="F644" s="3">
        <v>1.0</v>
      </c>
      <c r="G644" s="1" t="s">
        <v>23</v>
      </c>
    </row>
    <row r="645" ht="12.75" customHeight="1">
      <c r="A645" s="1">
        <v>0.0</v>
      </c>
      <c r="B645" s="2">
        <v>761501.0</v>
      </c>
      <c r="C645" s="1" t="s">
        <v>4398</v>
      </c>
      <c r="D645" s="1" t="s">
        <v>4399</v>
      </c>
      <c r="E645" s="3">
        <v>1.0</v>
      </c>
      <c r="F645" s="3">
        <v>1.0</v>
      </c>
      <c r="G645" s="1" t="s">
        <v>23</v>
      </c>
    </row>
    <row r="646" ht="12.75" customHeight="1">
      <c r="A646" s="1">
        <v>0.0</v>
      </c>
      <c r="B646" s="2" t="s">
        <v>4175</v>
      </c>
      <c r="C646" s="1" t="s">
        <v>4176</v>
      </c>
      <c r="D646" s="1" t="s">
        <v>4177</v>
      </c>
      <c r="E646" s="3">
        <v>1.0</v>
      </c>
      <c r="F646" s="3">
        <v>1.0</v>
      </c>
      <c r="G646" s="1" t="s">
        <v>23</v>
      </c>
    </row>
    <row r="647" ht="12.75" customHeight="1">
      <c r="A647" s="1">
        <v>0.0</v>
      </c>
      <c r="B647" s="2">
        <v>1130807.0</v>
      </c>
      <c r="C647" s="1" t="s">
        <v>5912</v>
      </c>
      <c r="D647" s="1" t="s">
        <v>5913</v>
      </c>
      <c r="E647" s="3">
        <v>1.0</v>
      </c>
      <c r="F647" s="3">
        <v>1.0</v>
      </c>
      <c r="G647" s="1" t="s">
        <v>23</v>
      </c>
    </row>
    <row r="648" ht="12.75" customHeight="1">
      <c r="A648" s="1">
        <v>0.0</v>
      </c>
      <c r="B648" s="2">
        <v>1130810.0</v>
      </c>
      <c r="C648" s="1" t="s">
        <v>4432</v>
      </c>
      <c r="D648" s="1" t="s">
        <v>4433</v>
      </c>
      <c r="E648" s="3">
        <v>1.0</v>
      </c>
      <c r="F648" s="3">
        <v>1.0</v>
      </c>
      <c r="G648" s="1" t="s">
        <v>23</v>
      </c>
    </row>
    <row r="649" ht="12.75" customHeight="1">
      <c r="A649" s="1">
        <v>0.0</v>
      </c>
      <c r="B649" s="2">
        <v>1130813.0</v>
      </c>
      <c r="C649" s="1" t="s">
        <v>4452</v>
      </c>
      <c r="D649" s="1" t="s">
        <v>4453</v>
      </c>
      <c r="E649" s="3">
        <v>1.0</v>
      </c>
      <c r="F649" s="3">
        <v>1.0</v>
      </c>
      <c r="G649" s="1" t="s">
        <v>23</v>
      </c>
    </row>
    <row r="650" ht="12.75" customHeight="1">
      <c r="A650" s="1">
        <v>0.0</v>
      </c>
      <c r="B650" s="2">
        <v>1130814.0</v>
      </c>
      <c r="C650" s="1" t="s">
        <v>5914</v>
      </c>
      <c r="D650" s="1" t="s">
        <v>3991</v>
      </c>
      <c r="E650" s="3">
        <v>1.0</v>
      </c>
      <c r="F650" s="3">
        <v>1.0</v>
      </c>
      <c r="G650" s="1" t="s">
        <v>23</v>
      </c>
    </row>
    <row r="651" ht="12.75" customHeight="1">
      <c r="A651" s="1">
        <v>0.0</v>
      </c>
      <c r="B651" s="2">
        <v>1130817.0</v>
      </c>
      <c r="C651" s="1" t="s">
        <v>5915</v>
      </c>
      <c r="D651" s="1" t="s">
        <v>5916</v>
      </c>
      <c r="E651" s="3">
        <v>1.0</v>
      </c>
      <c r="F651" s="3">
        <v>1.0</v>
      </c>
      <c r="G651" s="1" t="s">
        <v>23</v>
      </c>
    </row>
    <row r="652" ht="12.75" customHeight="1">
      <c r="A652" s="1">
        <v>0.0</v>
      </c>
      <c r="B652" s="2">
        <v>1130819.0</v>
      </c>
      <c r="C652" s="1" t="s">
        <v>4380</v>
      </c>
      <c r="D652" s="1" t="s">
        <v>1291</v>
      </c>
      <c r="E652" s="3">
        <v>1.0</v>
      </c>
      <c r="F652" s="3">
        <v>1.0</v>
      </c>
      <c r="G652" s="1" t="s">
        <v>23</v>
      </c>
    </row>
    <row r="653" ht="12.75" customHeight="1">
      <c r="A653" s="1">
        <v>0.0</v>
      </c>
      <c r="B653" s="2">
        <v>1130825.0</v>
      </c>
      <c r="C653" s="1" t="s">
        <v>4468</v>
      </c>
      <c r="D653" s="1" t="s">
        <v>4469</v>
      </c>
      <c r="E653" s="3">
        <v>1.0</v>
      </c>
      <c r="F653" s="3">
        <v>1.0</v>
      </c>
      <c r="G653" s="1" t="s">
        <v>23</v>
      </c>
    </row>
    <row r="654" ht="12.75" customHeight="1">
      <c r="A654" s="1">
        <v>0.0</v>
      </c>
      <c r="B654" s="2">
        <v>1130826.0</v>
      </c>
      <c r="C654" s="1" t="s">
        <v>5917</v>
      </c>
      <c r="D654" s="1" t="s">
        <v>5918</v>
      </c>
      <c r="E654" s="3">
        <v>1.0</v>
      </c>
      <c r="F654" s="3">
        <v>1.0</v>
      </c>
      <c r="G654" s="1" t="s">
        <v>23</v>
      </c>
    </row>
    <row r="655" ht="12.75" customHeight="1">
      <c r="A655" s="1">
        <v>0.0</v>
      </c>
      <c r="B655" s="2">
        <v>1130829.0</v>
      </c>
      <c r="C655" s="1" t="s">
        <v>4190</v>
      </c>
      <c r="D655" s="1" t="s">
        <v>4191</v>
      </c>
      <c r="E655" s="3">
        <v>1.0</v>
      </c>
      <c r="F655" s="3">
        <v>1.0</v>
      </c>
      <c r="G655" s="1" t="s">
        <v>23</v>
      </c>
    </row>
    <row r="656" ht="12.75" customHeight="1">
      <c r="A656" s="1">
        <v>0.0</v>
      </c>
      <c r="B656" s="2">
        <v>1130831.0</v>
      </c>
      <c r="C656" s="1" t="s">
        <v>4357</v>
      </c>
      <c r="D656" s="1" t="s">
        <v>1223</v>
      </c>
      <c r="E656" s="3">
        <v>1.0</v>
      </c>
      <c r="F656" s="3">
        <v>1.0</v>
      </c>
      <c r="G656" s="1" t="s">
        <v>23</v>
      </c>
    </row>
    <row r="657" ht="12.75" customHeight="1">
      <c r="A657" s="1">
        <v>0.0</v>
      </c>
      <c r="B657" s="2">
        <v>1130833.0</v>
      </c>
      <c r="C657" s="1" t="s">
        <v>4323</v>
      </c>
      <c r="D657" s="1" t="s">
        <v>4324</v>
      </c>
      <c r="E657" s="3">
        <v>1.0</v>
      </c>
      <c r="F657" s="3">
        <v>1.0</v>
      </c>
      <c r="G657" s="1" t="s">
        <v>23</v>
      </c>
    </row>
    <row r="658" ht="12.75" customHeight="1">
      <c r="A658" s="1">
        <v>0.0</v>
      </c>
      <c r="B658" s="2">
        <v>1130837.0</v>
      </c>
      <c r="C658" s="1" t="s">
        <v>4360</v>
      </c>
      <c r="D658" s="1" t="s">
        <v>1436</v>
      </c>
      <c r="E658" s="3">
        <v>1.0</v>
      </c>
      <c r="F658" s="3">
        <v>1.0</v>
      </c>
      <c r="G658" s="1" t="s">
        <v>23</v>
      </c>
    </row>
    <row r="659" ht="12.75" customHeight="1">
      <c r="A659" s="1">
        <v>0.0</v>
      </c>
      <c r="B659" s="2">
        <v>1130840.0</v>
      </c>
      <c r="C659" s="1" t="s">
        <v>4443</v>
      </c>
      <c r="D659" s="1" t="s">
        <v>3991</v>
      </c>
      <c r="E659" s="3">
        <v>1.0</v>
      </c>
      <c r="F659" s="3">
        <v>1.0</v>
      </c>
      <c r="G659" s="1" t="s">
        <v>23</v>
      </c>
    </row>
    <row r="660" ht="12.75" customHeight="1">
      <c r="A660" s="1">
        <v>0.0</v>
      </c>
      <c r="B660" s="2">
        <v>1130841.0</v>
      </c>
      <c r="C660" s="1" t="s">
        <v>5919</v>
      </c>
      <c r="D660" s="1" t="s">
        <v>5920</v>
      </c>
      <c r="E660" s="3">
        <v>1.0</v>
      </c>
      <c r="F660" s="3">
        <v>1.0</v>
      </c>
      <c r="G660" s="1" t="s">
        <v>23</v>
      </c>
    </row>
    <row r="661" ht="12.75" customHeight="1">
      <c r="A661" s="1">
        <v>0.0</v>
      </c>
      <c r="B661" s="2">
        <v>1130846.0</v>
      </c>
      <c r="C661" s="1" t="s">
        <v>5921</v>
      </c>
      <c r="D661" s="1">
        <v>1.0</v>
      </c>
      <c r="E661" s="3">
        <v>1.0</v>
      </c>
      <c r="F661" s="3">
        <v>1.0</v>
      </c>
      <c r="G661" s="1" t="s">
        <v>23</v>
      </c>
    </row>
    <row r="662" ht="12.75" customHeight="1">
      <c r="A662" s="1">
        <v>0.0</v>
      </c>
      <c r="B662" s="2">
        <v>1130848.0</v>
      </c>
      <c r="C662" s="1" t="s">
        <v>4273</v>
      </c>
      <c r="D662" s="1" t="s">
        <v>4274</v>
      </c>
      <c r="E662" s="3">
        <v>1.0</v>
      </c>
      <c r="F662" s="3">
        <v>1.0</v>
      </c>
      <c r="G662" s="1" t="s">
        <v>23</v>
      </c>
    </row>
    <row r="663" ht="12.75" customHeight="1">
      <c r="A663" s="1">
        <v>0.0</v>
      </c>
      <c r="B663" s="2">
        <v>1130849.0</v>
      </c>
      <c r="C663" s="1" t="s">
        <v>4291</v>
      </c>
      <c r="D663" s="1" t="s">
        <v>1097</v>
      </c>
      <c r="E663" s="3">
        <v>1.0</v>
      </c>
      <c r="F663" s="3">
        <v>1.0</v>
      </c>
      <c r="G663" s="1" t="s">
        <v>23</v>
      </c>
    </row>
    <row r="664" ht="12.75" customHeight="1">
      <c r="A664" s="1">
        <v>0.0</v>
      </c>
      <c r="B664" s="2">
        <v>1130850.0</v>
      </c>
      <c r="C664" s="1" t="s">
        <v>4315</v>
      </c>
      <c r="D664" s="1" t="s">
        <v>4316</v>
      </c>
      <c r="E664" s="3">
        <v>1.0</v>
      </c>
      <c r="F664" s="3">
        <v>1.0</v>
      </c>
      <c r="G664" s="1" t="s">
        <v>23</v>
      </c>
    </row>
    <row r="665" ht="12.75" customHeight="1">
      <c r="A665" s="1">
        <v>0.0</v>
      </c>
      <c r="B665" s="2">
        <v>1130853.0</v>
      </c>
      <c r="C665" s="1" t="s">
        <v>5922</v>
      </c>
      <c r="D665" s="1" t="s">
        <v>5923</v>
      </c>
      <c r="E665" s="3">
        <v>1.0</v>
      </c>
      <c r="F665" s="3">
        <v>1.0</v>
      </c>
      <c r="G665" s="1" t="s">
        <v>23</v>
      </c>
    </row>
    <row r="666" ht="12.75" customHeight="1">
      <c r="A666" s="1">
        <v>0.0</v>
      </c>
      <c r="B666" s="2">
        <v>1130854.0</v>
      </c>
      <c r="C666" s="1" t="s">
        <v>4281</v>
      </c>
      <c r="D666" s="1" t="s">
        <v>4282</v>
      </c>
      <c r="E666" s="3">
        <v>1.0</v>
      </c>
      <c r="F666" s="3">
        <v>1.0</v>
      </c>
      <c r="G666" s="1" t="s">
        <v>23</v>
      </c>
    </row>
    <row r="667" ht="12.75" customHeight="1">
      <c r="A667" s="1">
        <v>0.0</v>
      </c>
      <c r="B667" s="2">
        <v>1130855.0</v>
      </c>
      <c r="C667" s="1" t="s">
        <v>4099</v>
      </c>
      <c r="D667" s="1" t="s">
        <v>4361</v>
      </c>
      <c r="E667" s="3">
        <v>1.0</v>
      </c>
      <c r="F667" s="3">
        <v>1.0</v>
      </c>
      <c r="G667" s="1" t="s">
        <v>23</v>
      </c>
    </row>
    <row r="668" ht="12.75" customHeight="1">
      <c r="A668" s="1">
        <v>0.0</v>
      </c>
      <c r="B668" s="2">
        <v>1130856.0</v>
      </c>
      <c r="C668" s="1" t="s">
        <v>4169</v>
      </c>
      <c r="D668" s="1" t="s">
        <v>4170</v>
      </c>
      <c r="E668" s="3">
        <v>1.0</v>
      </c>
      <c r="F668" s="3">
        <v>1.0</v>
      </c>
      <c r="G668" s="1" t="s">
        <v>23</v>
      </c>
    </row>
    <row r="669" ht="12.75" customHeight="1">
      <c r="A669" s="1">
        <v>0.0</v>
      </c>
      <c r="B669" s="2">
        <v>1130857.0</v>
      </c>
      <c r="C669" s="1" t="s">
        <v>4300</v>
      </c>
      <c r="D669" s="1" t="s">
        <v>4301</v>
      </c>
      <c r="E669" s="3">
        <v>1.0</v>
      </c>
      <c r="F669" s="3">
        <v>1.0</v>
      </c>
      <c r="G669" s="1" t="s">
        <v>23</v>
      </c>
    </row>
    <row r="670" ht="12.75" customHeight="1">
      <c r="A670" s="1">
        <v>0.0</v>
      </c>
      <c r="B670" s="2">
        <v>1130858.0</v>
      </c>
      <c r="C670" s="1" t="s">
        <v>4183</v>
      </c>
      <c r="D670" s="1" t="s">
        <v>716</v>
      </c>
      <c r="E670" s="3">
        <v>1.0</v>
      </c>
      <c r="F670" s="3">
        <v>1.0</v>
      </c>
      <c r="G670" s="1" t="s">
        <v>23</v>
      </c>
    </row>
    <row r="671" ht="12.75" customHeight="1">
      <c r="A671" s="1">
        <v>0.0</v>
      </c>
      <c r="B671" s="2">
        <v>1130859.0</v>
      </c>
      <c r="C671" s="1" t="s">
        <v>4173</v>
      </c>
      <c r="D671" s="1" t="s">
        <v>4174</v>
      </c>
      <c r="E671" s="3">
        <v>1.0</v>
      </c>
      <c r="F671" s="3">
        <v>1.0</v>
      </c>
      <c r="G671" s="1" t="s">
        <v>23</v>
      </c>
    </row>
    <row r="672" ht="12.75" customHeight="1">
      <c r="A672" s="1">
        <v>0.0</v>
      </c>
      <c r="B672" s="2">
        <v>1130863.0</v>
      </c>
      <c r="C672" s="1" t="s">
        <v>4171</v>
      </c>
      <c r="D672" s="1" t="s">
        <v>4172</v>
      </c>
      <c r="E672" s="3">
        <v>1.0</v>
      </c>
      <c r="F672" s="3">
        <v>1.0</v>
      </c>
      <c r="G672" s="1" t="s">
        <v>23</v>
      </c>
    </row>
    <row r="673" ht="12.75" customHeight="1">
      <c r="A673" s="1">
        <v>0.0</v>
      </c>
      <c r="B673" s="2">
        <v>1130866.0</v>
      </c>
      <c r="C673" s="1" t="s">
        <v>4167</v>
      </c>
      <c r="D673" s="1" t="s">
        <v>4168</v>
      </c>
      <c r="E673" s="3">
        <v>1.0</v>
      </c>
      <c r="F673" s="3">
        <v>1.0</v>
      </c>
      <c r="G673" s="1" t="s">
        <v>23</v>
      </c>
    </row>
    <row r="674" ht="12.75" customHeight="1">
      <c r="A674" s="1">
        <v>0.0</v>
      </c>
      <c r="B674" s="2">
        <v>1131502.0</v>
      </c>
      <c r="C674" s="1" t="s">
        <v>4358</v>
      </c>
      <c r="D674" s="1" t="s">
        <v>4359</v>
      </c>
      <c r="E674" s="3">
        <v>1.0</v>
      </c>
      <c r="F674" s="3">
        <v>1.0</v>
      </c>
      <c r="G674" s="1" t="s">
        <v>23</v>
      </c>
    </row>
    <row r="675" ht="12.75" customHeight="1">
      <c r="A675" s="1">
        <v>0.0</v>
      </c>
      <c r="B675" s="2">
        <v>1300517.0</v>
      </c>
      <c r="C675" s="1" t="s">
        <v>5264</v>
      </c>
      <c r="D675" s="1" t="s">
        <v>1780</v>
      </c>
      <c r="E675" s="3">
        <v>1.0</v>
      </c>
      <c r="F675" s="3">
        <v>1.0</v>
      </c>
      <c r="G675" s="1" t="s">
        <v>23</v>
      </c>
    </row>
    <row r="676" ht="12.75" customHeight="1">
      <c r="A676" s="1">
        <v>0.0</v>
      </c>
      <c r="B676" s="2" t="s">
        <v>5924</v>
      </c>
      <c r="C676" s="1" t="s">
        <v>5925</v>
      </c>
      <c r="D676" s="1" t="s">
        <v>5926</v>
      </c>
      <c r="E676" s="3">
        <v>1.0</v>
      </c>
      <c r="F676" s="3">
        <v>1.0</v>
      </c>
      <c r="G676" s="1" t="s">
        <v>23</v>
      </c>
    </row>
    <row r="677" ht="12.75" customHeight="1">
      <c r="A677" s="1">
        <v>0.0</v>
      </c>
      <c r="B677" s="2" t="s">
        <v>5927</v>
      </c>
      <c r="C677" s="1" t="s">
        <v>5928</v>
      </c>
      <c r="D677" s="1" t="s">
        <v>5929</v>
      </c>
      <c r="E677" s="3">
        <v>1.0</v>
      </c>
      <c r="F677" s="3">
        <v>1.0</v>
      </c>
      <c r="G677" s="1" t="s">
        <v>23</v>
      </c>
    </row>
    <row r="678" ht="12.75" customHeight="1">
      <c r="A678" s="1">
        <v>0.0</v>
      </c>
      <c r="B678" s="2" t="s">
        <v>5930</v>
      </c>
      <c r="C678" s="1" t="s">
        <v>5931</v>
      </c>
      <c r="D678" s="1" t="s">
        <v>5926</v>
      </c>
      <c r="E678" s="3">
        <v>1.0</v>
      </c>
      <c r="F678" s="3">
        <v>1.0</v>
      </c>
      <c r="G678" s="1" t="s">
        <v>23</v>
      </c>
    </row>
    <row r="679" ht="12.75" customHeight="1">
      <c r="A679" s="1">
        <v>0.0</v>
      </c>
      <c r="B679" s="2" t="s">
        <v>5932</v>
      </c>
      <c r="C679" s="1" t="s">
        <v>5933</v>
      </c>
      <c r="D679" s="1" t="s">
        <v>5278</v>
      </c>
      <c r="E679" s="3">
        <v>1.0</v>
      </c>
      <c r="F679" s="3">
        <v>1.0</v>
      </c>
      <c r="G679" s="1" t="s">
        <v>23</v>
      </c>
    </row>
    <row r="680" ht="12.75" customHeight="1">
      <c r="A680" s="1">
        <v>0.0</v>
      </c>
      <c r="B680" s="2" t="s">
        <v>5934</v>
      </c>
      <c r="C680" s="1" t="s">
        <v>5935</v>
      </c>
      <c r="D680" s="1" t="s">
        <v>5289</v>
      </c>
      <c r="E680" s="3">
        <v>1.0</v>
      </c>
      <c r="F680" s="3">
        <v>1.0</v>
      </c>
      <c r="G680" s="1" t="s">
        <v>23</v>
      </c>
    </row>
    <row r="681" ht="12.75" customHeight="1">
      <c r="A681" s="1">
        <v>0.0</v>
      </c>
      <c r="B681" s="2">
        <v>1301202.0</v>
      </c>
      <c r="C681" s="1" t="s">
        <v>5936</v>
      </c>
      <c r="D681" s="1" t="s">
        <v>5289</v>
      </c>
      <c r="E681" s="3">
        <v>1.0</v>
      </c>
      <c r="F681" s="3">
        <v>1.0</v>
      </c>
      <c r="G681" s="1" t="s">
        <v>23</v>
      </c>
    </row>
    <row r="682" ht="12.75" customHeight="1">
      <c r="A682" s="1">
        <v>0.0</v>
      </c>
      <c r="B682" s="2">
        <v>1302021.0</v>
      </c>
      <c r="C682" s="1" t="s">
        <v>4164</v>
      </c>
      <c r="D682" s="1" t="s">
        <v>1780</v>
      </c>
      <c r="E682" s="3">
        <v>1.0</v>
      </c>
      <c r="F682" s="3">
        <v>1.0</v>
      </c>
      <c r="G682" s="1" t="s">
        <v>23</v>
      </c>
    </row>
    <row r="683" ht="12.75" customHeight="1">
      <c r="A683" s="1">
        <v>0.0</v>
      </c>
      <c r="B683" s="2" t="s">
        <v>5937</v>
      </c>
      <c r="C683" s="1" t="s">
        <v>5938</v>
      </c>
      <c r="D683" s="1" t="s">
        <v>5289</v>
      </c>
      <c r="E683" s="3">
        <v>1.0</v>
      </c>
      <c r="F683" s="3">
        <v>1.0</v>
      </c>
      <c r="G683" s="1" t="s">
        <v>23</v>
      </c>
    </row>
    <row r="684" ht="12.75" customHeight="1">
      <c r="A684" s="1">
        <v>0.0</v>
      </c>
      <c r="B684" s="2">
        <v>1440300.0</v>
      </c>
      <c r="C684" s="1" t="s">
        <v>597</v>
      </c>
      <c r="D684" s="1" t="s">
        <v>4228</v>
      </c>
      <c r="E684" s="3">
        <v>1.0</v>
      </c>
      <c r="F684" s="3">
        <v>1.0</v>
      </c>
      <c r="G684" s="1" t="s">
        <v>23</v>
      </c>
    </row>
    <row r="685" ht="12.75" customHeight="1">
      <c r="A685" s="1">
        <v>0.0</v>
      </c>
      <c r="B685" s="2">
        <v>1660199.0</v>
      </c>
      <c r="C685" s="1" t="s">
        <v>66</v>
      </c>
      <c r="D685" s="1" t="s">
        <v>4240</v>
      </c>
      <c r="E685" s="3">
        <v>1.0</v>
      </c>
      <c r="F685" s="3">
        <v>1.0</v>
      </c>
      <c r="G685" s="1" t="s">
        <v>23</v>
      </c>
    </row>
    <row r="686" ht="12.75" customHeight="1">
      <c r="A686" s="1">
        <v>0.0</v>
      </c>
      <c r="B686" s="2">
        <v>1660304.0</v>
      </c>
      <c r="C686" s="1" t="s">
        <v>66</v>
      </c>
      <c r="D686" s="1" t="s">
        <v>4245</v>
      </c>
      <c r="E686" s="3">
        <v>1.0</v>
      </c>
      <c r="F686" s="3">
        <v>1.0</v>
      </c>
      <c r="G686" s="1" t="s">
        <v>23</v>
      </c>
    </row>
    <row r="687" ht="12.75" customHeight="1">
      <c r="A687" s="1">
        <v>0.0</v>
      </c>
      <c r="B687" s="2">
        <v>1660503.0</v>
      </c>
      <c r="C687" s="1" t="s">
        <v>49</v>
      </c>
      <c r="D687" s="1" t="s">
        <v>4229</v>
      </c>
      <c r="E687" s="3">
        <v>1.0</v>
      </c>
      <c r="F687" s="3">
        <v>1.0</v>
      </c>
      <c r="G687" s="1" t="s">
        <v>23</v>
      </c>
    </row>
    <row r="688" ht="12.75" customHeight="1">
      <c r="A688" s="1">
        <v>0.0</v>
      </c>
      <c r="B688" s="2">
        <v>2070105.0</v>
      </c>
      <c r="C688" s="1" t="s">
        <v>5300</v>
      </c>
      <c r="D688" s="1" t="s">
        <v>5939</v>
      </c>
      <c r="E688" s="3">
        <v>1.0</v>
      </c>
      <c r="F688" s="3">
        <v>1.0</v>
      </c>
      <c r="G688" s="1" t="s">
        <v>23</v>
      </c>
    </row>
    <row r="689" ht="12.75" customHeight="1">
      <c r="A689" s="1">
        <v>0.0</v>
      </c>
      <c r="B689" s="2">
        <v>2152301.0</v>
      </c>
      <c r="C689" s="1" t="s">
        <v>5940</v>
      </c>
      <c r="D689" s="1" t="s">
        <v>5941</v>
      </c>
      <c r="E689" s="3">
        <v>1.0</v>
      </c>
      <c r="F689" s="3">
        <v>1.0</v>
      </c>
      <c r="G689" s="1" t="s">
        <v>23</v>
      </c>
    </row>
    <row r="690" ht="12.75" customHeight="1">
      <c r="A690" s="1">
        <v>0.0</v>
      </c>
      <c r="B690" s="2">
        <v>3801322.0</v>
      </c>
      <c r="C690" s="1" t="s">
        <v>312</v>
      </c>
      <c r="D690" s="1" t="s">
        <v>4369</v>
      </c>
      <c r="E690" s="3">
        <v>1.0</v>
      </c>
      <c r="F690" s="3">
        <v>1.0</v>
      </c>
      <c r="G690" s="1" t="s">
        <v>23</v>
      </c>
    </row>
    <row r="691" ht="12.75" customHeight="1">
      <c r="A691" s="1">
        <v>0.0</v>
      </c>
      <c r="B691" s="2">
        <v>3801325.0</v>
      </c>
      <c r="C691" s="1" t="s">
        <v>312</v>
      </c>
      <c r="D691" s="1" t="s">
        <v>4370</v>
      </c>
      <c r="E691" s="3">
        <v>1.0</v>
      </c>
      <c r="F691" s="3">
        <v>1.0</v>
      </c>
      <c r="G691" s="1" t="s">
        <v>23</v>
      </c>
    </row>
    <row r="692" ht="12.75" customHeight="1">
      <c r="A692" s="1">
        <v>0.0</v>
      </c>
      <c r="B692" s="2">
        <v>3801327.0</v>
      </c>
      <c r="C692" s="1" t="s">
        <v>312</v>
      </c>
      <c r="D692" s="1" t="s">
        <v>4367</v>
      </c>
      <c r="E692" s="3">
        <v>1.0</v>
      </c>
      <c r="F692" s="3">
        <v>1.0</v>
      </c>
      <c r="G692" s="1" t="s">
        <v>23</v>
      </c>
    </row>
    <row r="693" ht="12.75" customHeight="1">
      <c r="A693" s="1">
        <v>0.0</v>
      </c>
      <c r="B693" s="2">
        <v>3801328.0</v>
      </c>
      <c r="C693" s="1" t="s">
        <v>312</v>
      </c>
      <c r="D693" s="1" t="s">
        <v>4368</v>
      </c>
      <c r="E693" s="3">
        <v>1.0</v>
      </c>
      <c r="F693" s="3">
        <v>1.0</v>
      </c>
      <c r="G693" s="1" t="s">
        <v>23</v>
      </c>
    </row>
    <row r="694" ht="12.75" customHeight="1">
      <c r="A694" s="1">
        <v>0.0</v>
      </c>
      <c r="B694" s="2" t="s">
        <v>4371</v>
      </c>
      <c r="C694" s="1" t="s">
        <v>312</v>
      </c>
      <c r="D694" s="1" t="s">
        <v>4372</v>
      </c>
      <c r="E694" s="3">
        <v>1.0</v>
      </c>
      <c r="F694" s="3">
        <v>1.0</v>
      </c>
      <c r="G694" s="1" t="s">
        <v>23</v>
      </c>
    </row>
    <row r="695" ht="12.75" customHeight="1">
      <c r="A695" s="1">
        <v>0.0</v>
      </c>
      <c r="B695" s="2" t="s">
        <v>4162</v>
      </c>
      <c r="C695" s="1" t="s">
        <v>21</v>
      </c>
      <c r="D695" s="1" t="s">
        <v>4163</v>
      </c>
      <c r="E695" s="3">
        <v>1.0</v>
      </c>
      <c r="F695" s="3">
        <v>1.0</v>
      </c>
      <c r="G695" s="1" t="s">
        <v>23</v>
      </c>
    </row>
    <row r="696" ht="12.75" customHeight="1">
      <c r="A696" s="1">
        <v>0.0</v>
      </c>
      <c r="B696" s="2" t="s">
        <v>4197</v>
      </c>
      <c r="C696" s="1" t="s">
        <v>4198</v>
      </c>
      <c r="D696" s="1" t="s">
        <v>757</v>
      </c>
      <c r="E696" s="3">
        <v>1.0</v>
      </c>
      <c r="F696" s="3">
        <v>1.0</v>
      </c>
      <c r="G696" s="1" t="s">
        <v>23</v>
      </c>
    </row>
    <row r="697" ht="12.75" customHeight="1">
      <c r="A697" s="1">
        <v>0.0</v>
      </c>
      <c r="B697" s="2">
        <v>4590500.0</v>
      </c>
      <c r="C697" s="1" t="s">
        <v>992</v>
      </c>
      <c r="D697" s="1" t="s">
        <v>4265</v>
      </c>
      <c r="E697" s="3">
        <v>1.0</v>
      </c>
      <c r="F697" s="3">
        <v>1.0</v>
      </c>
      <c r="G697" s="1" t="s">
        <v>23</v>
      </c>
    </row>
    <row r="698" ht="12.75" customHeight="1">
      <c r="A698" s="1">
        <v>0.0</v>
      </c>
      <c r="B698" s="2" t="s">
        <v>4165</v>
      </c>
      <c r="C698" s="1" t="s">
        <v>261</v>
      </c>
      <c r="D698" s="1" t="s">
        <v>4166</v>
      </c>
      <c r="E698" s="3">
        <v>1.0</v>
      </c>
      <c r="F698" s="3">
        <v>1.0</v>
      </c>
      <c r="G698" s="1" t="s">
        <v>23</v>
      </c>
    </row>
    <row r="699" ht="12.75" customHeight="1">
      <c r="A699" s="1">
        <v>0.0</v>
      </c>
      <c r="B699" s="2">
        <v>6120201.0</v>
      </c>
      <c r="C699" s="1" t="s">
        <v>4321</v>
      </c>
      <c r="D699" s="1" t="s">
        <v>4322</v>
      </c>
      <c r="E699" s="3">
        <v>1.0</v>
      </c>
      <c r="F699" s="3">
        <v>1.0</v>
      </c>
      <c r="G699" s="1" t="s">
        <v>23</v>
      </c>
    </row>
    <row r="700" ht="12.75" customHeight="1">
      <c r="A700" s="1">
        <v>0.0</v>
      </c>
      <c r="B700" s="2">
        <v>6200302.0</v>
      </c>
      <c r="C700" s="1" t="s">
        <v>1377</v>
      </c>
      <c r="D700" s="1" t="s">
        <v>4341</v>
      </c>
      <c r="E700" s="3">
        <v>1.0</v>
      </c>
      <c r="F700" s="3">
        <v>1.0</v>
      </c>
      <c r="G700" s="1" t="s">
        <v>23</v>
      </c>
    </row>
    <row r="701" ht="12.75" customHeight="1">
      <c r="A701" s="1">
        <v>0.0</v>
      </c>
      <c r="B701" s="2">
        <v>7100105.0</v>
      </c>
      <c r="C701" s="1" t="s">
        <v>4463</v>
      </c>
      <c r="D701" s="1" t="s">
        <v>4464</v>
      </c>
      <c r="E701" s="3">
        <v>1.0</v>
      </c>
      <c r="F701" s="3">
        <v>1.0</v>
      </c>
      <c r="G701" s="1" t="s">
        <v>23</v>
      </c>
    </row>
    <row r="702" ht="12.75" customHeight="1">
      <c r="A702" s="1">
        <v>0.0</v>
      </c>
      <c r="B702" s="2">
        <v>7100700.0</v>
      </c>
      <c r="C702" s="1" t="s">
        <v>4333</v>
      </c>
      <c r="D702" s="1" t="s">
        <v>4334</v>
      </c>
      <c r="E702" s="3">
        <v>1.0</v>
      </c>
      <c r="F702" s="3">
        <v>1.0</v>
      </c>
      <c r="G702" s="1" t="s">
        <v>23</v>
      </c>
    </row>
    <row r="703" ht="12.75" customHeight="1">
      <c r="A703" s="1">
        <v>0.0</v>
      </c>
      <c r="B703" s="2">
        <v>8050207.0</v>
      </c>
      <c r="C703" s="1" t="s">
        <v>6</v>
      </c>
      <c r="D703" s="1" t="s">
        <v>4375</v>
      </c>
      <c r="E703" s="3">
        <v>1.0</v>
      </c>
      <c r="F703" s="3">
        <v>1.0</v>
      </c>
      <c r="G703" s="1" t="s">
        <v>23</v>
      </c>
    </row>
    <row r="704" ht="12.75" customHeight="1">
      <c r="A704" s="1">
        <v>0.0</v>
      </c>
      <c r="B704" s="2">
        <v>8051002.0</v>
      </c>
      <c r="C704" s="1" t="s">
        <v>4417</v>
      </c>
      <c r="D704" s="1" t="s">
        <v>4418</v>
      </c>
      <c r="E704" s="3">
        <v>1.0</v>
      </c>
      <c r="F704" s="3">
        <v>1.0</v>
      </c>
      <c r="G704" s="1" t="s">
        <v>23</v>
      </c>
    </row>
    <row r="705" ht="12.75" customHeight="1">
      <c r="A705" s="1">
        <v>0.0</v>
      </c>
      <c r="B705" s="2">
        <v>8451014.0</v>
      </c>
      <c r="C705" s="1" t="s">
        <v>180</v>
      </c>
      <c r="D705" s="1" t="s">
        <v>4239</v>
      </c>
      <c r="E705" s="3">
        <v>1.0</v>
      </c>
      <c r="F705" s="3">
        <v>1.0</v>
      </c>
      <c r="G705" s="1" t="s">
        <v>23</v>
      </c>
    </row>
    <row r="706" ht="12.75" customHeight="1">
      <c r="E706" s="3"/>
      <c r="F706" s="3"/>
    </row>
    <row r="707" ht="12.75" customHeight="1">
      <c r="E707" s="3"/>
      <c r="F707" s="3"/>
    </row>
    <row r="708" ht="12.75" customHeight="1">
      <c r="E708" s="3"/>
      <c r="F708" s="3"/>
    </row>
    <row r="709" ht="12.75" customHeight="1">
      <c r="E709" s="3"/>
      <c r="F709" s="3"/>
    </row>
    <row r="710" ht="12.75" customHeight="1">
      <c r="E710" s="3"/>
      <c r="F710" s="3"/>
    </row>
    <row r="711" ht="12.75" customHeight="1">
      <c r="E711" s="3"/>
      <c r="F711" s="3"/>
    </row>
    <row r="712" ht="12.75" customHeight="1">
      <c r="E712" s="3"/>
      <c r="F712" s="3"/>
    </row>
    <row r="713" ht="12.75" customHeight="1">
      <c r="E713" s="3"/>
      <c r="F713" s="3"/>
    </row>
    <row r="714" ht="12.75" customHeight="1">
      <c r="E714" s="3"/>
      <c r="F714" s="3"/>
    </row>
    <row r="715" ht="12.75" customHeight="1">
      <c r="E715" s="3"/>
      <c r="F715" s="3"/>
    </row>
    <row r="716" ht="12.75" customHeight="1">
      <c r="E716" s="3"/>
      <c r="F716" s="3"/>
    </row>
    <row r="717" ht="12.75" customHeight="1">
      <c r="E717" s="3"/>
      <c r="F717" s="3"/>
    </row>
    <row r="718" ht="12.75" customHeight="1">
      <c r="E718" s="3"/>
      <c r="F718" s="3"/>
    </row>
    <row r="719" ht="12.75" customHeight="1">
      <c r="E719" s="3"/>
      <c r="F719" s="3"/>
    </row>
    <row r="720" ht="12.75" customHeight="1">
      <c r="E720" s="3"/>
      <c r="F720" s="3"/>
    </row>
    <row r="721" ht="12.75" customHeight="1">
      <c r="E721" s="3"/>
      <c r="F721" s="3"/>
    </row>
    <row r="722" ht="12.75" customHeight="1">
      <c r="E722" s="3"/>
      <c r="F722" s="3"/>
    </row>
    <row r="723" ht="12.75" customHeight="1">
      <c r="E723" s="3"/>
      <c r="F723" s="3"/>
    </row>
    <row r="724" ht="12.75" customHeight="1">
      <c r="E724" s="3"/>
      <c r="F724" s="3"/>
    </row>
    <row r="725" ht="12.75" customHeight="1">
      <c r="E725" s="3"/>
      <c r="F725" s="3"/>
    </row>
    <row r="726" ht="12.75" customHeight="1">
      <c r="E726" s="3"/>
      <c r="F726" s="3"/>
    </row>
    <row r="727" ht="12.75" customHeight="1">
      <c r="E727" s="3"/>
      <c r="F727" s="3"/>
    </row>
    <row r="728" ht="12.75" customHeight="1">
      <c r="E728" s="3"/>
      <c r="F728" s="3"/>
    </row>
    <row r="729" ht="12.75" customHeight="1">
      <c r="E729" s="3"/>
      <c r="F729" s="3"/>
    </row>
    <row r="730" ht="12.75" customHeight="1">
      <c r="E730" s="3"/>
      <c r="F730" s="3"/>
    </row>
    <row r="731" ht="12.75" customHeight="1">
      <c r="E731" s="3"/>
      <c r="F731" s="3"/>
    </row>
    <row r="732" ht="12.75" customHeight="1">
      <c r="E732" s="3"/>
      <c r="F732" s="3"/>
    </row>
    <row r="733" ht="12.75" customHeight="1">
      <c r="E733" s="3"/>
      <c r="F733" s="3"/>
    </row>
    <row r="734" ht="12.75" customHeight="1">
      <c r="E734" s="3"/>
      <c r="F734" s="3"/>
    </row>
    <row r="735" ht="12.75" customHeight="1">
      <c r="E735" s="3"/>
      <c r="F735" s="3"/>
    </row>
    <row r="736" ht="12.75" customHeight="1">
      <c r="E736" s="3"/>
      <c r="F736" s="3"/>
    </row>
    <row r="737" ht="12.75" customHeight="1">
      <c r="E737" s="3"/>
      <c r="F737" s="3"/>
    </row>
    <row r="738" ht="12.75" customHeight="1">
      <c r="E738" s="3"/>
      <c r="F738" s="3"/>
    </row>
    <row r="739" ht="12.75" customHeight="1">
      <c r="E739" s="3"/>
      <c r="F739" s="3"/>
    </row>
    <row r="740" ht="12.75" customHeight="1">
      <c r="E740" s="3"/>
      <c r="F740" s="3"/>
    </row>
    <row r="741" ht="12.75" customHeight="1">
      <c r="E741" s="3"/>
      <c r="F741" s="3"/>
    </row>
    <row r="742" ht="12.75" customHeight="1">
      <c r="E742" s="3"/>
      <c r="F742" s="3"/>
    </row>
    <row r="743" ht="12.75" customHeight="1">
      <c r="E743" s="3"/>
      <c r="F743" s="3"/>
    </row>
    <row r="744" ht="12.75" customHeight="1">
      <c r="E744" s="3"/>
      <c r="F744" s="3"/>
    </row>
    <row r="745" ht="12.75" customHeight="1">
      <c r="E745" s="3"/>
      <c r="F745" s="3"/>
    </row>
    <row r="746" ht="12.75" customHeight="1">
      <c r="E746" s="3"/>
      <c r="F746" s="3"/>
    </row>
    <row r="747" ht="12.75" customHeight="1">
      <c r="E747" s="3"/>
      <c r="F747" s="3"/>
    </row>
    <row r="748" ht="12.75" customHeight="1">
      <c r="E748" s="3"/>
      <c r="F748" s="3"/>
    </row>
    <row r="749" ht="12.75" customHeight="1">
      <c r="E749" s="3"/>
      <c r="F749" s="3"/>
    </row>
    <row r="750" ht="12.75" customHeight="1">
      <c r="E750" s="3"/>
      <c r="F750" s="3"/>
    </row>
    <row r="751" ht="12.75" customHeight="1">
      <c r="E751" s="3"/>
      <c r="F751" s="3"/>
    </row>
    <row r="752" ht="12.75" customHeight="1">
      <c r="E752" s="3"/>
      <c r="F752" s="3"/>
    </row>
    <row r="753" ht="12.75" customHeight="1">
      <c r="E753" s="3"/>
      <c r="F753" s="3"/>
    </row>
    <row r="754" ht="12.75" customHeight="1">
      <c r="E754" s="3"/>
      <c r="F754" s="3"/>
    </row>
    <row r="755" ht="12.75" customHeight="1">
      <c r="E755" s="3"/>
      <c r="F755" s="3"/>
    </row>
    <row r="756" ht="12.75" customHeight="1">
      <c r="E756" s="3"/>
      <c r="F756" s="3"/>
    </row>
    <row r="757" ht="12.75" customHeight="1">
      <c r="E757" s="3"/>
      <c r="F757" s="3"/>
    </row>
    <row r="758" ht="12.75" customHeight="1">
      <c r="E758" s="3"/>
      <c r="F758" s="3"/>
    </row>
    <row r="759" ht="12.75" customHeight="1">
      <c r="E759" s="3"/>
      <c r="F759" s="3"/>
    </row>
    <row r="760" ht="12.75" customHeight="1">
      <c r="E760" s="3"/>
      <c r="F760" s="3"/>
    </row>
    <row r="761" ht="12.75" customHeight="1">
      <c r="E761" s="3"/>
      <c r="F761" s="3"/>
    </row>
    <row r="762" ht="12.75" customHeight="1">
      <c r="E762" s="3"/>
      <c r="F762" s="3"/>
    </row>
    <row r="763" ht="12.75" customHeight="1">
      <c r="E763" s="3"/>
      <c r="F763" s="3"/>
    </row>
    <row r="764" ht="12.75" customHeight="1">
      <c r="E764" s="3"/>
      <c r="F764" s="3"/>
    </row>
    <row r="765" ht="12.75" customHeight="1">
      <c r="E765" s="3"/>
      <c r="F765" s="3"/>
    </row>
    <row r="766" ht="12.75" customHeight="1">
      <c r="E766" s="3"/>
      <c r="F766" s="3"/>
    </row>
    <row r="767" ht="12.75" customHeight="1">
      <c r="E767" s="3"/>
      <c r="F767" s="3"/>
    </row>
    <row r="768" ht="12.75" customHeight="1">
      <c r="E768" s="3"/>
      <c r="F768" s="3"/>
    </row>
    <row r="769" ht="12.75" customHeight="1">
      <c r="E769" s="3"/>
      <c r="F769" s="3"/>
    </row>
    <row r="770" ht="12.75" customHeight="1">
      <c r="E770" s="3"/>
      <c r="F770" s="3"/>
    </row>
    <row r="771" ht="12.75" customHeight="1">
      <c r="E771" s="3"/>
      <c r="F771" s="3"/>
    </row>
    <row r="772" ht="12.75" customHeight="1">
      <c r="E772" s="3"/>
      <c r="F772" s="3"/>
    </row>
    <row r="773" ht="12.75" customHeight="1">
      <c r="E773" s="3"/>
      <c r="F773" s="3"/>
    </row>
    <row r="774" ht="12.75" customHeight="1">
      <c r="E774" s="3"/>
      <c r="F774" s="3"/>
    </row>
    <row r="775" ht="12.75" customHeight="1">
      <c r="E775" s="3"/>
      <c r="F775" s="3"/>
    </row>
    <row r="776" ht="12.75" customHeight="1">
      <c r="E776" s="3"/>
      <c r="F776" s="3"/>
    </row>
    <row r="777" ht="12.75" customHeight="1">
      <c r="E777" s="3"/>
      <c r="F777" s="3"/>
    </row>
    <row r="778" ht="12.75" customHeight="1">
      <c r="E778" s="3"/>
      <c r="F778" s="3"/>
    </row>
    <row r="779" ht="12.75" customHeight="1">
      <c r="E779" s="3"/>
      <c r="F779" s="3"/>
    </row>
    <row r="780" ht="12.75" customHeight="1">
      <c r="E780" s="3"/>
      <c r="F780" s="3"/>
    </row>
    <row r="781" ht="12.75" customHeight="1">
      <c r="E781" s="3"/>
      <c r="F781" s="3"/>
    </row>
    <row r="782" ht="12.75" customHeight="1">
      <c r="E782" s="3"/>
      <c r="F782" s="3"/>
    </row>
    <row r="783" ht="12.75" customHeight="1">
      <c r="E783" s="3"/>
      <c r="F783" s="3"/>
    </row>
    <row r="784" ht="12.75" customHeight="1">
      <c r="E784" s="3"/>
      <c r="F784" s="3"/>
    </row>
    <row r="785" ht="12.75" customHeight="1">
      <c r="E785" s="3"/>
      <c r="F785" s="3"/>
    </row>
    <row r="786" ht="12.75" customHeight="1">
      <c r="E786" s="3"/>
      <c r="F786" s="3"/>
    </row>
    <row r="787" ht="12.75" customHeight="1">
      <c r="E787" s="3"/>
      <c r="F787" s="3"/>
    </row>
    <row r="788" ht="12.75" customHeight="1">
      <c r="E788" s="3"/>
      <c r="F788" s="3"/>
    </row>
    <row r="789" ht="12.75" customHeight="1">
      <c r="E789" s="3"/>
      <c r="F789" s="3"/>
    </row>
    <row r="790" ht="12.75" customHeight="1">
      <c r="E790" s="3"/>
      <c r="F790" s="3"/>
    </row>
    <row r="791" ht="12.75" customHeight="1">
      <c r="E791" s="3"/>
      <c r="F791" s="3"/>
    </row>
    <row r="792" ht="12.75" customHeight="1">
      <c r="E792" s="3"/>
      <c r="F792" s="3"/>
    </row>
    <row r="793" ht="12.75" customHeight="1">
      <c r="E793" s="3"/>
      <c r="F793" s="3"/>
    </row>
    <row r="794" ht="12.75" customHeight="1">
      <c r="E794" s="3"/>
      <c r="F794" s="3"/>
    </row>
    <row r="795" ht="12.75" customHeight="1">
      <c r="E795" s="3"/>
      <c r="F795" s="3"/>
    </row>
    <row r="796" ht="12.75" customHeight="1">
      <c r="E796" s="3"/>
      <c r="F796" s="3"/>
    </row>
    <row r="797" ht="12.75" customHeight="1">
      <c r="E797" s="3"/>
      <c r="F797" s="3"/>
    </row>
    <row r="798" ht="12.75" customHeight="1">
      <c r="E798" s="3"/>
      <c r="F798" s="3"/>
    </row>
    <row r="799" ht="12.75" customHeight="1">
      <c r="E799" s="3"/>
      <c r="F799" s="3"/>
    </row>
    <row r="800" ht="12.75" customHeight="1">
      <c r="E800" s="3"/>
      <c r="F800" s="3"/>
    </row>
    <row r="801" ht="12.75" customHeight="1">
      <c r="E801" s="3"/>
      <c r="F801" s="3"/>
    </row>
    <row r="802" ht="12.75" customHeight="1">
      <c r="E802" s="3"/>
      <c r="F802" s="3"/>
    </row>
    <row r="803" ht="12.75" customHeight="1">
      <c r="E803" s="3"/>
      <c r="F803" s="3"/>
    </row>
    <row r="804" ht="12.75" customHeight="1">
      <c r="E804" s="3"/>
      <c r="F804" s="3"/>
    </row>
    <row r="805" ht="12.75" customHeight="1">
      <c r="E805" s="3"/>
      <c r="F805" s="3"/>
    </row>
    <row r="806" ht="12.75" customHeight="1">
      <c r="E806" s="3"/>
      <c r="F806" s="3"/>
    </row>
    <row r="807" ht="12.75" customHeight="1">
      <c r="E807" s="3"/>
      <c r="F807" s="3"/>
    </row>
    <row r="808" ht="12.75" customHeight="1">
      <c r="E808" s="3"/>
      <c r="F808" s="3"/>
    </row>
    <row r="809" ht="12.75" customHeight="1">
      <c r="E809" s="3"/>
      <c r="F809" s="3"/>
    </row>
    <row r="810" ht="12.75" customHeight="1">
      <c r="E810" s="3"/>
      <c r="F810" s="3"/>
    </row>
    <row r="811" ht="12.75" customHeight="1">
      <c r="E811" s="3"/>
      <c r="F811" s="3"/>
    </row>
    <row r="812" ht="12.75" customHeight="1">
      <c r="E812" s="3"/>
      <c r="F812" s="3"/>
    </row>
    <row r="813" ht="12.75" customHeight="1">
      <c r="E813" s="3"/>
      <c r="F813" s="3"/>
    </row>
    <row r="814" ht="12.75" customHeight="1">
      <c r="E814" s="3"/>
      <c r="F814" s="3"/>
    </row>
    <row r="815" ht="12.75" customHeight="1">
      <c r="E815" s="3"/>
      <c r="F815" s="3"/>
    </row>
    <row r="816" ht="12.75" customHeight="1">
      <c r="E816" s="3"/>
      <c r="F816" s="3"/>
    </row>
    <row r="817" ht="12.75" customHeight="1">
      <c r="E817" s="3"/>
      <c r="F817" s="3"/>
    </row>
    <row r="818" ht="12.75" customHeight="1">
      <c r="E818" s="3"/>
      <c r="F818" s="3"/>
    </row>
    <row r="819" ht="12.75" customHeight="1">
      <c r="E819" s="3"/>
      <c r="F819" s="3"/>
    </row>
    <row r="820" ht="12.75" customHeight="1">
      <c r="E820" s="3"/>
      <c r="F820" s="3"/>
    </row>
    <row r="821" ht="12.75" customHeight="1">
      <c r="E821" s="3"/>
      <c r="F821" s="3"/>
    </row>
    <row r="822" ht="12.75" customHeight="1">
      <c r="E822" s="3"/>
      <c r="F822" s="3"/>
    </row>
    <row r="823" ht="12.75" customHeight="1">
      <c r="E823" s="3"/>
      <c r="F823" s="3"/>
    </row>
    <row r="824" ht="12.75" customHeight="1">
      <c r="E824" s="3"/>
      <c r="F824" s="3"/>
    </row>
    <row r="825" ht="12.75" customHeight="1">
      <c r="E825" s="3"/>
      <c r="F825" s="3"/>
    </row>
    <row r="826" ht="12.75" customHeight="1">
      <c r="E826" s="3"/>
      <c r="F826" s="3"/>
    </row>
    <row r="827" ht="12.75" customHeight="1">
      <c r="E827" s="3"/>
      <c r="F827" s="3"/>
    </row>
    <row r="828" ht="12.75" customHeight="1">
      <c r="E828" s="3"/>
      <c r="F828" s="3"/>
    </row>
    <row r="829" ht="12.75" customHeight="1">
      <c r="E829" s="3"/>
      <c r="F829" s="3"/>
    </row>
    <row r="830" ht="12.75" customHeight="1">
      <c r="E830" s="3"/>
      <c r="F830" s="3"/>
    </row>
    <row r="831" ht="12.75" customHeight="1">
      <c r="E831" s="3"/>
      <c r="F831" s="3"/>
    </row>
    <row r="832" ht="12.75" customHeight="1">
      <c r="E832" s="3"/>
      <c r="F832" s="3"/>
    </row>
    <row r="833" ht="12.75" customHeight="1">
      <c r="E833" s="3"/>
      <c r="F833" s="3"/>
    </row>
    <row r="834" ht="12.75" customHeight="1">
      <c r="E834" s="3"/>
      <c r="F834" s="3"/>
    </row>
    <row r="835" ht="12.75" customHeight="1">
      <c r="E835" s="3"/>
      <c r="F835" s="3"/>
    </row>
    <row r="836" ht="12.75" customHeight="1">
      <c r="E836" s="3"/>
      <c r="F836" s="3"/>
    </row>
    <row r="837" ht="12.75" customHeight="1">
      <c r="E837" s="3"/>
      <c r="F837" s="3"/>
    </row>
    <row r="838" ht="12.75" customHeight="1">
      <c r="E838" s="3"/>
      <c r="F838" s="3"/>
    </row>
    <row r="839" ht="12.75" customHeight="1">
      <c r="E839" s="3"/>
      <c r="F839" s="3"/>
    </row>
    <row r="840" ht="12.75" customHeight="1">
      <c r="E840" s="3"/>
      <c r="F840" s="3"/>
    </row>
    <row r="841" ht="12.75" customHeight="1">
      <c r="E841" s="3"/>
      <c r="F841" s="3"/>
    </row>
    <row r="842" ht="12.75" customHeight="1">
      <c r="E842" s="3"/>
      <c r="F842" s="3"/>
    </row>
    <row r="843" ht="12.75" customHeight="1">
      <c r="E843" s="3"/>
      <c r="F843" s="3"/>
    </row>
    <row r="844" ht="12.75" customHeight="1">
      <c r="E844" s="3"/>
      <c r="F844" s="3"/>
    </row>
    <row r="845" ht="12.75" customHeight="1">
      <c r="E845" s="3"/>
      <c r="F845" s="3"/>
    </row>
    <row r="846" ht="12.75" customHeight="1">
      <c r="E846" s="3"/>
      <c r="F846" s="3"/>
    </row>
    <row r="847" ht="12.75" customHeight="1">
      <c r="E847" s="3"/>
      <c r="F847" s="3"/>
    </row>
    <row r="848" ht="12.75" customHeight="1">
      <c r="E848" s="3"/>
      <c r="F848" s="3"/>
    </row>
    <row r="849" ht="12.75" customHeight="1">
      <c r="E849" s="3"/>
      <c r="F849" s="3"/>
    </row>
    <row r="850" ht="12.75" customHeight="1">
      <c r="E850" s="3"/>
      <c r="F850" s="3"/>
    </row>
    <row r="851" ht="12.75" customHeight="1">
      <c r="E851" s="3"/>
      <c r="F851" s="3"/>
    </row>
    <row r="852" ht="12.75" customHeight="1">
      <c r="E852" s="3"/>
      <c r="F852" s="3"/>
    </row>
    <row r="853" ht="12.75" customHeight="1">
      <c r="E853" s="3"/>
      <c r="F853" s="3"/>
    </row>
    <row r="854" ht="12.75" customHeight="1">
      <c r="E854" s="3"/>
      <c r="F854" s="3"/>
    </row>
    <row r="855" ht="12.75" customHeight="1">
      <c r="E855" s="3"/>
      <c r="F855" s="3"/>
    </row>
    <row r="856" ht="12.75" customHeight="1">
      <c r="E856" s="3"/>
      <c r="F856" s="3"/>
    </row>
    <row r="857" ht="12.75" customHeight="1">
      <c r="E857" s="3"/>
      <c r="F857" s="3"/>
    </row>
    <row r="858" ht="12.75" customHeight="1">
      <c r="E858" s="3"/>
      <c r="F858" s="3"/>
    </row>
    <row r="859" ht="12.75" customHeight="1">
      <c r="E859" s="3"/>
      <c r="F859" s="3"/>
    </row>
    <row r="860" ht="12.75" customHeight="1">
      <c r="E860" s="3"/>
      <c r="F860" s="3"/>
    </row>
    <row r="861" ht="12.75" customHeight="1">
      <c r="E861" s="3"/>
      <c r="F861" s="3"/>
    </row>
    <row r="862" ht="12.75" customHeight="1">
      <c r="E862" s="3"/>
      <c r="F862" s="3"/>
    </row>
    <row r="863" ht="12.75" customHeight="1">
      <c r="E863" s="3"/>
      <c r="F863" s="3"/>
    </row>
    <row r="864" ht="12.75" customHeight="1">
      <c r="E864" s="3"/>
      <c r="F864" s="3"/>
    </row>
    <row r="865" ht="12.75" customHeight="1">
      <c r="E865" s="3"/>
      <c r="F865" s="3"/>
    </row>
    <row r="866" ht="12.75" customHeight="1">
      <c r="E866" s="3"/>
      <c r="F866" s="3"/>
    </row>
    <row r="867" ht="12.75" customHeight="1">
      <c r="E867" s="3"/>
      <c r="F867" s="3"/>
    </row>
    <row r="868" ht="12.75" customHeight="1">
      <c r="E868" s="3"/>
      <c r="F868" s="3"/>
    </row>
    <row r="869" ht="12.75" customHeight="1">
      <c r="E869" s="3"/>
      <c r="F869" s="3"/>
    </row>
    <row r="870" ht="12.75" customHeight="1">
      <c r="E870" s="3"/>
      <c r="F870" s="3"/>
    </row>
    <row r="871" ht="12.75" customHeight="1">
      <c r="E871" s="3"/>
      <c r="F871" s="3"/>
    </row>
    <row r="872" ht="12.75" customHeight="1">
      <c r="E872" s="3"/>
      <c r="F872" s="3"/>
    </row>
    <row r="873" ht="12.75" customHeight="1">
      <c r="E873" s="3"/>
      <c r="F873" s="3"/>
    </row>
    <row r="874" ht="12.75" customHeight="1">
      <c r="E874" s="3"/>
      <c r="F874" s="3"/>
    </row>
    <row r="875" ht="12.75" customHeight="1">
      <c r="E875" s="3"/>
      <c r="F875" s="3"/>
    </row>
    <row r="876" ht="12.75" customHeight="1">
      <c r="E876" s="3"/>
      <c r="F876" s="3"/>
    </row>
    <row r="877" ht="12.75" customHeight="1">
      <c r="E877" s="3"/>
      <c r="F877" s="3"/>
    </row>
    <row r="878" ht="12.75" customHeight="1">
      <c r="E878" s="3"/>
      <c r="F878" s="3"/>
    </row>
    <row r="879" ht="12.75" customHeight="1">
      <c r="E879" s="3"/>
      <c r="F879" s="3"/>
    </row>
    <row r="880" ht="12.75" customHeight="1">
      <c r="E880" s="3"/>
      <c r="F880" s="3"/>
    </row>
    <row r="881" ht="12.75" customHeight="1">
      <c r="E881" s="3"/>
      <c r="F881" s="3"/>
    </row>
    <row r="882" ht="12.75" customHeight="1">
      <c r="E882" s="3"/>
      <c r="F882" s="3"/>
    </row>
    <row r="883" ht="12.75" customHeight="1">
      <c r="E883" s="3"/>
      <c r="F883" s="3"/>
    </row>
    <row r="884" ht="12.75" customHeight="1">
      <c r="E884" s="3"/>
      <c r="F884" s="3"/>
    </row>
    <row r="885" ht="12.75" customHeight="1">
      <c r="E885" s="3"/>
      <c r="F885" s="3"/>
    </row>
    <row r="886" ht="12.75" customHeight="1">
      <c r="E886" s="3"/>
      <c r="F886" s="3"/>
    </row>
    <row r="887" ht="12.75" customHeight="1">
      <c r="E887" s="3"/>
      <c r="F887" s="3"/>
    </row>
    <row r="888" ht="12.75" customHeight="1">
      <c r="E888" s="3"/>
      <c r="F888" s="3"/>
    </row>
    <row r="889" ht="12.75" customHeight="1">
      <c r="E889" s="3"/>
      <c r="F889" s="3"/>
    </row>
    <row r="890" ht="12.75" customHeight="1">
      <c r="E890" s="3"/>
      <c r="F890" s="3"/>
    </row>
    <row r="891" ht="12.75" customHeight="1">
      <c r="E891" s="3"/>
      <c r="F891" s="3"/>
    </row>
    <row r="892" ht="12.75" customHeight="1">
      <c r="E892" s="3"/>
      <c r="F892" s="3"/>
    </row>
    <row r="893" ht="12.75" customHeight="1">
      <c r="E893" s="3"/>
      <c r="F893" s="3"/>
    </row>
    <row r="894" ht="12.75" customHeight="1">
      <c r="E894" s="3"/>
      <c r="F894" s="3"/>
    </row>
    <row r="895" ht="12.75" customHeight="1">
      <c r="E895" s="3"/>
      <c r="F895" s="3"/>
    </row>
    <row r="896" ht="12.75" customHeight="1">
      <c r="E896" s="3"/>
      <c r="F896" s="3"/>
    </row>
    <row r="897" ht="12.75" customHeight="1">
      <c r="E897" s="3"/>
      <c r="F897" s="3"/>
    </row>
    <row r="898" ht="12.75" customHeight="1">
      <c r="E898" s="3"/>
      <c r="F898" s="3"/>
    </row>
    <row r="899" ht="12.75" customHeight="1">
      <c r="E899" s="3"/>
      <c r="F899" s="3"/>
    </row>
    <row r="900" ht="12.75" customHeight="1">
      <c r="E900" s="3"/>
      <c r="F900" s="3"/>
    </row>
    <row r="901" ht="12.75" customHeight="1">
      <c r="E901" s="3"/>
      <c r="F901" s="3"/>
    </row>
    <row r="902" ht="12.75" customHeight="1">
      <c r="E902" s="3"/>
      <c r="F902" s="3"/>
    </row>
    <row r="903" ht="12.75" customHeight="1">
      <c r="E903" s="3"/>
      <c r="F903" s="3"/>
    </row>
    <row r="904" ht="12.75" customHeight="1">
      <c r="E904" s="3"/>
      <c r="F904" s="3"/>
    </row>
    <row r="905" ht="12.75" customHeight="1">
      <c r="E905" s="3"/>
      <c r="F905" s="3"/>
    </row>
    <row r="906" ht="12.75" customHeight="1">
      <c r="E906" s="3"/>
      <c r="F906" s="3"/>
    </row>
    <row r="907" ht="12.75" customHeight="1">
      <c r="E907" s="3"/>
      <c r="F907" s="3"/>
    </row>
    <row r="908" ht="12.75" customHeight="1">
      <c r="E908" s="3"/>
      <c r="F908" s="3"/>
    </row>
    <row r="909" ht="12.75" customHeight="1">
      <c r="E909" s="3"/>
      <c r="F909" s="3"/>
    </row>
    <row r="910" ht="12.75" customHeight="1">
      <c r="E910" s="3"/>
      <c r="F910" s="3"/>
    </row>
    <row r="911" ht="12.75" customHeight="1">
      <c r="E911" s="3"/>
      <c r="F911" s="3"/>
    </row>
    <row r="912" ht="12.75" customHeight="1">
      <c r="E912" s="3"/>
      <c r="F912" s="3"/>
    </row>
    <row r="913" ht="12.75" customHeight="1">
      <c r="E913" s="3"/>
      <c r="F913" s="3"/>
    </row>
    <row r="914" ht="12.75" customHeight="1">
      <c r="E914" s="3"/>
      <c r="F914" s="3"/>
    </row>
    <row r="915" ht="12.75" customHeight="1">
      <c r="E915" s="3"/>
      <c r="F915" s="3"/>
    </row>
    <row r="916" ht="12.75" customHeight="1">
      <c r="E916" s="3"/>
      <c r="F916" s="3"/>
    </row>
    <row r="917" ht="12.75" customHeight="1">
      <c r="E917" s="3"/>
      <c r="F917" s="3"/>
    </row>
    <row r="918" ht="12.75" customHeight="1">
      <c r="E918" s="3"/>
      <c r="F918" s="3"/>
    </row>
    <row r="919" ht="12.75" customHeight="1">
      <c r="E919" s="3"/>
      <c r="F919" s="3"/>
    </row>
    <row r="920" ht="12.75" customHeight="1">
      <c r="E920" s="3"/>
      <c r="F920" s="3"/>
    </row>
    <row r="921" ht="12.75" customHeight="1">
      <c r="E921" s="3"/>
      <c r="F921" s="3"/>
    </row>
    <row r="922" ht="12.75" customHeight="1">
      <c r="E922" s="3"/>
      <c r="F922" s="3"/>
    </row>
    <row r="923" ht="12.75" customHeight="1">
      <c r="E923" s="3"/>
      <c r="F923" s="3"/>
    </row>
    <row r="924" ht="12.75" customHeight="1">
      <c r="E924" s="3"/>
      <c r="F924" s="3"/>
    </row>
    <row r="925" ht="12.75" customHeight="1">
      <c r="E925" s="3"/>
      <c r="F925" s="3"/>
    </row>
    <row r="926" ht="12.75" customHeight="1">
      <c r="E926" s="3"/>
      <c r="F926" s="3"/>
    </row>
    <row r="927" ht="12.75" customHeight="1">
      <c r="E927" s="3"/>
      <c r="F927" s="3"/>
    </row>
    <row r="928" ht="12.75" customHeight="1">
      <c r="E928" s="3"/>
      <c r="F928" s="3"/>
    </row>
    <row r="929" ht="12.75" customHeight="1">
      <c r="E929" s="3"/>
      <c r="F929" s="3"/>
    </row>
    <row r="930" ht="12.75" customHeight="1">
      <c r="E930" s="3"/>
      <c r="F930" s="3"/>
    </row>
    <row r="931" ht="12.75" customHeight="1">
      <c r="E931" s="3"/>
      <c r="F931" s="3"/>
    </row>
    <row r="932" ht="12.75" customHeight="1">
      <c r="E932" s="3"/>
      <c r="F932" s="3"/>
    </row>
    <row r="933" ht="12.75" customHeight="1">
      <c r="E933" s="3"/>
      <c r="F933" s="3"/>
    </row>
    <row r="934" ht="12.75" customHeight="1">
      <c r="E934" s="3"/>
      <c r="F934" s="3"/>
    </row>
    <row r="935" ht="12.75" customHeight="1">
      <c r="E935" s="3"/>
      <c r="F935" s="3"/>
    </row>
    <row r="936" ht="12.75" customHeight="1">
      <c r="E936" s="3"/>
      <c r="F936" s="3"/>
    </row>
    <row r="937" ht="12.75" customHeight="1">
      <c r="E937" s="3"/>
      <c r="F937" s="3"/>
    </row>
    <row r="938" ht="12.75" customHeight="1">
      <c r="E938" s="3"/>
      <c r="F938" s="3"/>
    </row>
    <row r="939" ht="12.75" customHeight="1">
      <c r="E939" s="3"/>
      <c r="F939" s="3"/>
    </row>
    <row r="940" ht="12.75" customHeight="1">
      <c r="E940" s="3"/>
      <c r="F940" s="3"/>
    </row>
    <row r="941" ht="12.75" customHeight="1">
      <c r="E941" s="3"/>
      <c r="F941" s="3"/>
    </row>
    <row r="942" ht="12.75" customHeight="1">
      <c r="E942" s="3"/>
      <c r="F942" s="3"/>
    </row>
    <row r="943" ht="12.75" customHeight="1">
      <c r="E943" s="3"/>
      <c r="F943" s="3"/>
    </row>
    <row r="944" ht="12.75" customHeight="1">
      <c r="E944" s="3"/>
      <c r="F944" s="3"/>
    </row>
    <row r="945" ht="12.75" customHeight="1">
      <c r="E945" s="3"/>
      <c r="F945" s="3"/>
    </row>
    <row r="946" ht="12.75" customHeight="1">
      <c r="E946" s="3"/>
      <c r="F946" s="3"/>
    </row>
    <row r="947" ht="12.75" customHeight="1">
      <c r="E947" s="3"/>
      <c r="F947" s="3"/>
    </row>
    <row r="948" ht="12.75" customHeight="1">
      <c r="E948" s="3"/>
      <c r="F948" s="3"/>
    </row>
    <row r="949" ht="12.75" customHeight="1">
      <c r="E949" s="3"/>
      <c r="F949" s="3"/>
    </row>
    <row r="950" ht="12.75" customHeight="1">
      <c r="E950" s="3"/>
      <c r="F950" s="3"/>
    </row>
    <row r="951" ht="12.75" customHeight="1">
      <c r="E951" s="3"/>
      <c r="F951" s="3"/>
    </row>
    <row r="952" ht="12.75" customHeight="1">
      <c r="E952" s="3"/>
      <c r="F952" s="3"/>
    </row>
    <row r="953" ht="12.75" customHeight="1">
      <c r="E953" s="3"/>
      <c r="F953" s="3"/>
    </row>
    <row r="954" ht="12.75" customHeight="1">
      <c r="E954" s="3"/>
      <c r="F954" s="3"/>
    </row>
    <row r="955" ht="12.75" customHeight="1">
      <c r="E955" s="3"/>
      <c r="F955" s="3"/>
    </row>
    <row r="956" ht="12.75" customHeight="1">
      <c r="E956" s="3"/>
      <c r="F956" s="3"/>
    </row>
    <row r="957" ht="12.75" customHeight="1">
      <c r="E957" s="3"/>
      <c r="F957" s="3"/>
    </row>
    <row r="958" ht="12.75" customHeight="1">
      <c r="E958" s="3"/>
      <c r="F958" s="3"/>
    </row>
    <row r="959" ht="12.75" customHeight="1">
      <c r="E959" s="3"/>
      <c r="F959" s="3"/>
    </row>
    <row r="960" ht="12.75" customHeight="1">
      <c r="E960" s="3"/>
      <c r="F960" s="3"/>
    </row>
    <row r="961" ht="12.75" customHeight="1">
      <c r="E961" s="3"/>
      <c r="F961" s="3"/>
    </row>
    <row r="962" ht="12.75" customHeight="1">
      <c r="E962" s="3"/>
      <c r="F962" s="3"/>
    </row>
    <row r="963" ht="12.75" customHeight="1">
      <c r="E963" s="3"/>
      <c r="F963" s="3"/>
    </row>
    <row r="964" ht="12.75" customHeight="1">
      <c r="E964" s="3"/>
      <c r="F964" s="3"/>
    </row>
    <row r="965" ht="12.75" customHeight="1">
      <c r="E965" s="3"/>
      <c r="F965" s="3"/>
    </row>
    <row r="966" ht="12.75" customHeight="1">
      <c r="E966" s="3"/>
      <c r="F966" s="3"/>
    </row>
    <row r="967" ht="12.75" customHeight="1">
      <c r="E967" s="3"/>
      <c r="F967" s="3"/>
    </row>
    <row r="968" ht="12.75" customHeight="1">
      <c r="E968" s="3"/>
      <c r="F968" s="3"/>
    </row>
    <row r="969" ht="12.75" customHeight="1">
      <c r="E969" s="3"/>
      <c r="F969" s="3"/>
    </row>
    <row r="970" ht="12.75" customHeight="1">
      <c r="E970" s="3"/>
      <c r="F970" s="3"/>
    </row>
    <row r="971" ht="12.75" customHeight="1">
      <c r="E971" s="3"/>
      <c r="F971" s="3"/>
    </row>
    <row r="972" ht="12.75" customHeight="1">
      <c r="E972" s="3"/>
      <c r="F972" s="3"/>
    </row>
    <row r="973" ht="12.75" customHeight="1">
      <c r="E973" s="3"/>
      <c r="F973" s="3"/>
    </row>
    <row r="974" ht="12.75" customHeight="1">
      <c r="E974" s="3"/>
      <c r="F974" s="3"/>
    </row>
    <row r="975" ht="12.75" customHeight="1">
      <c r="E975" s="3"/>
      <c r="F975" s="3"/>
    </row>
    <row r="976" ht="12.75" customHeight="1">
      <c r="E976" s="3"/>
      <c r="F976" s="3"/>
    </row>
    <row r="977" ht="12.75" customHeight="1">
      <c r="E977" s="3"/>
      <c r="F977" s="3"/>
    </row>
    <row r="978" ht="12.75" customHeight="1">
      <c r="E978" s="3"/>
      <c r="F978" s="3"/>
    </row>
    <row r="979" ht="12.75" customHeight="1">
      <c r="E979" s="3"/>
      <c r="F979" s="3"/>
    </row>
    <row r="980" ht="12.75" customHeight="1">
      <c r="E980" s="3"/>
      <c r="F980" s="3"/>
    </row>
    <row r="981" ht="12.75" customHeight="1">
      <c r="E981" s="3"/>
      <c r="F981" s="3"/>
    </row>
    <row r="982" ht="12.75" customHeight="1">
      <c r="E982" s="3"/>
      <c r="F982" s="3"/>
    </row>
    <row r="983" ht="12.75" customHeight="1">
      <c r="E983" s="3"/>
      <c r="F983" s="3"/>
    </row>
    <row r="984" ht="12.75" customHeight="1">
      <c r="E984" s="3"/>
      <c r="F984" s="3"/>
    </row>
    <row r="985" ht="12.75" customHeight="1">
      <c r="E985" s="3"/>
      <c r="F985" s="3"/>
    </row>
    <row r="986" ht="12.75" customHeight="1">
      <c r="E986" s="3"/>
      <c r="F986" s="3"/>
    </row>
    <row r="987" ht="12.75" customHeight="1">
      <c r="E987" s="3"/>
      <c r="F987" s="3"/>
    </row>
    <row r="988" ht="12.75" customHeight="1">
      <c r="E988" s="3"/>
      <c r="F988" s="3"/>
    </row>
    <row r="989" ht="12.75" customHeight="1">
      <c r="E989" s="3"/>
      <c r="F989" s="3"/>
    </row>
    <row r="990" ht="12.75" customHeight="1">
      <c r="E990" s="3"/>
      <c r="F990" s="3"/>
    </row>
    <row r="991" ht="12.75" customHeight="1">
      <c r="E991" s="3"/>
      <c r="F991" s="3"/>
    </row>
    <row r="992" ht="12.75" customHeight="1">
      <c r="E992" s="3"/>
      <c r="F992" s="3"/>
    </row>
    <row r="993" ht="12.75" customHeight="1">
      <c r="E993" s="3"/>
      <c r="F993" s="3"/>
    </row>
    <row r="994" ht="12.75" customHeight="1">
      <c r="E994" s="3"/>
      <c r="F994" s="3"/>
    </row>
    <row r="995" ht="12.75" customHeight="1">
      <c r="E995" s="3"/>
      <c r="F995" s="3"/>
    </row>
    <row r="996" ht="12.75" customHeight="1">
      <c r="E996" s="3"/>
      <c r="F996" s="3"/>
    </row>
    <row r="997" ht="12.75" customHeight="1">
      <c r="E997" s="3"/>
      <c r="F997" s="3"/>
    </row>
    <row r="998" ht="12.75" customHeight="1">
      <c r="E998" s="3"/>
      <c r="F998" s="3"/>
    </row>
    <row r="999" ht="12.75" customHeight="1">
      <c r="E999" s="3"/>
      <c r="F999" s="3"/>
    </row>
    <row r="1000" ht="12.75" customHeight="1">
      <c r="E1000" s="3"/>
      <c r="F1000" s="3"/>
    </row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38.13"/>
    <col customWidth="1" min="4" max="4" width="25.13"/>
    <col customWidth="1" min="5" max="19" width="11.5"/>
    <col customWidth="1" min="20" max="26" width="8.63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H1" s="7" t="s">
        <v>5942</v>
      </c>
      <c r="I1" s="1" t="s">
        <v>5943</v>
      </c>
      <c r="J1" s="1" t="s">
        <v>5944</v>
      </c>
      <c r="K1" s="1" t="s">
        <v>5945</v>
      </c>
      <c r="L1" s="1" t="s">
        <v>5946</v>
      </c>
      <c r="M1" s="1" t="s">
        <v>5947</v>
      </c>
      <c r="N1" s="1" t="s">
        <v>5948</v>
      </c>
      <c r="O1" s="1" t="s">
        <v>5949</v>
      </c>
      <c r="P1" s="1" t="s">
        <v>5950</v>
      </c>
      <c r="Q1" s="1" t="s">
        <v>5951</v>
      </c>
      <c r="R1" s="1" t="s">
        <v>5952</v>
      </c>
      <c r="S1" s="1" t="s">
        <v>5953</v>
      </c>
    </row>
    <row r="2" ht="12.75" customHeight="1">
      <c r="A2" s="1">
        <v>23.0</v>
      </c>
      <c r="B2" s="2">
        <v>3805015.0</v>
      </c>
      <c r="C2" s="1" t="s">
        <v>62</v>
      </c>
      <c r="D2" s="1" t="s">
        <v>100</v>
      </c>
      <c r="E2" s="3">
        <v>1.0</v>
      </c>
      <c r="F2" s="3">
        <v>1.0</v>
      </c>
      <c r="G2" s="1" t="s">
        <v>23</v>
      </c>
      <c r="H2" s="1" t="s">
        <v>5954</v>
      </c>
      <c r="I2" s="1">
        <v>49.0</v>
      </c>
      <c r="K2" s="1">
        <v>54.0</v>
      </c>
      <c r="M2" s="1">
        <v>1320.0</v>
      </c>
      <c r="N2" s="1">
        <v>70.0</v>
      </c>
      <c r="O2" s="1" t="s">
        <v>5955</v>
      </c>
      <c r="P2" s="1" t="s">
        <v>5956</v>
      </c>
      <c r="Q2" s="8" t="s">
        <v>5957</v>
      </c>
      <c r="S2" s="1">
        <v>395.0</v>
      </c>
    </row>
    <row r="3" ht="12.75" customHeight="1">
      <c r="A3" s="1">
        <v>14.0</v>
      </c>
      <c r="B3" s="2">
        <v>3801552.0</v>
      </c>
      <c r="C3" s="1" t="s">
        <v>47</v>
      </c>
      <c r="D3" s="1" t="s">
        <v>165</v>
      </c>
      <c r="E3" s="3">
        <v>1.0</v>
      </c>
      <c r="F3" s="3">
        <v>11.0</v>
      </c>
      <c r="G3" s="1" t="s">
        <v>39</v>
      </c>
      <c r="H3" s="1" t="s">
        <v>5954</v>
      </c>
      <c r="I3" s="1">
        <v>49.0</v>
      </c>
      <c r="J3" s="1">
        <v>97.0</v>
      </c>
      <c r="K3" s="1">
        <v>64.0</v>
      </c>
      <c r="L3" s="1">
        <v>51.0</v>
      </c>
      <c r="M3" s="1">
        <v>980.0</v>
      </c>
      <c r="N3" s="1" t="s">
        <v>5958</v>
      </c>
      <c r="O3" s="1" t="s">
        <v>5955</v>
      </c>
      <c r="P3" s="1" t="s">
        <v>5959</v>
      </c>
      <c r="Q3" s="8"/>
    </row>
    <row r="4" ht="12.75" customHeight="1">
      <c r="A4" s="1">
        <v>15.0</v>
      </c>
      <c r="B4" s="2">
        <v>3801963.0</v>
      </c>
      <c r="C4" s="1" t="s">
        <v>152</v>
      </c>
      <c r="D4" s="1" t="s">
        <v>153</v>
      </c>
      <c r="E4" s="3">
        <v>1.0</v>
      </c>
      <c r="F4" s="3">
        <v>1.0</v>
      </c>
      <c r="G4" s="1" t="s">
        <v>23</v>
      </c>
      <c r="H4" s="1" t="s">
        <v>5954</v>
      </c>
      <c r="I4" s="1">
        <v>51.0</v>
      </c>
      <c r="J4" s="1">
        <v>81.0</v>
      </c>
      <c r="K4" s="1">
        <v>65.0</v>
      </c>
      <c r="L4" s="1">
        <v>49.0</v>
      </c>
      <c r="M4" s="1">
        <v>984.0</v>
      </c>
      <c r="N4" s="1">
        <v>164.0</v>
      </c>
      <c r="O4" s="1" t="s">
        <v>5955</v>
      </c>
      <c r="P4" s="1" t="s">
        <v>5960</v>
      </c>
      <c r="Q4" s="8" t="s">
        <v>5961</v>
      </c>
      <c r="R4" s="1" t="s">
        <v>5962</v>
      </c>
      <c r="S4" s="1">
        <v>443.0</v>
      </c>
    </row>
    <row r="5" ht="12.75" customHeight="1">
      <c r="A5" s="1">
        <v>4.0</v>
      </c>
      <c r="B5" s="2">
        <v>3801544.0</v>
      </c>
      <c r="C5" s="1" t="s">
        <v>47</v>
      </c>
      <c r="D5" s="1" t="s">
        <v>85</v>
      </c>
      <c r="E5" s="3">
        <v>2.0</v>
      </c>
      <c r="F5" s="3">
        <v>1.0</v>
      </c>
      <c r="G5" s="1" t="s">
        <v>23</v>
      </c>
      <c r="H5" s="1" t="s">
        <v>5954</v>
      </c>
      <c r="I5" s="1">
        <v>51.0</v>
      </c>
      <c r="J5" s="1">
        <v>99.0</v>
      </c>
      <c r="K5" s="1">
        <v>65.0</v>
      </c>
      <c r="L5" s="1">
        <v>49.0</v>
      </c>
      <c r="M5" s="1">
        <v>984.0</v>
      </c>
      <c r="O5" s="1" t="s">
        <v>5955</v>
      </c>
      <c r="P5" s="1" t="s">
        <v>5963</v>
      </c>
      <c r="Q5" s="8"/>
    </row>
    <row r="6" ht="12.75" customHeight="1">
      <c r="A6" s="1">
        <v>5.0</v>
      </c>
      <c r="B6" s="2">
        <v>3801560.0</v>
      </c>
      <c r="C6" s="1" t="s">
        <v>47</v>
      </c>
      <c r="D6" s="1" t="s">
        <v>338</v>
      </c>
      <c r="E6" s="3">
        <v>1.0</v>
      </c>
      <c r="F6" s="3">
        <v>7.0</v>
      </c>
      <c r="G6" s="1" t="s">
        <v>31</v>
      </c>
      <c r="H6" s="1" t="s">
        <v>5964</v>
      </c>
      <c r="I6" s="1">
        <v>51.0</v>
      </c>
      <c r="J6" s="1">
        <v>76.0</v>
      </c>
      <c r="K6" s="1">
        <v>76.0</v>
      </c>
      <c r="L6" s="1">
        <v>45.0</v>
      </c>
      <c r="M6" s="1">
        <v>1300.0</v>
      </c>
      <c r="N6" s="1">
        <v>170.0</v>
      </c>
      <c r="O6" s="1" t="s">
        <v>5955</v>
      </c>
      <c r="Q6" s="8"/>
    </row>
    <row r="7" ht="12.75" customHeight="1">
      <c r="A7" s="1">
        <v>9.0</v>
      </c>
      <c r="B7" s="2">
        <v>3801959.0</v>
      </c>
      <c r="C7" s="1" t="s">
        <v>220</v>
      </c>
      <c r="D7" s="1" t="s">
        <v>221</v>
      </c>
      <c r="E7" s="3">
        <v>1.0</v>
      </c>
      <c r="F7" s="3">
        <v>10.0</v>
      </c>
      <c r="G7" s="1" t="s">
        <v>5319</v>
      </c>
      <c r="H7" s="1" t="s">
        <v>5964</v>
      </c>
      <c r="I7" s="1">
        <v>51.0</v>
      </c>
      <c r="J7" s="1">
        <v>86.0</v>
      </c>
      <c r="K7" s="1">
        <v>57.0</v>
      </c>
      <c r="N7" s="1">
        <v>0.0</v>
      </c>
      <c r="O7" s="1" t="s">
        <v>5965</v>
      </c>
      <c r="P7" s="1" t="s">
        <v>5966</v>
      </c>
      <c r="Q7" s="8" t="s">
        <v>5966</v>
      </c>
      <c r="R7" s="1">
        <v>1.0</v>
      </c>
    </row>
    <row r="8" ht="12.75" customHeight="1">
      <c r="A8" s="1">
        <v>39.0</v>
      </c>
      <c r="B8" s="2">
        <v>3801549.0</v>
      </c>
      <c r="C8" s="1" t="s">
        <v>47</v>
      </c>
      <c r="D8" s="1" t="s">
        <v>48</v>
      </c>
      <c r="E8" s="3">
        <v>1.0</v>
      </c>
      <c r="F8" s="3">
        <v>11.0</v>
      </c>
      <c r="G8" s="1" t="s">
        <v>39</v>
      </c>
      <c r="H8" s="1" t="s">
        <v>5954</v>
      </c>
      <c r="I8" s="1">
        <v>52.0</v>
      </c>
      <c r="J8" s="1">
        <v>97.0</v>
      </c>
      <c r="K8" s="1">
        <v>65.0</v>
      </c>
      <c r="L8" s="1">
        <v>51.0</v>
      </c>
      <c r="M8" s="1">
        <v>980.0</v>
      </c>
      <c r="N8" s="1" t="s">
        <v>5967</v>
      </c>
      <c r="O8" s="1" t="s">
        <v>5955</v>
      </c>
      <c r="P8" s="1" t="s">
        <v>5968</v>
      </c>
      <c r="Q8" s="8"/>
    </row>
    <row r="9" ht="12.75" customHeight="1">
      <c r="A9" s="1">
        <v>1.0</v>
      </c>
      <c r="B9" s="2">
        <v>8270308.0</v>
      </c>
      <c r="C9" s="1" t="s">
        <v>580</v>
      </c>
      <c r="D9" s="1" t="s">
        <v>182</v>
      </c>
      <c r="E9" s="3">
        <v>3.0</v>
      </c>
      <c r="F9" s="3">
        <v>1.0</v>
      </c>
      <c r="G9" s="1" t="s">
        <v>23</v>
      </c>
      <c r="H9" s="1" t="s">
        <v>5954</v>
      </c>
      <c r="I9" s="1">
        <v>54.0</v>
      </c>
      <c r="J9" s="1">
        <v>105.0</v>
      </c>
      <c r="K9" s="1">
        <v>73.0</v>
      </c>
      <c r="M9" s="1">
        <v>1000.0</v>
      </c>
      <c r="N9" s="1">
        <v>200.0</v>
      </c>
      <c r="Q9" s="8"/>
    </row>
    <row r="10" ht="12.75" customHeight="1">
      <c r="A10" s="1">
        <v>2.0</v>
      </c>
      <c r="B10" s="2">
        <v>3802058.0</v>
      </c>
      <c r="C10" s="1" t="s">
        <v>152</v>
      </c>
      <c r="D10" s="1" t="s">
        <v>596</v>
      </c>
      <c r="E10" s="3">
        <v>1.0</v>
      </c>
      <c r="F10" s="3">
        <v>7.0</v>
      </c>
      <c r="G10" s="1" t="s">
        <v>31</v>
      </c>
      <c r="H10" s="1" t="s">
        <v>5964</v>
      </c>
      <c r="I10" s="1">
        <v>54.0</v>
      </c>
      <c r="J10" s="1">
        <v>81.0</v>
      </c>
      <c r="K10" s="1">
        <v>65.0</v>
      </c>
      <c r="L10" s="1">
        <v>50.0</v>
      </c>
      <c r="M10" s="1">
        <v>984.0</v>
      </c>
      <c r="N10" s="1">
        <v>197.0</v>
      </c>
      <c r="O10" s="1" t="s">
        <v>5955</v>
      </c>
      <c r="P10" s="1" t="s">
        <v>5966</v>
      </c>
      <c r="Q10" s="8" t="s">
        <v>5969</v>
      </c>
    </row>
    <row r="11" ht="12.75" customHeight="1">
      <c r="A11" s="1">
        <v>3.0</v>
      </c>
      <c r="B11" s="2" t="s">
        <v>450</v>
      </c>
      <c r="C11" s="1" t="s">
        <v>143</v>
      </c>
      <c r="D11" s="1" t="s">
        <v>195</v>
      </c>
      <c r="E11" s="3">
        <v>1.0</v>
      </c>
      <c r="F11" s="3">
        <v>10.0</v>
      </c>
      <c r="G11" s="1" t="s">
        <v>5319</v>
      </c>
      <c r="H11" s="1" t="s">
        <v>5964</v>
      </c>
      <c r="I11" s="1">
        <v>59.0</v>
      </c>
      <c r="J11" s="1">
        <v>81.0</v>
      </c>
      <c r="K11" s="1">
        <v>81.0</v>
      </c>
      <c r="Q11" s="8"/>
      <c r="R11" s="1">
        <v>16.0</v>
      </c>
    </row>
    <row r="12" ht="12.75" customHeight="1">
      <c r="A12" s="1">
        <v>7.0</v>
      </c>
      <c r="B12" s="2" t="s">
        <v>250</v>
      </c>
      <c r="C12" s="1" t="s">
        <v>143</v>
      </c>
      <c r="D12" s="1" t="s">
        <v>144</v>
      </c>
      <c r="E12" s="3">
        <v>1.0</v>
      </c>
      <c r="F12" s="3">
        <v>4.0</v>
      </c>
      <c r="G12" s="1" t="s">
        <v>29</v>
      </c>
      <c r="H12" s="1" t="s">
        <v>5954</v>
      </c>
      <c r="I12" s="1">
        <v>73.0</v>
      </c>
      <c r="J12" s="1">
        <v>135.0</v>
      </c>
      <c r="K12" s="1">
        <v>76.0</v>
      </c>
      <c r="O12" s="1" t="s">
        <v>5955</v>
      </c>
      <c r="P12" s="1" t="s">
        <v>5968</v>
      </c>
      <c r="Q12" s="8"/>
      <c r="R12" s="1" t="s">
        <v>5970</v>
      </c>
    </row>
    <row r="13" ht="12.75" customHeight="1">
      <c r="A13" s="1">
        <v>2.0</v>
      </c>
      <c r="B13" s="2" t="s">
        <v>570</v>
      </c>
      <c r="C13" s="1" t="s">
        <v>21</v>
      </c>
      <c r="D13" s="1" t="s">
        <v>571</v>
      </c>
      <c r="E13" s="3">
        <v>1.0</v>
      </c>
      <c r="F13" s="3">
        <v>1.0</v>
      </c>
      <c r="G13" s="1" t="s">
        <v>23</v>
      </c>
      <c r="H13" s="1" t="s">
        <v>5954</v>
      </c>
      <c r="Q13" s="8"/>
    </row>
    <row r="14" ht="12.75" customHeight="1">
      <c r="A14" s="1">
        <v>1.0</v>
      </c>
      <c r="B14" s="2">
        <v>3801521.0</v>
      </c>
      <c r="C14" s="1" t="s">
        <v>21</v>
      </c>
      <c r="D14" s="1" t="s">
        <v>1376</v>
      </c>
      <c r="E14" s="3">
        <v>1.0</v>
      </c>
      <c r="F14" s="3">
        <v>1.0</v>
      </c>
      <c r="G14" s="1" t="s">
        <v>23</v>
      </c>
      <c r="H14" s="1" t="s">
        <v>5954</v>
      </c>
      <c r="Q14" s="8"/>
    </row>
    <row r="15" ht="12.75" customHeight="1">
      <c r="A15" s="1">
        <v>3.0</v>
      </c>
      <c r="B15" s="2">
        <v>3801515.0</v>
      </c>
      <c r="C15" s="1" t="s">
        <v>21</v>
      </c>
      <c r="D15" s="1" t="s">
        <v>436</v>
      </c>
      <c r="E15" s="3">
        <v>1.0</v>
      </c>
      <c r="F15" s="3">
        <v>1.0</v>
      </c>
      <c r="G15" s="1" t="s">
        <v>23</v>
      </c>
      <c r="H15" s="1" t="s">
        <v>5954</v>
      </c>
      <c r="Q15" s="8"/>
    </row>
    <row r="16" ht="12.75" customHeight="1">
      <c r="A16" s="1">
        <v>2.0</v>
      </c>
      <c r="B16" s="2" t="s">
        <v>572</v>
      </c>
      <c r="C16" s="1" t="s">
        <v>229</v>
      </c>
      <c r="D16" s="1" t="s">
        <v>573</v>
      </c>
      <c r="E16" s="3">
        <v>1.0</v>
      </c>
      <c r="F16" s="3">
        <v>1.0</v>
      </c>
      <c r="G16" s="1" t="s">
        <v>23</v>
      </c>
      <c r="H16" s="1" t="s">
        <v>5954</v>
      </c>
      <c r="Q16" s="8"/>
    </row>
    <row r="17" ht="12.75" customHeight="1">
      <c r="A17" s="1">
        <v>3.0</v>
      </c>
      <c r="B17" s="2">
        <v>3802550.0</v>
      </c>
      <c r="C17" s="1" t="s">
        <v>101</v>
      </c>
      <c r="D17" s="1" t="s">
        <v>437</v>
      </c>
      <c r="E17" s="3">
        <v>1.0</v>
      </c>
      <c r="F17" s="3">
        <v>1.0</v>
      </c>
      <c r="G17" s="1" t="s">
        <v>23</v>
      </c>
      <c r="H17" s="1" t="s">
        <v>5954</v>
      </c>
      <c r="Q17" s="8"/>
    </row>
    <row r="18" ht="12.75" customHeight="1">
      <c r="A18" s="1">
        <v>5.0</v>
      </c>
      <c r="B18" s="2">
        <v>3802552.0</v>
      </c>
      <c r="C18" s="1" t="s">
        <v>101</v>
      </c>
      <c r="D18" s="1" t="s">
        <v>331</v>
      </c>
      <c r="E18" s="3">
        <v>1.0</v>
      </c>
      <c r="F18" s="3">
        <v>1.0</v>
      </c>
      <c r="G18" s="1" t="s">
        <v>23</v>
      </c>
      <c r="H18" s="1" t="s">
        <v>5954</v>
      </c>
      <c r="Q18" s="8"/>
    </row>
    <row r="19" ht="12.75" customHeight="1">
      <c r="A19" s="1">
        <v>8.0</v>
      </c>
      <c r="B19" s="2">
        <v>3802561.0</v>
      </c>
      <c r="C19" s="1" t="s">
        <v>229</v>
      </c>
      <c r="D19" s="1" t="s">
        <v>230</v>
      </c>
      <c r="E19" s="3">
        <v>1.0</v>
      </c>
      <c r="F19" s="3">
        <v>1.0</v>
      </c>
      <c r="G19" s="1" t="s">
        <v>23</v>
      </c>
      <c r="Q19" s="8"/>
    </row>
    <row r="20" ht="12.75" customHeight="1">
      <c r="A20" s="1">
        <v>5.0</v>
      </c>
      <c r="B20" s="2" t="s">
        <v>332</v>
      </c>
      <c r="C20" s="1" t="s">
        <v>333</v>
      </c>
      <c r="D20" s="1" t="s">
        <v>334</v>
      </c>
      <c r="E20" s="3">
        <v>1.0</v>
      </c>
      <c r="F20" s="3">
        <v>1.0</v>
      </c>
      <c r="G20" s="1" t="s">
        <v>23</v>
      </c>
      <c r="H20" s="1" t="s">
        <v>5964</v>
      </c>
      <c r="Q20" s="8"/>
    </row>
    <row r="21" ht="12.75" customHeight="1">
      <c r="A21" s="1">
        <v>10.0</v>
      </c>
      <c r="B21" s="2" t="s">
        <v>202</v>
      </c>
      <c r="C21" s="1" t="s">
        <v>203</v>
      </c>
      <c r="D21" s="1" t="s">
        <v>204</v>
      </c>
      <c r="E21" s="3">
        <v>1.0</v>
      </c>
      <c r="F21" s="3">
        <v>1.0</v>
      </c>
      <c r="G21" s="1" t="s">
        <v>23</v>
      </c>
      <c r="Q21" s="8"/>
    </row>
    <row r="22" ht="12.75" customHeight="1">
      <c r="A22" s="1">
        <v>2.0</v>
      </c>
      <c r="B22" s="2" t="s">
        <v>577</v>
      </c>
      <c r="C22" s="1" t="s">
        <v>578</v>
      </c>
      <c r="D22" s="1" t="s">
        <v>579</v>
      </c>
      <c r="E22" s="3">
        <v>1.0</v>
      </c>
      <c r="F22" s="3">
        <v>1.0</v>
      </c>
      <c r="G22" s="1" t="s">
        <v>23</v>
      </c>
      <c r="Q22" s="8"/>
    </row>
    <row r="23" ht="12.75" customHeight="1">
      <c r="A23" s="1">
        <v>1.0</v>
      </c>
      <c r="B23" s="2">
        <v>3801969.0</v>
      </c>
      <c r="C23" s="1" t="s">
        <v>152</v>
      </c>
      <c r="D23" s="1" t="s">
        <v>1425</v>
      </c>
      <c r="E23" s="3">
        <v>1.0</v>
      </c>
      <c r="F23" s="3">
        <v>1.0</v>
      </c>
      <c r="G23" s="1" t="s">
        <v>23</v>
      </c>
      <c r="H23" s="1" t="s">
        <v>5964</v>
      </c>
      <c r="Q23" s="8"/>
    </row>
    <row r="24" ht="12.75" customHeight="1">
      <c r="A24" s="1">
        <v>1.0</v>
      </c>
      <c r="B24" s="2">
        <v>3801952.0</v>
      </c>
      <c r="C24" s="1" t="s">
        <v>25</v>
      </c>
      <c r="D24" s="1" t="s">
        <v>1426</v>
      </c>
      <c r="E24" s="3">
        <v>1.0</v>
      </c>
      <c r="F24" s="3">
        <v>1.0</v>
      </c>
      <c r="G24" s="1" t="s">
        <v>23</v>
      </c>
      <c r="H24" s="1" t="s">
        <v>5954</v>
      </c>
      <c r="Q24" s="8"/>
    </row>
    <row r="25" ht="12.75" customHeight="1">
      <c r="A25" s="1">
        <v>2.0</v>
      </c>
      <c r="B25" s="2" t="s">
        <v>587</v>
      </c>
      <c r="C25" s="1" t="s">
        <v>158</v>
      </c>
      <c r="D25" s="1" t="s">
        <v>588</v>
      </c>
      <c r="E25" s="3">
        <v>1.0</v>
      </c>
      <c r="F25" s="3">
        <v>1.0</v>
      </c>
      <c r="G25" s="1" t="s">
        <v>23</v>
      </c>
      <c r="H25" s="1" t="s">
        <v>5954</v>
      </c>
      <c r="Q25" s="8"/>
    </row>
    <row r="26" ht="12.75" customHeight="1">
      <c r="A26" s="1">
        <v>2.0</v>
      </c>
      <c r="B26" s="2" t="s">
        <v>589</v>
      </c>
      <c r="C26" s="1" t="s">
        <v>158</v>
      </c>
      <c r="D26" s="1" t="s">
        <v>590</v>
      </c>
      <c r="E26" s="3">
        <v>1.0</v>
      </c>
      <c r="F26" s="3">
        <v>1.0</v>
      </c>
      <c r="G26" s="1" t="s">
        <v>23</v>
      </c>
      <c r="Q26" s="8"/>
    </row>
    <row r="27" ht="12.75" customHeight="1">
      <c r="A27" s="1">
        <v>5.0</v>
      </c>
      <c r="B27" s="2" t="s">
        <v>336</v>
      </c>
      <c r="C27" s="1" t="s">
        <v>158</v>
      </c>
      <c r="D27" s="1" t="s">
        <v>337</v>
      </c>
      <c r="E27" s="3">
        <v>1.0</v>
      </c>
      <c r="F27" s="3">
        <v>1.0</v>
      </c>
      <c r="G27" s="1" t="s">
        <v>23</v>
      </c>
      <c r="Q27" s="8"/>
    </row>
    <row r="28" ht="12.75" customHeight="1">
      <c r="A28" s="1">
        <v>7.0</v>
      </c>
      <c r="B28" s="2">
        <v>8822002.0</v>
      </c>
      <c r="C28" s="1" t="s">
        <v>178</v>
      </c>
      <c r="D28" s="1" t="s">
        <v>249</v>
      </c>
      <c r="E28" s="3">
        <v>1.0</v>
      </c>
      <c r="F28" s="3">
        <v>1.0</v>
      </c>
      <c r="G28" s="1" t="s">
        <v>23</v>
      </c>
      <c r="Q28" s="8"/>
    </row>
    <row r="29" ht="12.75" customHeight="1">
      <c r="A29" s="1">
        <v>11.0</v>
      </c>
      <c r="B29" s="2">
        <v>3802001.0</v>
      </c>
      <c r="C29" s="1" t="s">
        <v>25</v>
      </c>
      <c r="D29" s="1" t="s">
        <v>187</v>
      </c>
      <c r="E29" s="3">
        <v>1.0</v>
      </c>
      <c r="F29" s="3">
        <v>1.0</v>
      </c>
      <c r="G29" s="1" t="s">
        <v>23</v>
      </c>
      <c r="H29" s="1" t="s">
        <v>5954</v>
      </c>
      <c r="Q29" s="8"/>
    </row>
    <row r="30" ht="12.75" customHeight="1">
      <c r="A30" s="1">
        <v>4.0</v>
      </c>
      <c r="B30" s="2">
        <v>3800266.0</v>
      </c>
      <c r="C30" s="1" t="s">
        <v>25</v>
      </c>
      <c r="D30" s="1" t="s">
        <v>378</v>
      </c>
      <c r="E30" s="3">
        <v>1.0</v>
      </c>
      <c r="F30" s="3">
        <v>1.0</v>
      </c>
      <c r="G30" s="1" t="s">
        <v>23</v>
      </c>
      <c r="H30" s="1" t="s">
        <v>5954</v>
      </c>
      <c r="Q30" s="8"/>
    </row>
    <row r="31" ht="12.75" customHeight="1">
      <c r="A31" s="1">
        <v>1.0</v>
      </c>
      <c r="B31" s="2">
        <v>3802066.0</v>
      </c>
      <c r="C31" s="1" t="s">
        <v>25</v>
      </c>
      <c r="D31" s="1" t="s">
        <v>1512</v>
      </c>
      <c r="E31" s="3">
        <v>1.0</v>
      </c>
      <c r="F31" s="3">
        <v>1.0</v>
      </c>
      <c r="G31" s="1" t="s">
        <v>23</v>
      </c>
      <c r="H31" s="1" t="s">
        <v>5964</v>
      </c>
      <c r="Q31" s="8"/>
    </row>
    <row r="32" ht="12.75" customHeight="1">
      <c r="A32" s="1">
        <v>1.0</v>
      </c>
      <c r="B32" s="2">
        <v>3801990.0</v>
      </c>
      <c r="C32" s="1" t="s">
        <v>1513</v>
      </c>
      <c r="D32" s="1" t="s">
        <v>388</v>
      </c>
      <c r="E32" s="3">
        <v>1.0</v>
      </c>
      <c r="F32" s="3">
        <v>4.0</v>
      </c>
      <c r="G32" s="1" t="s">
        <v>29</v>
      </c>
      <c r="H32" s="1" t="s">
        <v>5954</v>
      </c>
      <c r="Q32" s="8"/>
    </row>
    <row r="33" ht="12.75" customHeight="1">
      <c r="A33" s="1">
        <v>1.0</v>
      </c>
      <c r="B33" s="2" t="s">
        <v>1514</v>
      </c>
      <c r="C33" s="1" t="s">
        <v>848</v>
      </c>
      <c r="D33" s="1" t="s">
        <v>1515</v>
      </c>
      <c r="E33" s="3">
        <v>1.0</v>
      </c>
      <c r="F33" s="3">
        <v>4.0</v>
      </c>
      <c r="G33" s="1" t="s">
        <v>29</v>
      </c>
      <c r="H33" s="1" t="s">
        <v>5954</v>
      </c>
      <c r="Q33" s="8"/>
    </row>
    <row r="34" ht="12.75" customHeight="1">
      <c r="A34" s="1">
        <v>1.0</v>
      </c>
      <c r="B34" s="2" t="s">
        <v>1523</v>
      </c>
      <c r="C34" s="1" t="s">
        <v>1524</v>
      </c>
      <c r="D34" s="1" t="s">
        <v>156</v>
      </c>
      <c r="E34" s="3">
        <v>1.0</v>
      </c>
      <c r="F34" s="3">
        <v>7.0</v>
      </c>
      <c r="G34" s="1" t="s">
        <v>31</v>
      </c>
      <c r="H34" s="1" t="s">
        <v>5954</v>
      </c>
      <c r="Q34" s="8"/>
    </row>
    <row r="35" ht="12.75" customHeight="1">
      <c r="A35" s="1">
        <v>15.0</v>
      </c>
      <c r="B35" s="2" t="s">
        <v>154</v>
      </c>
      <c r="C35" s="1" t="s">
        <v>155</v>
      </c>
      <c r="D35" s="1" t="s">
        <v>156</v>
      </c>
      <c r="E35" s="3">
        <v>1.0</v>
      </c>
      <c r="F35" s="3">
        <v>7.0</v>
      </c>
      <c r="G35" s="1" t="s">
        <v>31</v>
      </c>
      <c r="H35" s="1" t="s">
        <v>5954</v>
      </c>
      <c r="Q35" s="8"/>
    </row>
    <row r="36" ht="12.75" customHeight="1">
      <c r="A36" s="1">
        <v>2.0</v>
      </c>
      <c r="B36" s="2">
        <v>3802662.0</v>
      </c>
      <c r="C36" s="1" t="s">
        <v>305</v>
      </c>
      <c r="D36" s="1" t="s">
        <v>593</v>
      </c>
      <c r="E36" s="3">
        <v>1.0</v>
      </c>
      <c r="F36" s="3">
        <v>7.0</v>
      </c>
      <c r="G36" s="1" t="s">
        <v>31</v>
      </c>
      <c r="H36" s="1" t="s">
        <v>5954</v>
      </c>
      <c r="Q36" s="8"/>
    </row>
    <row r="37" ht="12.75" customHeight="1">
      <c r="A37" s="1">
        <v>1.0</v>
      </c>
      <c r="B37" s="2">
        <v>3801531.0</v>
      </c>
      <c r="C37" s="1" t="s">
        <v>47</v>
      </c>
      <c r="D37" s="1" t="s">
        <v>1527</v>
      </c>
      <c r="E37" s="3">
        <v>1.0</v>
      </c>
      <c r="F37" s="3">
        <v>7.0</v>
      </c>
      <c r="G37" s="1" t="s">
        <v>31</v>
      </c>
      <c r="H37" s="1" t="s">
        <v>5954</v>
      </c>
      <c r="Q37" s="8"/>
    </row>
    <row r="38" ht="12.75" customHeight="1">
      <c r="A38" s="1">
        <v>12.0</v>
      </c>
      <c r="B38" s="2">
        <v>3801541.0</v>
      </c>
      <c r="C38" s="1" t="s">
        <v>47</v>
      </c>
      <c r="D38" s="1" t="s">
        <v>183</v>
      </c>
      <c r="E38" s="3">
        <v>1.0</v>
      </c>
      <c r="F38" s="3">
        <v>7.0</v>
      </c>
      <c r="G38" s="1" t="s">
        <v>31</v>
      </c>
      <c r="Q38" s="8"/>
    </row>
    <row r="39" ht="12.75" customHeight="1">
      <c r="A39" s="1">
        <v>2.0</v>
      </c>
      <c r="B39" s="2">
        <v>3802571.0</v>
      </c>
      <c r="C39" s="1" t="s">
        <v>229</v>
      </c>
      <c r="D39" s="1" t="s">
        <v>594</v>
      </c>
      <c r="E39" s="3">
        <v>1.0</v>
      </c>
      <c r="F39" s="3">
        <v>7.0</v>
      </c>
      <c r="G39" s="1" t="s">
        <v>31</v>
      </c>
      <c r="H39" s="1" t="s">
        <v>5964</v>
      </c>
      <c r="Q39" s="8"/>
    </row>
    <row r="40" ht="12.75" customHeight="1">
      <c r="A40" s="1">
        <v>23.0</v>
      </c>
      <c r="B40" s="2">
        <v>3802510.0</v>
      </c>
      <c r="C40" s="1" t="s">
        <v>101</v>
      </c>
      <c r="D40" s="1" t="s">
        <v>102</v>
      </c>
      <c r="E40" s="3">
        <v>1.0</v>
      </c>
      <c r="F40" s="3">
        <v>7.0</v>
      </c>
      <c r="G40" s="1" t="s">
        <v>31</v>
      </c>
      <c r="Q40" s="8"/>
    </row>
    <row r="41" ht="12.75" customHeight="1">
      <c r="A41" s="1">
        <v>2.0</v>
      </c>
      <c r="B41" s="2">
        <v>3802554.0</v>
      </c>
      <c r="C41" s="1" t="s">
        <v>229</v>
      </c>
      <c r="D41" s="1" t="s">
        <v>595</v>
      </c>
      <c r="E41" s="3">
        <v>1.0</v>
      </c>
      <c r="F41" s="3">
        <v>7.0</v>
      </c>
      <c r="G41" s="1" t="s">
        <v>31</v>
      </c>
      <c r="Q41" s="8"/>
    </row>
    <row r="42" ht="12.75" customHeight="1">
      <c r="A42" s="1">
        <v>3.0</v>
      </c>
      <c r="B42" s="2">
        <v>3805011.0</v>
      </c>
      <c r="C42" s="1" t="s">
        <v>121</v>
      </c>
      <c r="D42" s="1" t="s">
        <v>445</v>
      </c>
      <c r="E42" s="3">
        <v>1.0</v>
      </c>
      <c r="F42" s="3">
        <v>7.0</v>
      </c>
      <c r="G42" s="1" t="s">
        <v>31</v>
      </c>
      <c r="Q42" s="8"/>
    </row>
    <row r="43" ht="12.75" customHeight="1">
      <c r="A43" s="1">
        <v>1.0</v>
      </c>
      <c r="B43" s="2">
        <v>3801912.0</v>
      </c>
      <c r="C43" s="1" t="s">
        <v>1528</v>
      </c>
      <c r="D43" s="1" t="s">
        <v>480</v>
      </c>
      <c r="E43" s="3">
        <v>1.0</v>
      </c>
      <c r="F43" s="3">
        <v>7.0</v>
      </c>
      <c r="G43" s="1" t="s">
        <v>31</v>
      </c>
      <c r="H43" s="1" t="s">
        <v>5964</v>
      </c>
      <c r="Q43" s="8"/>
    </row>
    <row r="44" ht="12.75" customHeight="1">
      <c r="A44" s="1">
        <v>4.0</v>
      </c>
      <c r="B44" s="2">
        <v>3802011.0</v>
      </c>
      <c r="C44" s="1" t="s">
        <v>25</v>
      </c>
      <c r="D44" s="1" t="s">
        <v>379</v>
      </c>
      <c r="E44" s="3">
        <v>1.0</v>
      </c>
      <c r="F44" s="3">
        <v>7.0</v>
      </c>
      <c r="G44" s="1" t="s">
        <v>31</v>
      </c>
      <c r="H44" s="1" t="s">
        <v>5964</v>
      </c>
      <c r="Q44" s="8"/>
    </row>
    <row r="45" ht="12.75" customHeight="1">
      <c r="A45" s="1">
        <v>6.0</v>
      </c>
      <c r="B45" s="2">
        <v>3801905.0</v>
      </c>
      <c r="C45" s="1" t="s">
        <v>220</v>
      </c>
      <c r="D45" s="1" t="s">
        <v>280</v>
      </c>
      <c r="E45" s="3">
        <v>1.0</v>
      </c>
      <c r="F45" s="3">
        <v>7.0</v>
      </c>
      <c r="G45" s="1" t="s">
        <v>31</v>
      </c>
      <c r="H45" s="1" t="s">
        <v>5964</v>
      </c>
      <c r="Q45" s="8"/>
    </row>
    <row r="46" ht="12.75" customHeight="1">
      <c r="A46" s="1">
        <v>4.0</v>
      </c>
      <c r="B46" s="2" t="s">
        <v>380</v>
      </c>
      <c r="C46" s="1" t="s">
        <v>381</v>
      </c>
      <c r="D46" s="1" t="s">
        <v>382</v>
      </c>
      <c r="E46" s="3">
        <v>1.0</v>
      </c>
      <c r="F46" s="3">
        <v>7.0</v>
      </c>
      <c r="G46" s="1" t="s">
        <v>31</v>
      </c>
      <c r="H46" s="1" t="s">
        <v>5954</v>
      </c>
      <c r="Q46" s="8"/>
    </row>
    <row r="47" ht="12.75" customHeight="1">
      <c r="A47" s="1">
        <v>1.0</v>
      </c>
      <c r="B47" s="2">
        <v>3802067.0</v>
      </c>
      <c r="C47" s="1" t="s">
        <v>25</v>
      </c>
      <c r="D47" s="1" t="s">
        <v>1532</v>
      </c>
      <c r="E47" s="3">
        <v>1.0</v>
      </c>
      <c r="F47" s="3">
        <v>7.0</v>
      </c>
      <c r="G47" s="1" t="s">
        <v>31</v>
      </c>
      <c r="H47" s="1" t="s">
        <v>5964</v>
      </c>
      <c r="Q47" s="8"/>
    </row>
    <row r="48" ht="12.75" customHeight="1">
      <c r="A48" s="1">
        <v>1.0</v>
      </c>
      <c r="B48" s="2" t="s">
        <v>1533</v>
      </c>
      <c r="C48" s="1" t="s">
        <v>62</v>
      </c>
      <c r="D48" s="1" t="s">
        <v>1534</v>
      </c>
      <c r="E48" s="3">
        <v>1.0</v>
      </c>
      <c r="F48" s="3">
        <v>7.0</v>
      </c>
      <c r="G48" s="1" t="s">
        <v>31</v>
      </c>
      <c r="H48" s="1" t="s">
        <v>5964</v>
      </c>
      <c r="Q48" s="8"/>
    </row>
    <row r="49" ht="12.75" customHeight="1">
      <c r="A49" s="1">
        <v>1.0</v>
      </c>
      <c r="B49" s="2">
        <v>3801967.0</v>
      </c>
      <c r="C49" s="1" t="s">
        <v>25</v>
      </c>
      <c r="D49" s="1" t="s">
        <v>1541</v>
      </c>
      <c r="E49" s="3">
        <v>1.0</v>
      </c>
      <c r="F49" s="3">
        <v>7.0</v>
      </c>
      <c r="G49" s="1" t="s">
        <v>31</v>
      </c>
      <c r="H49" s="1" t="s">
        <v>5954</v>
      </c>
      <c r="Q49" s="8"/>
    </row>
    <row r="50" ht="12.75" customHeight="1">
      <c r="A50" s="1">
        <v>1.0</v>
      </c>
      <c r="B50" s="2" t="s">
        <v>1548</v>
      </c>
      <c r="C50" s="1" t="s">
        <v>158</v>
      </c>
      <c r="D50" s="1" t="s">
        <v>588</v>
      </c>
      <c r="E50" s="3">
        <v>1.0</v>
      </c>
      <c r="F50" s="3">
        <v>7.0</v>
      </c>
      <c r="G50" s="1" t="s">
        <v>31</v>
      </c>
      <c r="Q50" s="8"/>
    </row>
    <row r="51" ht="12.75" customHeight="1">
      <c r="A51" s="1">
        <v>6.0</v>
      </c>
      <c r="B51" s="2">
        <v>3800267.0</v>
      </c>
      <c r="C51" s="1" t="s">
        <v>25</v>
      </c>
      <c r="D51" s="1" t="s">
        <v>281</v>
      </c>
      <c r="E51" s="3">
        <v>1.0</v>
      </c>
      <c r="F51" s="3">
        <v>7.0</v>
      </c>
      <c r="G51" s="1" t="s">
        <v>31</v>
      </c>
      <c r="H51" s="1" t="s">
        <v>5964</v>
      </c>
      <c r="Q51" s="8"/>
    </row>
    <row r="52" ht="12.75" customHeight="1">
      <c r="A52" s="1">
        <v>1.0</v>
      </c>
      <c r="B52" s="2">
        <v>3801909.0</v>
      </c>
      <c r="C52" s="1" t="s">
        <v>1562</v>
      </c>
      <c r="D52" s="1" t="s">
        <v>1563</v>
      </c>
      <c r="E52" s="3">
        <v>1.0</v>
      </c>
      <c r="F52" s="3">
        <v>7.0</v>
      </c>
      <c r="G52" s="1" t="s">
        <v>31</v>
      </c>
      <c r="H52" s="1" t="s">
        <v>5954</v>
      </c>
      <c r="Q52" s="8"/>
    </row>
    <row r="53" ht="12.75" customHeight="1">
      <c r="A53" s="1">
        <v>7.0</v>
      </c>
      <c r="B53" s="2">
        <v>3801962.0</v>
      </c>
      <c r="C53" s="1" t="s">
        <v>220</v>
      </c>
      <c r="D53" s="1" t="s">
        <v>251</v>
      </c>
      <c r="E53" s="3">
        <v>1.0</v>
      </c>
      <c r="F53" s="3">
        <v>7.0</v>
      </c>
      <c r="G53" s="1" t="s">
        <v>31</v>
      </c>
      <c r="H53" s="1" t="s">
        <v>5954</v>
      </c>
      <c r="Q53" s="8"/>
    </row>
    <row r="54" ht="12.75" customHeight="1">
      <c r="A54" s="1">
        <v>1.0</v>
      </c>
      <c r="B54" s="2" t="s">
        <v>1564</v>
      </c>
      <c r="C54" s="1" t="s">
        <v>25</v>
      </c>
      <c r="D54" s="1" t="s">
        <v>248</v>
      </c>
      <c r="E54" s="3">
        <v>1.0</v>
      </c>
      <c r="F54" s="3">
        <v>7.0</v>
      </c>
      <c r="G54" s="1" t="s">
        <v>31</v>
      </c>
      <c r="H54" s="1" t="s">
        <v>5964</v>
      </c>
      <c r="Q54" s="8"/>
    </row>
    <row r="55" ht="12.75" customHeight="1">
      <c r="A55" s="1">
        <v>25.0</v>
      </c>
      <c r="B55" s="2">
        <v>160001.0</v>
      </c>
      <c r="C55" s="1" t="s">
        <v>91</v>
      </c>
      <c r="D55" s="1" t="s">
        <v>92</v>
      </c>
      <c r="E55" s="3">
        <v>1.0</v>
      </c>
      <c r="F55" s="3">
        <v>8.0</v>
      </c>
      <c r="G55" s="1" t="s">
        <v>34</v>
      </c>
      <c r="Q55" s="8"/>
    </row>
    <row r="56" ht="12.75" customHeight="1">
      <c r="A56" s="1">
        <v>1.0</v>
      </c>
      <c r="B56" s="2">
        <v>1440310.0</v>
      </c>
      <c r="C56" s="1" t="s">
        <v>597</v>
      </c>
      <c r="D56" s="1" t="s">
        <v>1577</v>
      </c>
      <c r="E56" s="3">
        <v>1.0</v>
      </c>
      <c r="F56" s="3">
        <v>8.0</v>
      </c>
      <c r="G56" s="1" t="s">
        <v>34</v>
      </c>
      <c r="Q56" s="8"/>
    </row>
    <row r="57" ht="12.75" customHeight="1">
      <c r="A57" s="1">
        <v>2.0</v>
      </c>
      <c r="B57" s="2">
        <v>1440311.0</v>
      </c>
      <c r="C57" s="1" t="s">
        <v>597</v>
      </c>
      <c r="D57" s="1" t="s">
        <v>598</v>
      </c>
      <c r="E57" s="3">
        <v>1.0</v>
      </c>
      <c r="F57" s="3">
        <v>8.0</v>
      </c>
      <c r="G57" s="1" t="s">
        <v>34</v>
      </c>
      <c r="Q57" s="8"/>
    </row>
    <row r="58" ht="12.75" customHeight="1">
      <c r="A58" s="1">
        <v>1.0</v>
      </c>
      <c r="B58" s="2">
        <v>2990005.0</v>
      </c>
      <c r="C58" s="1" t="s">
        <v>333</v>
      </c>
      <c r="D58" s="1" t="s">
        <v>1584</v>
      </c>
      <c r="E58" s="3">
        <v>1.0</v>
      </c>
      <c r="F58" s="3">
        <v>8.0</v>
      </c>
      <c r="G58" s="1" t="s">
        <v>34</v>
      </c>
      <c r="Q58" s="8"/>
    </row>
    <row r="59" ht="12.75" customHeight="1">
      <c r="A59" s="1">
        <v>3.0</v>
      </c>
      <c r="B59" s="2">
        <v>2990006.0</v>
      </c>
      <c r="C59" s="1" t="s">
        <v>333</v>
      </c>
      <c r="D59" s="1" t="s">
        <v>204</v>
      </c>
      <c r="E59" s="3">
        <v>1.0</v>
      </c>
      <c r="F59" s="3">
        <v>8.0</v>
      </c>
      <c r="G59" s="1" t="s">
        <v>34</v>
      </c>
      <c r="Q59" s="8"/>
    </row>
    <row r="60" ht="12.75" customHeight="1">
      <c r="A60" s="1">
        <v>33.0</v>
      </c>
      <c r="B60" s="2">
        <v>1130872.0</v>
      </c>
      <c r="C60" s="1" t="s">
        <v>59</v>
      </c>
      <c r="D60" s="1" t="s">
        <v>60</v>
      </c>
      <c r="E60" s="3">
        <v>1.0</v>
      </c>
      <c r="F60" s="3">
        <v>8.0</v>
      </c>
      <c r="G60" s="1" t="s">
        <v>34</v>
      </c>
      <c r="H60" s="1" t="s">
        <v>5954</v>
      </c>
      <c r="Q60" s="8"/>
    </row>
    <row r="61" ht="12.75" customHeight="1">
      <c r="A61" s="1">
        <v>26.0</v>
      </c>
      <c r="B61" s="2" t="s">
        <v>86</v>
      </c>
      <c r="C61" s="1" t="s">
        <v>87</v>
      </c>
      <c r="D61" s="1" t="s">
        <v>88</v>
      </c>
      <c r="E61" s="3">
        <v>1.0</v>
      </c>
      <c r="F61" s="3">
        <v>8.0</v>
      </c>
      <c r="G61" s="1" t="s">
        <v>34</v>
      </c>
      <c r="H61" s="1" t="s">
        <v>5954</v>
      </c>
      <c r="Q61" s="8"/>
    </row>
    <row r="62" ht="12.75" customHeight="1">
      <c r="A62" s="1">
        <v>1.0</v>
      </c>
      <c r="B62" s="2" t="s">
        <v>1616</v>
      </c>
      <c r="C62" s="1" t="s">
        <v>155</v>
      </c>
      <c r="D62" s="1" t="s">
        <v>156</v>
      </c>
      <c r="E62" s="3">
        <v>1.0</v>
      </c>
      <c r="F62" s="3">
        <v>10.0</v>
      </c>
      <c r="G62" s="1" t="s">
        <v>5319</v>
      </c>
      <c r="H62" s="1" t="s">
        <v>5954</v>
      </c>
      <c r="Q62" s="8"/>
    </row>
    <row r="63" ht="12.75" customHeight="1">
      <c r="A63" s="1">
        <v>1.0</v>
      </c>
      <c r="B63" s="2" t="s">
        <v>1617</v>
      </c>
      <c r="C63" s="1" t="s">
        <v>1618</v>
      </c>
      <c r="D63" s="1" t="s">
        <v>1619</v>
      </c>
      <c r="E63" s="3">
        <v>1.0</v>
      </c>
      <c r="F63" s="3">
        <v>10.0</v>
      </c>
      <c r="G63" s="1" t="s">
        <v>5319</v>
      </c>
      <c r="Q63" s="8"/>
    </row>
    <row r="64" ht="12.75" customHeight="1">
      <c r="A64" s="1">
        <v>4.0</v>
      </c>
      <c r="B64" s="2">
        <v>3802005.0</v>
      </c>
      <c r="C64" s="1" t="s">
        <v>152</v>
      </c>
      <c r="D64" s="1" t="s">
        <v>386</v>
      </c>
      <c r="E64" s="3">
        <v>1.0</v>
      </c>
      <c r="F64" s="3">
        <v>10.0</v>
      </c>
      <c r="G64" s="1" t="s">
        <v>5319</v>
      </c>
      <c r="H64" s="1" t="s">
        <v>5964</v>
      </c>
      <c r="Q64" s="8"/>
    </row>
    <row r="65" ht="12.75" customHeight="1">
      <c r="A65" s="1">
        <v>1.0</v>
      </c>
      <c r="B65" s="2" t="s">
        <v>1620</v>
      </c>
      <c r="C65" s="1" t="s">
        <v>796</v>
      </c>
      <c r="D65" s="1" t="s">
        <v>1621</v>
      </c>
      <c r="E65" s="3">
        <v>1.0</v>
      </c>
      <c r="F65" s="3">
        <v>10.0</v>
      </c>
      <c r="G65" s="1" t="s">
        <v>5319</v>
      </c>
      <c r="Q65" s="8"/>
    </row>
    <row r="66" ht="12.75" customHeight="1">
      <c r="A66" s="1">
        <v>7.0</v>
      </c>
      <c r="B66" s="2" t="s">
        <v>254</v>
      </c>
      <c r="C66" s="1" t="s">
        <v>255</v>
      </c>
      <c r="D66" s="1" t="s">
        <v>256</v>
      </c>
      <c r="E66" s="3">
        <v>1.0</v>
      </c>
      <c r="F66" s="3">
        <v>10.0</v>
      </c>
      <c r="G66" s="1" t="s">
        <v>5319</v>
      </c>
      <c r="H66" s="1" t="s">
        <v>5954</v>
      </c>
      <c r="Q66" s="8"/>
    </row>
    <row r="67" ht="12.75" customHeight="1">
      <c r="A67" s="1">
        <v>15.0</v>
      </c>
      <c r="B67" s="2" t="s">
        <v>157</v>
      </c>
      <c r="C67" s="1" t="s">
        <v>158</v>
      </c>
      <c r="D67" s="1" t="s">
        <v>159</v>
      </c>
      <c r="E67" s="3">
        <v>1.0</v>
      </c>
      <c r="F67" s="3">
        <v>10.0</v>
      </c>
      <c r="G67" s="1" t="s">
        <v>5319</v>
      </c>
      <c r="H67" s="1" t="s">
        <v>5954</v>
      </c>
      <c r="Q67" s="8"/>
    </row>
    <row r="68" ht="12.75" customHeight="1">
      <c r="A68" s="1">
        <v>2.0</v>
      </c>
      <c r="B68" s="2">
        <v>8821658.0</v>
      </c>
      <c r="C68" s="1" t="s">
        <v>608</v>
      </c>
      <c r="D68" s="1" t="s">
        <v>609</v>
      </c>
      <c r="E68" s="3">
        <v>1.0</v>
      </c>
      <c r="F68" s="3">
        <v>10.0</v>
      </c>
      <c r="G68" s="1" t="s">
        <v>5319</v>
      </c>
      <c r="H68" s="1" t="s">
        <v>5964</v>
      </c>
      <c r="Q68" s="8"/>
    </row>
    <row r="69" ht="12.75" customHeight="1">
      <c r="A69" s="1">
        <v>1.0</v>
      </c>
      <c r="B69" s="2">
        <v>3801911.0</v>
      </c>
      <c r="C69" s="1" t="s">
        <v>346</v>
      </c>
      <c r="D69" s="1" t="s">
        <v>1633</v>
      </c>
      <c r="E69" s="3">
        <v>1.0</v>
      </c>
      <c r="F69" s="3">
        <v>10.0</v>
      </c>
      <c r="G69" s="1" t="s">
        <v>5319</v>
      </c>
      <c r="Q69" s="8"/>
    </row>
    <row r="70" ht="12.75" customHeight="1">
      <c r="A70" s="1">
        <v>1.0</v>
      </c>
      <c r="B70" s="2">
        <v>3801556.0</v>
      </c>
      <c r="C70" s="1" t="s">
        <v>47</v>
      </c>
      <c r="D70" s="1" t="s">
        <v>1634</v>
      </c>
      <c r="E70" s="3">
        <v>1.0</v>
      </c>
      <c r="F70" s="3">
        <v>11.0</v>
      </c>
      <c r="G70" s="1" t="s">
        <v>39</v>
      </c>
      <c r="H70" s="1" t="s">
        <v>5954</v>
      </c>
      <c r="Q70" s="8"/>
    </row>
    <row r="71" ht="12.75" customHeight="1">
      <c r="A71" s="1">
        <v>1.0</v>
      </c>
      <c r="B71" s="2" t="s">
        <v>1635</v>
      </c>
      <c r="C71" s="1" t="s">
        <v>1636</v>
      </c>
      <c r="D71" s="1" t="s">
        <v>1637</v>
      </c>
      <c r="E71" s="3">
        <v>1.0</v>
      </c>
      <c r="F71" s="3">
        <v>11.0</v>
      </c>
      <c r="G71" s="1" t="s">
        <v>39</v>
      </c>
      <c r="Q71" s="8"/>
    </row>
    <row r="72" ht="12.75" customHeight="1">
      <c r="A72" s="1">
        <v>3.0</v>
      </c>
      <c r="B72" s="2">
        <v>3801557.0</v>
      </c>
      <c r="C72" s="1" t="s">
        <v>47</v>
      </c>
      <c r="D72" s="1" t="s">
        <v>451</v>
      </c>
      <c r="E72" s="3">
        <v>1.0</v>
      </c>
      <c r="F72" s="3">
        <v>11.0</v>
      </c>
      <c r="G72" s="1" t="s">
        <v>39</v>
      </c>
      <c r="H72" s="1" t="s">
        <v>5954</v>
      </c>
      <c r="Q72" s="8"/>
    </row>
    <row r="73" ht="12.75" customHeight="1">
      <c r="E73" s="3"/>
      <c r="F73" s="3"/>
    </row>
    <row r="74" ht="12.75" customHeight="1">
      <c r="E74" s="3"/>
      <c r="F74" s="3"/>
    </row>
    <row r="75" ht="12.75" customHeight="1">
      <c r="E75" s="3"/>
      <c r="F75" s="3"/>
    </row>
    <row r="76" ht="12.75" customHeight="1">
      <c r="E76" s="3"/>
      <c r="F76" s="3"/>
    </row>
    <row r="77" ht="12.75" customHeight="1">
      <c r="E77" s="3"/>
      <c r="F77" s="3"/>
    </row>
    <row r="78" ht="12.75" customHeight="1">
      <c r="E78" s="3"/>
      <c r="F78" s="3"/>
    </row>
    <row r="79" ht="12.75" customHeight="1">
      <c r="E79" s="3"/>
      <c r="F79" s="3"/>
    </row>
    <row r="80" ht="12.75" customHeight="1">
      <c r="E80" s="3"/>
      <c r="F80" s="3"/>
    </row>
    <row r="81" ht="12.75" customHeight="1">
      <c r="E81" s="3"/>
      <c r="F81" s="3"/>
    </row>
    <row r="82" ht="12.75" customHeight="1">
      <c r="E82" s="3"/>
      <c r="F82" s="3"/>
    </row>
    <row r="83" ht="12.75" customHeight="1">
      <c r="E83" s="3"/>
      <c r="F83" s="3"/>
    </row>
    <row r="84" ht="12.75" customHeight="1">
      <c r="E84" s="3"/>
      <c r="F84" s="3"/>
    </row>
    <row r="85" ht="12.75" customHeight="1">
      <c r="E85" s="3"/>
      <c r="F85" s="3"/>
    </row>
    <row r="86" ht="12.75" customHeight="1">
      <c r="E86" s="3"/>
      <c r="F86" s="3"/>
    </row>
    <row r="87" ht="12.75" customHeight="1">
      <c r="E87" s="3"/>
      <c r="F87" s="3"/>
    </row>
    <row r="88" ht="12.75" customHeight="1">
      <c r="E88" s="3"/>
      <c r="F88" s="3"/>
    </row>
    <row r="89" ht="12.75" customHeight="1">
      <c r="E89" s="3"/>
      <c r="F89" s="3"/>
    </row>
    <row r="90" ht="12.75" customHeight="1">
      <c r="E90" s="3"/>
      <c r="F90" s="3"/>
    </row>
    <row r="91" ht="12.75" customHeight="1">
      <c r="E91" s="3"/>
      <c r="F91" s="3"/>
    </row>
    <row r="92" ht="12.75" customHeight="1">
      <c r="E92" s="3"/>
      <c r="F92" s="3"/>
    </row>
    <row r="93" ht="12.75" customHeight="1">
      <c r="E93" s="3"/>
      <c r="F93" s="3"/>
    </row>
    <row r="94" ht="12.75" customHeight="1">
      <c r="E94" s="3"/>
      <c r="F94" s="3"/>
    </row>
    <row r="95" ht="12.75" customHeight="1">
      <c r="E95" s="3"/>
      <c r="F95" s="3"/>
    </row>
    <row r="96" ht="12.75" customHeight="1">
      <c r="E96" s="3"/>
      <c r="F96" s="3"/>
    </row>
    <row r="97" ht="12.75" customHeight="1">
      <c r="E97" s="3"/>
      <c r="F97" s="3"/>
    </row>
    <row r="98" ht="12.75" customHeight="1">
      <c r="E98" s="3"/>
      <c r="F98" s="3"/>
    </row>
    <row r="99" ht="12.75" customHeight="1">
      <c r="E99" s="3"/>
      <c r="F99" s="3"/>
    </row>
    <row r="100" ht="12.75" customHeight="1">
      <c r="E100" s="3"/>
      <c r="F100" s="3"/>
    </row>
    <row r="101" ht="12.75" customHeight="1">
      <c r="E101" s="3"/>
      <c r="F101" s="3"/>
    </row>
    <row r="102" ht="12.75" customHeight="1">
      <c r="E102" s="3"/>
      <c r="F102" s="3"/>
    </row>
    <row r="103" ht="12.75" customHeight="1">
      <c r="E103" s="3"/>
      <c r="F103" s="3"/>
    </row>
    <row r="104" ht="12.75" customHeight="1">
      <c r="E104" s="3"/>
      <c r="F104" s="3"/>
    </row>
    <row r="105" ht="12.75" customHeight="1">
      <c r="E105" s="3"/>
      <c r="F105" s="3"/>
    </row>
    <row r="106" ht="12.75" customHeight="1">
      <c r="E106" s="3"/>
      <c r="F106" s="3"/>
    </row>
    <row r="107" ht="12.75" customHeight="1">
      <c r="E107" s="3"/>
      <c r="F107" s="3"/>
    </row>
    <row r="108" ht="12.75" customHeight="1">
      <c r="E108" s="3"/>
      <c r="F108" s="3"/>
    </row>
    <row r="109" ht="12.75" customHeight="1">
      <c r="E109" s="3"/>
      <c r="F109" s="3"/>
    </row>
    <row r="110" ht="12.75" customHeight="1">
      <c r="E110" s="3"/>
      <c r="F110" s="3"/>
    </row>
    <row r="111" ht="12.75" customHeight="1">
      <c r="E111" s="3"/>
      <c r="F111" s="3"/>
    </row>
    <row r="112" ht="12.75" customHeight="1">
      <c r="E112" s="3"/>
      <c r="F112" s="3"/>
    </row>
    <row r="113" ht="12.75" customHeight="1">
      <c r="E113" s="3"/>
      <c r="F113" s="3"/>
    </row>
    <row r="114" ht="12.75" customHeight="1">
      <c r="E114" s="3"/>
      <c r="F114" s="3"/>
    </row>
    <row r="115" ht="12.75" customHeight="1">
      <c r="E115" s="3"/>
      <c r="F115" s="3"/>
    </row>
    <row r="116" ht="12.75" customHeight="1">
      <c r="E116" s="3"/>
      <c r="F116" s="3"/>
    </row>
    <row r="117" ht="12.75" customHeight="1">
      <c r="E117" s="3"/>
      <c r="F117" s="3"/>
    </row>
    <row r="118" ht="12.75" customHeight="1">
      <c r="E118" s="3"/>
      <c r="F118" s="3"/>
    </row>
    <row r="119" ht="12.75" customHeight="1">
      <c r="E119" s="3"/>
      <c r="F119" s="3"/>
    </row>
    <row r="120" ht="12.75" customHeight="1">
      <c r="E120" s="3"/>
      <c r="F120" s="3"/>
    </row>
    <row r="121" ht="12.75" customHeight="1">
      <c r="E121" s="3"/>
      <c r="F121" s="3"/>
    </row>
    <row r="122" ht="12.75" customHeight="1">
      <c r="E122" s="3"/>
      <c r="F122" s="3"/>
    </row>
    <row r="123" ht="12.75" customHeight="1">
      <c r="E123" s="3"/>
      <c r="F123" s="3"/>
    </row>
    <row r="124" ht="12.75" customHeight="1">
      <c r="E124" s="3"/>
      <c r="F124" s="3"/>
    </row>
    <row r="125" ht="12.75" customHeight="1">
      <c r="E125" s="3"/>
      <c r="F125" s="3"/>
    </row>
    <row r="126" ht="12.75" customHeight="1">
      <c r="E126" s="3"/>
      <c r="F126" s="3"/>
    </row>
    <row r="127" ht="12.75" customHeight="1">
      <c r="E127" s="3"/>
      <c r="F127" s="3"/>
    </row>
    <row r="128" ht="12.75" customHeight="1">
      <c r="E128" s="3"/>
      <c r="F128" s="3"/>
    </row>
    <row r="129" ht="12.75" customHeight="1">
      <c r="E129" s="3"/>
      <c r="F129" s="3"/>
    </row>
    <row r="130" ht="12.75" customHeight="1">
      <c r="E130" s="3"/>
      <c r="F130" s="3"/>
    </row>
    <row r="131" ht="12.75" customHeight="1">
      <c r="E131" s="3"/>
      <c r="F131" s="3"/>
    </row>
    <row r="132" ht="12.75" customHeight="1">
      <c r="E132" s="3"/>
      <c r="F132" s="3"/>
    </row>
    <row r="133" ht="12.75" customHeight="1">
      <c r="E133" s="3"/>
      <c r="F133" s="3"/>
    </row>
    <row r="134" ht="12.75" customHeight="1">
      <c r="E134" s="3"/>
      <c r="F134" s="3"/>
    </row>
    <row r="135" ht="12.75" customHeight="1">
      <c r="E135" s="3"/>
      <c r="F135" s="3"/>
    </row>
    <row r="136" ht="12.75" customHeight="1">
      <c r="E136" s="3"/>
      <c r="F136" s="3"/>
    </row>
    <row r="137" ht="12.75" customHeight="1">
      <c r="E137" s="3"/>
      <c r="F137" s="3"/>
    </row>
    <row r="138" ht="12.75" customHeight="1">
      <c r="E138" s="3"/>
      <c r="F138" s="3"/>
    </row>
    <row r="139" ht="12.75" customHeight="1">
      <c r="E139" s="3"/>
      <c r="F139" s="3"/>
    </row>
    <row r="140" ht="12.75" customHeight="1">
      <c r="E140" s="3"/>
      <c r="F140" s="3"/>
    </row>
    <row r="141" ht="12.75" customHeight="1">
      <c r="E141" s="3"/>
      <c r="F141" s="3"/>
    </row>
    <row r="142" ht="12.75" customHeight="1">
      <c r="E142" s="3"/>
      <c r="F142" s="3"/>
    </row>
    <row r="143" ht="12.75" customHeight="1">
      <c r="E143" s="3"/>
      <c r="F143" s="3"/>
    </row>
    <row r="144" ht="12.75" customHeight="1">
      <c r="E144" s="3"/>
      <c r="F144" s="3"/>
    </row>
    <row r="145" ht="12.75" customHeight="1">
      <c r="E145" s="3"/>
      <c r="F145" s="3"/>
    </row>
    <row r="146" ht="12.75" customHeight="1">
      <c r="E146" s="3"/>
      <c r="F146" s="3"/>
    </row>
    <row r="147" ht="12.75" customHeight="1">
      <c r="E147" s="3"/>
      <c r="F147" s="3"/>
    </row>
    <row r="148" ht="12.75" customHeight="1">
      <c r="E148" s="3"/>
      <c r="F148" s="3"/>
    </row>
    <row r="149" ht="12.75" customHeight="1">
      <c r="E149" s="3"/>
      <c r="F149" s="3"/>
    </row>
    <row r="150" ht="12.75" customHeight="1">
      <c r="E150" s="3"/>
      <c r="F150" s="3"/>
    </row>
    <row r="151" ht="12.75" customHeight="1">
      <c r="E151" s="3"/>
      <c r="F151" s="3"/>
    </row>
    <row r="152" ht="12.75" customHeight="1">
      <c r="E152" s="3"/>
      <c r="F152" s="3"/>
    </row>
    <row r="153" ht="12.75" customHeight="1">
      <c r="E153" s="3"/>
      <c r="F153" s="3"/>
    </row>
    <row r="154" ht="12.75" customHeight="1">
      <c r="E154" s="3"/>
      <c r="F154" s="3"/>
    </row>
    <row r="155" ht="12.75" customHeight="1">
      <c r="E155" s="3"/>
      <c r="F155" s="3"/>
    </row>
    <row r="156" ht="12.75" customHeight="1">
      <c r="E156" s="3"/>
      <c r="F156" s="3"/>
    </row>
    <row r="157" ht="12.75" customHeight="1">
      <c r="E157" s="3"/>
      <c r="F157" s="3"/>
    </row>
    <row r="158" ht="12.75" customHeight="1">
      <c r="E158" s="3"/>
      <c r="F158" s="3"/>
    </row>
    <row r="159" ht="12.75" customHeight="1">
      <c r="E159" s="3"/>
      <c r="F159" s="3"/>
    </row>
    <row r="160" ht="12.75" customHeight="1">
      <c r="E160" s="3"/>
      <c r="F160" s="3"/>
    </row>
    <row r="161" ht="12.75" customHeight="1">
      <c r="E161" s="3"/>
      <c r="F161" s="3"/>
    </row>
    <row r="162" ht="12.75" customHeight="1">
      <c r="E162" s="3"/>
      <c r="F162" s="3"/>
    </row>
    <row r="163" ht="12.75" customHeight="1">
      <c r="E163" s="3"/>
      <c r="F163" s="3"/>
    </row>
    <row r="164" ht="12.75" customHeight="1">
      <c r="E164" s="3"/>
      <c r="F164" s="3"/>
    </row>
    <row r="165" ht="12.75" customHeight="1">
      <c r="E165" s="3"/>
      <c r="F165" s="3"/>
    </row>
    <row r="166" ht="12.75" customHeight="1">
      <c r="E166" s="3"/>
      <c r="F166" s="3"/>
    </row>
    <row r="167" ht="12.75" customHeight="1">
      <c r="E167" s="3"/>
      <c r="F167" s="3"/>
    </row>
    <row r="168" ht="12.75" customHeight="1">
      <c r="E168" s="3"/>
      <c r="F168" s="3"/>
    </row>
    <row r="169" ht="12.75" customHeight="1">
      <c r="E169" s="3"/>
      <c r="F169" s="3"/>
    </row>
    <row r="170" ht="12.75" customHeight="1">
      <c r="E170" s="3"/>
      <c r="F170" s="3"/>
    </row>
    <row r="171" ht="12.75" customHeight="1">
      <c r="E171" s="3"/>
      <c r="F171" s="3"/>
    </row>
    <row r="172" ht="12.75" customHeight="1">
      <c r="E172" s="3"/>
      <c r="F172" s="3"/>
    </row>
    <row r="173" ht="12.75" customHeight="1">
      <c r="E173" s="3"/>
      <c r="F173" s="3"/>
    </row>
    <row r="174" ht="12.75" customHeight="1">
      <c r="E174" s="3"/>
      <c r="F174" s="3"/>
    </row>
    <row r="175" ht="12.75" customHeight="1">
      <c r="E175" s="3"/>
      <c r="F175" s="3"/>
    </row>
    <row r="176" ht="12.75" customHeight="1">
      <c r="E176" s="3"/>
      <c r="F176" s="3"/>
    </row>
    <row r="177" ht="12.75" customHeight="1">
      <c r="E177" s="3"/>
      <c r="F177" s="3"/>
    </row>
    <row r="178" ht="12.75" customHeight="1">
      <c r="E178" s="3"/>
      <c r="F178" s="3"/>
    </row>
    <row r="179" ht="12.75" customHeight="1">
      <c r="E179" s="3"/>
      <c r="F179" s="3"/>
    </row>
    <row r="180" ht="12.75" customHeight="1">
      <c r="E180" s="3"/>
      <c r="F180" s="3"/>
    </row>
    <row r="181" ht="12.75" customHeight="1">
      <c r="E181" s="3"/>
      <c r="F181" s="3"/>
    </row>
    <row r="182" ht="12.75" customHeight="1">
      <c r="E182" s="3"/>
      <c r="F182" s="3"/>
    </row>
    <row r="183" ht="12.75" customHeight="1">
      <c r="E183" s="3"/>
      <c r="F183" s="3"/>
    </row>
    <row r="184" ht="12.75" customHeight="1">
      <c r="E184" s="3"/>
      <c r="F184" s="3"/>
    </row>
    <row r="185" ht="12.75" customHeight="1">
      <c r="E185" s="3"/>
      <c r="F185" s="3"/>
    </row>
    <row r="186" ht="12.75" customHeight="1">
      <c r="E186" s="3"/>
      <c r="F186" s="3"/>
    </row>
    <row r="187" ht="12.75" customHeight="1">
      <c r="E187" s="3"/>
      <c r="F187" s="3"/>
    </row>
    <row r="188" ht="12.75" customHeight="1">
      <c r="E188" s="3"/>
      <c r="F188" s="3"/>
    </row>
    <row r="189" ht="12.75" customHeight="1">
      <c r="E189" s="3"/>
      <c r="F189" s="3"/>
    </row>
    <row r="190" ht="12.75" customHeight="1">
      <c r="E190" s="3"/>
      <c r="F190" s="3"/>
    </row>
    <row r="191" ht="12.75" customHeight="1">
      <c r="E191" s="3"/>
      <c r="F191" s="3"/>
    </row>
    <row r="192" ht="12.75" customHeight="1">
      <c r="E192" s="3"/>
      <c r="F192" s="3"/>
    </row>
    <row r="193" ht="12.75" customHeight="1">
      <c r="E193" s="3"/>
      <c r="F193" s="3"/>
    </row>
    <row r="194" ht="12.75" customHeight="1">
      <c r="E194" s="3"/>
      <c r="F194" s="3"/>
    </row>
    <row r="195" ht="12.75" customHeight="1">
      <c r="E195" s="3"/>
      <c r="F195" s="3"/>
    </row>
    <row r="196" ht="12.75" customHeight="1">
      <c r="E196" s="3"/>
      <c r="F196" s="3"/>
    </row>
    <row r="197" ht="12.75" customHeight="1">
      <c r="E197" s="3"/>
      <c r="F197" s="3"/>
    </row>
    <row r="198" ht="12.75" customHeight="1">
      <c r="E198" s="3"/>
      <c r="F198" s="3"/>
    </row>
    <row r="199" ht="12.75" customHeight="1">
      <c r="E199" s="3"/>
      <c r="F199" s="3"/>
    </row>
    <row r="200" ht="12.75" customHeight="1">
      <c r="E200" s="3"/>
      <c r="F200" s="3"/>
    </row>
    <row r="201" ht="12.75" customHeight="1">
      <c r="E201" s="3"/>
      <c r="F201" s="3"/>
    </row>
    <row r="202" ht="12.75" customHeight="1">
      <c r="E202" s="3"/>
      <c r="F202" s="3"/>
    </row>
    <row r="203" ht="12.75" customHeight="1">
      <c r="E203" s="3"/>
      <c r="F203" s="3"/>
    </row>
    <row r="204" ht="12.75" customHeight="1">
      <c r="E204" s="3"/>
      <c r="F204" s="3"/>
    </row>
    <row r="205" ht="12.75" customHeight="1">
      <c r="E205" s="3"/>
      <c r="F205" s="3"/>
    </row>
    <row r="206" ht="12.75" customHeight="1">
      <c r="E206" s="3"/>
      <c r="F206" s="3"/>
    </row>
    <row r="207" ht="12.75" customHeight="1">
      <c r="E207" s="3"/>
      <c r="F207" s="3"/>
    </row>
    <row r="208" ht="12.75" customHeight="1">
      <c r="E208" s="3"/>
      <c r="F208" s="3"/>
    </row>
    <row r="209" ht="12.75" customHeight="1">
      <c r="E209" s="3"/>
      <c r="F209" s="3"/>
    </row>
    <row r="210" ht="12.75" customHeight="1">
      <c r="E210" s="3"/>
      <c r="F210" s="3"/>
    </row>
    <row r="211" ht="12.75" customHeight="1">
      <c r="E211" s="3"/>
      <c r="F211" s="3"/>
    </row>
    <row r="212" ht="12.75" customHeight="1">
      <c r="E212" s="3"/>
      <c r="F212" s="3"/>
    </row>
    <row r="213" ht="12.75" customHeight="1">
      <c r="E213" s="3"/>
      <c r="F213" s="3"/>
    </row>
    <row r="214" ht="12.75" customHeight="1">
      <c r="E214" s="3"/>
      <c r="F214" s="3"/>
    </row>
    <row r="215" ht="12.75" customHeight="1">
      <c r="E215" s="3"/>
      <c r="F215" s="3"/>
    </row>
    <row r="216" ht="12.75" customHeight="1">
      <c r="E216" s="3"/>
      <c r="F216" s="3"/>
    </row>
    <row r="217" ht="12.75" customHeight="1">
      <c r="E217" s="3"/>
      <c r="F217" s="3"/>
    </row>
    <row r="218" ht="12.75" customHeight="1">
      <c r="E218" s="3"/>
      <c r="F218" s="3"/>
    </row>
    <row r="219" ht="12.75" customHeight="1">
      <c r="E219" s="3"/>
      <c r="F219" s="3"/>
    </row>
    <row r="220" ht="12.75" customHeight="1">
      <c r="E220" s="3"/>
      <c r="F220" s="3"/>
    </row>
    <row r="221" ht="12.75" customHeight="1">
      <c r="E221" s="3"/>
      <c r="F221" s="3"/>
    </row>
    <row r="222" ht="12.75" customHeight="1">
      <c r="E222" s="3"/>
      <c r="F222" s="3"/>
    </row>
    <row r="223" ht="12.75" customHeight="1">
      <c r="E223" s="3"/>
      <c r="F223" s="3"/>
    </row>
    <row r="224" ht="12.75" customHeight="1">
      <c r="E224" s="3"/>
      <c r="F224" s="3"/>
    </row>
    <row r="225" ht="12.75" customHeight="1">
      <c r="E225" s="3"/>
      <c r="F225" s="3"/>
    </row>
    <row r="226" ht="12.75" customHeight="1">
      <c r="E226" s="3"/>
      <c r="F226" s="3"/>
    </row>
    <row r="227" ht="12.75" customHeight="1">
      <c r="E227" s="3"/>
      <c r="F227" s="3"/>
    </row>
    <row r="228" ht="12.75" customHeight="1">
      <c r="E228" s="3"/>
      <c r="F228" s="3"/>
    </row>
    <row r="229" ht="12.75" customHeight="1">
      <c r="E229" s="3"/>
      <c r="F229" s="3"/>
    </row>
    <row r="230" ht="12.75" customHeight="1">
      <c r="E230" s="3"/>
      <c r="F230" s="3"/>
    </row>
    <row r="231" ht="12.75" customHeight="1">
      <c r="E231" s="3"/>
      <c r="F231" s="3"/>
    </row>
    <row r="232" ht="12.75" customHeight="1">
      <c r="E232" s="3"/>
      <c r="F232" s="3"/>
    </row>
    <row r="233" ht="12.75" customHeight="1">
      <c r="E233" s="3"/>
      <c r="F233" s="3"/>
    </row>
    <row r="234" ht="12.75" customHeight="1">
      <c r="E234" s="3"/>
      <c r="F234" s="3"/>
    </row>
    <row r="235" ht="12.75" customHeight="1">
      <c r="E235" s="3"/>
      <c r="F235" s="3"/>
    </row>
    <row r="236" ht="12.75" customHeight="1">
      <c r="E236" s="3"/>
      <c r="F236" s="3"/>
    </row>
    <row r="237" ht="12.75" customHeight="1">
      <c r="E237" s="3"/>
      <c r="F237" s="3"/>
    </row>
    <row r="238" ht="12.75" customHeight="1">
      <c r="E238" s="3"/>
      <c r="F238" s="3"/>
    </row>
    <row r="239" ht="12.75" customHeight="1">
      <c r="E239" s="3"/>
      <c r="F239" s="3"/>
    </row>
    <row r="240" ht="12.75" customHeight="1">
      <c r="E240" s="3"/>
      <c r="F240" s="3"/>
    </row>
    <row r="241" ht="12.75" customHeight="1">
      <c r="E241" s="3"/>
      <c r="F241" s="3"/>
    </row>
    <row r="242" ht="12.75" customHeight="1">
      <c r="E242" s="3"/>
      <c r="F242" s="3"/>
    </row>
    <row r="243" ht="12.75" customHeight="1">
      <c r="E243" s="3"/>
      <c r="F243" s="3"/>
    </row>
    <row r="244" ht="12.75" customHeight="1">
      <c r="E244" s="3"/>
      <c r="F244" s="3"/>
    </row>
    <row r="245" ht="12.75" customHeight="1">
      <c r="E245" s="3"/>
      <c r="F245" s="3"/>
    </row>
    <row r="246" ht="12.75" customHeight="1">
      <c r="E246" s="3"/>
      <c r="F246" s="3"/>
    </row>
    <row r="247" ht="12.75" customHeight="1">
      <c r="E247" s="3"/>
      <c r="F247" s="3"/>
    </row>
    <row r="248" ht="12.75" customHeight="1">
      <c r="E248" s="3"/>
      <c r="F248" s="3"/>
    </row>
    <row r="249" ht="12.75" customHeight="1">
      <c r="E249" s="3"/>
      <c r="F249" s="3"/>
    </row>
    <row r="250" ht="12.75" customHeight="1">
      <c r="E250" s="3"/>
      <c r="F250" s="3"/>
    </row>
    <row r="251" ht="12.75" customHeight="1">
      <c r="E251" s="3"/>
      <c r="F251" s="3"/>
    </row>
    <row r="252" ht="12.75" customHeight="1">
      <c r="E252" s="3"/>
      <c r="F252" s="3"/>
    </row>
    <row r="253" ht="12.75" customHeight="1">
      <c r="E253" s="3"/>
      <c r="F253" s="3"/>
    </row>
    <row r="254" ht="12.75" customHeight="1">
      <c r="E254" s="3"/>
      <c r="F254" s="3"/>
    </row>
    <row r="255" ht="12.75" customHeight="1">
      <c r="E255" s="3"/>
      <c r="F255" s="3"/>
    </row>
    <row r="256" ht="12.75" customHeight="1">
      <c r="E256" s="3"/>
      <c r="F256" s="3"/>
    </row>
    <row r="257" ht="12.75" customHeight="1">
      <c r="E257" s="3"/>
      <c r="F257" s="3"/>
    </row>
    <row r="258" ht="12.75" customHeight="1">
      <c r="E258" s="3"/>
      <c r="F258" s="3"/>
    </row>
    <row r="259" ht="12.75" customHeight="1">
      <c r="E259" s="3"/>
      <c r="F259" s="3"/>
    </row>
    <row r="260" ht="12.75" customHeight="1">
      <c r="E260" s="3"/>
      <c r="F260" s="3"/>
    </row>
    <row r="261" ht="12.75" customHeight="1">
      <c r="E261" s="3"/>
      <c r="F261" s="3"/>
    </row>
    <row r="262" ht="12.75" customHeight="1">
      <c r="E262" s="3"/>
      <c r="F262" s="3"/>
    </row>
    <row r="263" ht="12.75" customHeight="1">
      <c r="E263" s="3"/>
      <c r="F263" s="3"/>
    </row>
    <row r="264" ht="12.75" customHeight="1">
      <c r="E264" s="3"/>
      <c r="F264" s="3"/>
    </row>
    <row r="265" ht="12.75" customHeight="1">
      <c r="E265" s="3"/>
      <c r="F265" s="3"/>
    </row>
    <row r="266" ht="12.75" customHeight="1">
      <c r="E266" s="3"/>
      <c r="F266" s="3"/>
    </row>
    <row r="267" ht="12.75" customHeight="1">
      <c r="E267" s="3"/>
      <c r="F267" s="3"/>
    </row>
    <row r="268" ht="12.75" customHeight="1">
      <c r="E268" s="3"/>
      <c r="F268" s="3"/>
    </row>
    <row r="269" ht="12.75" customHeight="1">
      <c r="E269" s="3"/>
      <c r="F269" s="3"/>
    </row>
    <row r="270" ht="12.75" customHeight="1">
      <c r="E270" s="3"/>
      <c r="F270" s="3"/>
    </row>
    <row r="271" ht="12.75" customHeight="1">
      <c r="E271" s="3"/>
      <c r="F271" s="3"/>
    </row>
    <row r="272" ht="12.75" customHeight="1">
      <c r="E272" s="3"/>
      <c r="F272" s="3"/>
    </row>
    <row r="273" ht="12.75" customHeight="1">
      <c r="E273" s="3"/>
      <c r="F273" s="3"/>
    </row>
    <row r="274" ht="12.75" customHeight="1">
      <c r="E274" s="3"/>
      <c r="F274" s="3"/>
    </row>
    <row r="275" ht="12.75" customHeight="1">
      <c r="E275" s="3"/>
      <c r="F275" s="3"/>
    </row>
    <row r="276" ht="12.75" customHeight="1">
      <c r="E276" s="3"/>
      <c r="F276" s="3"/>
    </row>
    <row r="277" ht="12.75" customHeight="1">
      <c r="E277" s="3"/>
      <c r="F277" s="3"/>
    </row>
    <row r="278" ht="12.75" customHeight="1">
      <c r="E278" s="3"/>
      <c r="F278" s="3"/>
    </row>
    <row r="279" ht="12.75" customHeight="1">
      <c r="E279" s="3"/>
      <c r="F279" s="3"/>
    </row>
    <row r="280" ht="12.75" customHeight="1">
      <c r="E280" s="3"/>
      <c r="F280" s="3"/>
    </row>
    <row r="281" ht="12.75" customHeight="1">
      <c r="E281" s="3"/>
      <c r="F281" s="3"/>
    </row>
    <row r="282" ht="12.75" customHeight="1">
      <c r="E282" s="3"/>
      <c r="F282" s="3"/>
    </row>
    <row r="283" ht="12.75" customHeight="1">
      <c r="E283" s="3"/>
      <c r="F283" s="3"/>
    </row>
    <row r="284" ht="12.75" customHeight="1">
      <c r="E284" s="3"/>
      <c r="F284" s="3"/>
    </row>
    <row r="285" ht="12.75" customHeight="1">
      <c r="E285" s="3"/>
      <c r="F285" s="3"/>
    </row>
    <row r="286" ht="12.75" customHeight="1">
      <c r="E286" s="3"/>
      <c r="F286" s="3"/>
    </row>
    <row r="287" ht="12.75" customHeight="1">
      <c r="E287" s="3"/>
      <c r="F287" s="3"/>
    </row>
    <row r="288" ht="12.75" customHeight="1">
      <c r="E288" s="3"/>
      <c r="F288" s="3"/>
    </row>
    <row r="289" ht="12.75" customHeight="1">
      <c r="E289" s="3"/>
      <c r="F289" s="3"/>
    </row>
    <row r="290" ht="12.75" customHeight="1">
      <c r="E290" s="3"/>
      <c r="F290" s="3"/>
    </row>
    <row r="291" ht="12.75" customHeight="1">
      <c r="E291" s="3"/>
      <c r="F291" s="3"/>
    </row>
    <row r="292" ht="12.75" customHeight="1">
      <c r="E292" s="3"/>
      <c r="F292" s="3"/>
    </row>
    <row r="293" ht="12.75" customHeight="1">
      <c r="E293" s="3"/>
      <c r="F293" s="3"/>
    </row>
    <row r="294" ht="12.75" customHeight="1">
      <c r="E294" s="3"/>
      <c r="F294" s="3"/>
    </row>
    <row r="295" ht="12.75" customHeight="1">
      <c r="E295" s="3"/>
      <c r="F295" s="3"/>
    </row>
    <row r="296" ht="12.75" customHeight="1">
      <c r="E296" s="3"/>
      <c r="F296" s="3"/>
    </row>
    <row r="297" ht="12.75" customHeight="1">
      <c r="E297" s="3"/>
      <c r="F297" s="3"/>
    </row>
    <row r="298" ht="12.75" customHeight="1">
      <c r="E298" s="3"/>
      <c r="F298" s="3"/>
    </row>
    <row r="299" ht="12.75" customHeight="1">
      <c r="E299" s="3"/>
      <c r="F299" s="3"/>
    </row>
    <row r="300" ht="12.75" customHeight="1">
      <c r="E300" s="3"/>
      <c r="F300" s="3"/>
    </row>
    <row r="301" ht="12.75" customHeight="1">
      <c r="E301" s="3"/>
      <c r="F301" s="3"/>
    </row>
    <row r="302" ht="12.75" customHeight="1">
      <c r="E302" s="3"/>
      <c r="F302" s="3"/>
    </row>
    <row r="303" ht="12.75" customHeight="1">
      <c r="E303" s="3"/>
      <c r="F303" s="3"/>
    </row>
    <row r="304" ht="12.75" customHeight="1">
      <c r="E304" s="3"/>
      <c r="F304" s="3"/>
    </row>
    <row r="305" ht="12.75" customHeight="1">
      <c r="E305" s="3"/>
      <c r="F305" s="3"/>
    </row>
    <row r="306" ht="12.75" customHeight="1">
      <c r="E306" s="3"/>
      <c r="F306" s="3"/>
    </row>
    <row r="307" ht="12.75" customHeight="1">
      <c r="E307" s="3"/>
      <c r="F307" s="3"/>
    </row>
    <row r="308" ht="12.75" customHeight="1">
      <c r="E308" s="3"/>
      <c r="F308" s="3"/>
    </row>
    <row r="309" ht="12.75" customHeight="1">
      <c r="E309" s="3"/>
      <c r="F309" s="3"/>
    </row>
    <row r="310" ht="12.75" customHeight="1">
      <c r="E310" s="3"/>
      <c r="F310" s="3"/>
    </row>
    <row r="311" ht="12.75" customHeight="1">
      <c r="E311" s="3"/>
      <c r="F311" s="3"/>
    </row>
    <row r="312" ht="12.75" customHeight="1">
      <c r="E312" s="3"/>
      <c r="F312" s="3"/>
    </row>
    <row r="313" ht="12.75" customHeight="1">
      <c r="E313" s="3"/>
      <c r="F313" s="3"/>
    </row>
    <row r="314" ht="12.75" customHeight="1">
      <c r="E314" s="3"/>
      <c r="F314" s="3"/>
    </row>
    <row r="315" ht="12.75" customHeight="1">
      <c r="E315" s="3"/>
      <c r="F315" s="3"/>
    </row>
    <row r="316" ht="12.75" customHeight="1">
      <c r="E316" s="3"/>
      <c r="F316" s="3"/>
    </row>
    <row r="317" ht="12.75" customHeight="1">
      <c r="E317" s="3"/>
      <c r="F317" s="3"/>
    </row>
    <row r="318" ht="12.75" customHeight="1">
      <c r="E318" s="3"/>
      <c r="F318" s="3"/>
    </row>
    <row r="319" ht="12.75" customHeight="1">
      <c r="E319" s="3"/>
      <c r="F319" s="3"/>
    </row>
    <row r="320" ht="12.75" customHeight="1">
      <c r="E320" s="3"/>
      <c r="F320" s="3"/>
    </row>
    <row r="321" ht="12.75" customHeight="1">
      <c r="E321" s="3"/>
      <c r="F321" s="3"/>
    </row>
    <row r="322" ht="12.75" customHeight="1">
      <c r="E322" s="3"/>
      <c r="F322" s="3"/>
    </row>
    <row r="323" ht="12.75" customHeight="1">
      <c r="E323" s="3"/>
      <c r="F323" s="3"/>
    </row>
    <row r="324" ht="12.75" customHeight="1">
      <c r="E324" s="3"/>
      <c r="F324" s="3"/>
    </row>
    <row r="325" ht="12.75" customHeight="1">
      <c r="E325" s="3"/>
      <c r="F325" s="3"/>
    </row>
    <row r="326" ht="12.75" customHeight="1">
      <c r="E326" s="3"/>
      <c r="F326" s="3"/>
    </row>
    <row r="327" ht="12.75" customHeight="1">
      <c r="E327" s="3"/>
      <c r="F327" s="3"/>
    </row>
    <row r="328" ht="12.75" customHeight="1">
      <c r="E328" s="3"/>
      <c r="F328" s="3"/>
    </row>
    <row r="329" ht="12.75" customHeight="1">
      <c r="E329" s="3"/>
      <c r="F329" s="3"/>
    </row>
    <row r="330" ht="12.75" customHeight="1">
      <c r="E330" s="3"/>
      <c r="F330" s="3"/>
    </row>
    <row r="331" ht="12.75" customHeight="1">
      <c r="E331" s="3"/>
      <c r="F331" s="3"/>
    </row>
    <row r="332" ht="12.75" customHeight="1">
      <c r="E332" s="3"/>
      <c r="F332" s="3"/>
    </row>
    <row r="333" ht="12.75" customHeight="1">
      <c r="E333" s="3"/>
      <c r="F333" s="3"/>
    </row>
    <row r="334" ht="12.75" customHeight="1">
      <c r="E334" s="3"/>
      <c r="F334" s="3"/>
    </row>
    <row r="335" ht="12.75" customHeight="1">
      <c r="E335" s="3"/>
      <c r="F335" s="3"/>
    </row>
    <row r="336" ht="12.75" customHeight="1">
      <c r="E336" s="3"/>
      <c r="F336" s="3"/>
    </row>
    <row r="337" ht="12.75" customHeight="1">
      <c r="E337" s="3"/>
      <c r="F337" s="3"/>
    </row>
    <row r="338" ht="12.75" customHeight="1">
      <c r="E338" s="3"/>
      <c r="F338" s="3"/>
    </row>
    <row r="339" ht="12.75" customHeight="1">
      <c r="E339" s="3"/>
      <c r="F339" s="3"/>
    </row>
    <row r="340" ht="12.75" customHeight="1">
      <c r="E340" s="3"/>
      <c r="F340" s="3"/>
    </row>
    <row r="341" ht="12.75" customHeight="1">
      <c r="E341" s="3"/>
      <c r="F341" s="3"/>
    </row>
    <row r="342" ht="12.75" customHeight="1">
      <c r="E342" s="3"/>
      <c r="F342" s="3"/>
    </row>
    <row r="343" ht="12.75" customHeight="1">
      <c r="E343" s="3"/>
      <c r="F343" s="3"/>
    </row>
    <row r="344" ht="12.75" customHeight="1">
      <c r="E344" s="3"/>
      <c r="F344" s="3"/>
    </row>
    <row r="345" ht="12.75" customHeight="1">
      <c r="E345" s="3"/>
      <c r="F345" s="3"/>
    </row>
    <row r="346" ht="12.75" customHeight="1">
      <c r="E346" s="3"/>
      <c r="F346" s="3"/>
    </row>
    <row r="347" ht="12.75" customHeight="1">
      <c r="E347" s="3"/>
      <c r="F347" s="3"/>
    </row>
    <row r="348" ht="12.75" customHeight="1">
      <c r="E348" s="3"/>
      <c r="F348" s="3"/>
    </row>
    <row r="349" ht="12.75" customHeight="1">
      <c r="E349" s="3"/>
      <c r="F349" s="3"/>
    </row>
    <row r="350" ht="12.75" customHeight="1">
      <c r="E350" s="3"/>
      <c r="F350" s="3"/>
    </row>
    <row r="351" ht="12.75" customHeight="1">
      <c r="E351" s="3"/>
      <c r="F351" s="3"/>
    </row>
    <row r="352" ht="12.75" customHeight="1">
      <c r="E352" s="3"/>
      <c r="F352" s="3"/>
    </row>
    <row r="353" ht="12.75" customHeight="1">
      <c r="E353" s="3"/>
      <c r="F353" s="3"/>
    </row>
    <row r="354" ht="12.75" customHeight="1">
      <c r="E354" s="3"/>
      <c r="F354" s="3"/>
    </row>
    <row r="355" ht="12.75" customHeight="1">
      <c r="E355" s="3"/>
      <c r="F355" s="3"/>
    </row>
    <row r="356" ht="12.75" customHeight="1">
      <c r="E356" s="3"/>
      <c r="F356" s="3"/>
    </row>
    <row r="357" ht="12.75" customHeight="1">
      <c r="E357" s="3"/>
      <c r="F357" s="3"/>
    </row>
    <row r="358" ht="12.75" customHeight="1">
      <c r="E358" s="3"/>
      <c r="F358" s="3"/>
    </row>
    <row r="359" ht="12.75" customHeight="1">
      <c r="E359" s="3"/>
      <c r="F359" s="3"/>
    </row>
    <row r="360" ht="12.75" customHeight="1">
      <c r="E360" s="3"/>
      <c r="F360" s="3"/>
    </row>
    <row r="361" ht="12.75" customHeight="1">
      <c r="E361" s="3"/>
      <c r="F361" s="3"/>
    </row>
    <row r="362" ht="12.75" customHeight="1">
      <c r="E362" s="3"/>
      <c r="F362" s="3"/>
    </row>
    <row r="363" ht="12.75" customHeight="1">
      <c r="E363" s="3"/>
      <c r="F363" s="3"/>
    </row>
    <row r="364" ht="12.75" customHeight="1">
      <c r="E364" s="3"/>
      <c r="F364" s="3"/>
    </row>
    <row r="365" ht="12.75" customHeight="1">
      <c r="E365" s="3"/>
      <c r="F365" s="3"/>
    </row>
    <row r="366" ht="12.75" customHeight="1">
      <c r="E366" s="3"/>
      <c r="F366" s="3"/>
    </row>
    <row r="367" ht="12.75" customHeight="1">
      <c r="E367" s="3"/>
      <c r="F367" s="3"/>
    </row>
    <row r="368" ht="12.75" customHeight="1">
      <c r="E368" s="3"/>
      <c r="F368" s="3"/>
    </row>
    <row r="369" ht="12.75" customHeight="1">
      <c r="E369" s="3"/>
      <c r="F369" s="3"/>
    </row>
    <row r="370" ht="12.75" customHeight="1">
      <c r="E370" s="3"/>
      <c r="F370" s="3"/>
    </row>
    <row r="371" ht="12.75" customHeight="1">
      <c r="E371" s="3"/>
      <c r="F371" s="3"/>
    </row>
    <row r="372" ht="12.75" customHeight="1">
      <c r="E372" s="3"/>
      <c r="F372" s="3"/>
    </row>
    <row r="373" ht="12.75" customHeight="1">
      <c r="E373" s="3"/>
      <c r="F373" s="3"/>
    </row>
    <row r="374" ht="12.75" customHeight="1">
      <c r="E374" s="3"/>
      <c r="F374" s="3"/>
    </row>
    <row r="375" ht="12.75" customHeight="1">
      <c r="E375" s="3"/>
      <c r="F375" s="3"/>
    </row>
    <row r="376" ht="12.75" customHeight="1">
      <c r="E376" s="3"/>
      <c r="F376" s="3"/>
    </row>
    <row r="377" ht="12.75" customHeight="1">
      <c r="E377" s="3"/>
      <c r="F377" s="3"/>
    </row>
    <row r="378" ht="12.75" customHeight="1">
      <c r="E378" s="3"/>
      <c r="F378" s="3"/>
    </row>
    <row r="379" ht="12.75" customHeight="1">
      <c r="E379" s="3"/>
      <c r="F379" s="3"/>
    </row>
    <row r="380" ht="12.75" customHeight="1">
      <c r="E380" s="3"/>
      <c r="F380" s="3"/>
    </row>
    <row r="381" ht="12.75" customHeight="1">
      <c r="E381" s="3"/>
      <c r="F381" s="3"/>
    </row>
    <row r="382" ht="12.75" customHeight="1">
      <c r="E382" s="3"/>
      <c r="F382" s="3"/>
    </row>
    <row r="383" ht="12.75" customHeight="1">
      <c r="E383" s="3"/>
      <c r="F383" s="3"/>
    </row>
    <row r="384" ht="12.75" customHeight="1">
      <c r="E384" s="3"/>
      <c r="F384" s="3"/>
    </row>
    <row r="385" ht="12.75" customHeight="1">
      <c r="E385" s="3"/>
      <c r="F385" s="3"/>
    </row>
    <row r="386" ht="12.75" customHeight="1">
      <c r="E386" s="3"/>
      <c r="F386" s="3"/>
    </row>
    <row r="387" ht="12.75" customHeight="1">
      <c r="E387" s="3"/>
      <c r="F387" s="3"/>
    </row>
    <row r="388" ht="12.75" customHeight="1">
      <c r="E388" s="3"/>
      <c r="F388" s="3"/>
    </row>
    <row r="389" ht="12.75" customHeight="1">
      <c r="E389" s="3"/>
      <c r="F389" s="3"/>
    </row>
    <row r="390" ht="12.75" customHeight="1">
      <c r="E390" s="3"/>
      <c r="F390" s="3"/>
    </row>
    <row r="391" ht="12.75" customHeight="1">
      <c r="E391" s="3"/>
      <c r="F391" s="3"/>
    </row>
    <row r="392" ht="12.75" customHeight="1">
      <c r="E392" s="3"/>
      <c r="F392" s="3"/>
    </row>
    <row r="393" ht="12.75" customHeight="1">
      <c r="E393" s="3"/>
      <c r="F393" s="3"/>
    </row>
    <row r="394" ht="12.75" customHeight="1">
      <c r="E394" s="3"/>
      <c r="F394" s="3"/>
    </row>
    <row r="395" ht="12.75" customHeight="1">
      <c r="E395" s="3"/>
      <c r="F395" s="3"/>
    </row>
    <row r="396" ht="12.75" customHeight="1">
      <c r="E396" s="3"/>
      <c r="F396" s="3"/>
    </row>
    <row r="397" ht="12.75" customHeight="1">
      <c r="E397" s="3"/>
      <c r="F397" s="3"/>
    </row>
    <row r="398" ht="12.75" customHeight="1">
      <c r="E398" s="3"/>
      <c r="F398" s="3"/>
    </row>
    <row r="399" ht="12.75" customHeight="1">
      <c r="E399" s="3"/>
      <c r="F399" s="3"/>
    </row>
    <row r="400" ht="12.75" customHeight="1">
      <c r="E400" s="3"/>
      <c r="F400" s="3"/>
    </row>
    <row r="401" ht="12.75" customHeight="1">
      <c r="E401" s="3"/>
      <c r="F401" s="3"/>
    </row>
    <row r="402" ht="12.75" customHeight="1">
      <c r="E402" s="3"/>
      <c r="F402" s="3"/>
    </row>
    <row r="403" ht="12.75" customHeight="1">
      <c r="E403" s="3"/>
      <c r="F403" s="3"/>
    </row>
    <row r="404" ht="12.75" customHeight="1">
      <c r="E404" s="3"/>
      <c r="F404" s="3"/>
    </row>
    <row r="405" ht="12.75" customHeight="1">
      <c r="E405" s="3"/>
      <c r="F405" s="3"/>
    </row>
    <row r="406" ht="12.75" customHeight="1">
      <c r="E406" s="3"/>
      <c r="F406" s="3"/>
    </row>
    <row r="407" ht="12.75" customHeight="1">
      <c r="E407" s="3"/>
      <c r="F407" s="3"/>
    </row>
    <row r="408" ht="12.75" customHeight="1">
      <c r="E408" s="3"/>
      <c r="F408" s="3"/>
    </row>
    <row r="409" ht="12.75" customHeight="1">
      <c r="E409" s="3"/>
      <c r="F409" s="3"/>
    </row>
    <row r="410" ht="12.75" customHeight="1">
      <c r="E410" s="3"/>
      <c r="F410" s="3"/>
    </row>
    <row r="411" ht="12.75" customHeight="1">
      <c r="E411" s="3"/>
      <c r="F411" s="3"/>
    </row>
    <row r="412" ht="12.75" customHeight="1">
      <c r="E412" s="3"/>
      <c r="F412" s="3"/>
    </row>
    <row r="413" ht="12.75" customHeight="1">
      <c r="E413" s="3"/>
      <c r="F413" s="3"/>
    </row>
    <row r="414" ht="12.75" customHeight="1">
      <c r="E414" s="3"/>
      <c r="F414" s="3"/>
    </row>
    <row r="415" ht="12.75" customHeight="1">
      <c r="E415" s="3"/>
      <c r="F415" s="3"/>
    </row>
    <row r="416" ht="12.75" customHeight="1">
      <c r="E416" s="3"/>
      <c r="F416" s="3"/>
    </row>
    <row r="417" ht="12.75" customHeight="1">
      <c r="E417" s="3"/>
      <c r="F417" s="3"/>
    </row>
    <row r="418" ht="12.75" customHeight="1">
      <c r="E418" s="3"/>
      <c r="F418" s="3"/>
    </row>
    <row r="419" ht="12.75" customHeight="1">
      <c r="E419" s="3"/>
      <c r="F419" s="3"/>
    </row>
    <row r="420" ht="12.75" customHeight="1">
      <c r="E420" s="3"/>
      <c r="F420" s="3"/>
    </row>
    <row r="421" ht="12.75" customHeight="1">
      <c r="E421" s="3"/>
      <c r="F421" s="3"/>
    </row>
    <row r="422" ht="12.75" customHeight="1">
      <c r="E422" s="3"/>
      <c r="F422" s="3"/>
    </row>
    <row r="423" ht="12.75" customHeight="1">
      <c r="E423" s="3"/>
      <c r="F423" s="3"/>
    </row>
    <row r="424" ht="12.75" customHeight="1">
      <c r="E424" s="3"/>
      <c r="F424" s="3"/>
    </row>
    <row r="425" ht="12.75" customHeight="1">
      <c r="E425" s="3"/>
      <c r="F425" s="3"/>
    </row>
    <row r="426" ht="12.75" customHeight="1">
      <c r="E426" s="3"/>
      <c r="F426" s="3"/>
    </row>
    <row r="427" ht="12.75" customHeight="1">
      <c r="E427" s="3"/>
      <c r="F427" s="3"/>
    </row>
    <row r="428" ht="12.75" customHeight="1">
      <c r="E428" s="3"/>
      <c r="F428" s="3"/>
    </row>
    <row r="429" ht="12.75" customHeight="1">
      <c r="E429" s="3"/>
      <c r="F429" s="3"/>
    </row>
    <row r="430" ht="12.75" customHeight="1">
      <c r="E430" s="3"/>
      <c r="F430" s="3"/>
    </row>
    <row r="431" ht="12.75" customHeight="1">
      <c r="E431" s="3"/>
      <c r="F431" s="3"/>
    </row>
    <row r="432" ht="12.75" customHeight="1">
      <c r="E432" s="3"/>
      <c r="F432" s="3"/>
    </row>
    <row r="433" ht="12.75" customHeight="1">
      <c r="E433" s="3"/>
      <c r="F433" s="3"/>
    </row>
    <row r="434" ht="12.75" customHeight="1">
      <c r="E434" s="3"/>
      <c r="F434" s="3"/>
    </row>
    <row r="435" ht="12.75" customHeight="1">
      <c r="E435" s="3"/>
      <c r="F435" s="3"/>
    </row>
    <row r="436" ht="12.75" customHeight="1">
      <c r="E436" s="3"/>
      <c r="F436" s="3"/>
    </row>
    <row r="437" ht="12.75" customHeight="1">
      <c r="E437" s="3"/>
      <c r="F437" s="3"/>
    </row>
    <row r="438" ht="12.75" customHeight="1">
      <c r="E438" s="3"/>
      <c r="F438" s="3"/>
    </row>
    <row r="439" ht="12.75" customHeight="1">
      <c r="E439" s="3"/>
      <c r="F439" s="3"/>
    </row>
    <row r="440" ht="12.75" customHeight="1">
      <c r="E440" s="3"/>
      <c r="F440" s="3"/>
    </row>
    <row r="441" ht="12.75" customHeight="1">
      <c r="E441" s="3"/>
      <c r="F441" s="3"/>
    </row>
    <row r="442" ht="12.75" customHeight="1">
      <c r="E442" s="3"/>
      <c r="F442" s="3"/>
    </row>
    <row r="443" ht="12.75" customHeight="1">
      <c r="E443" s="3"/>
      <c r="F443" s="3"/>
    </row>
    <row r="444" ht="12.75" customHeight="1">
      <c r="E444" s="3"/>
      <c r="F444" s="3"/>
    </row>
    <row r="445" ht="12.75" customHeight="1">
      <c r="E445" s="3"/>
      <c r="F445" s="3"/>
    </row>
    <row r="446" ht="12.75" customHeight="1">
      <c r="E446" s="3"/>
      <c r="F446" s="3"/>
    </row>
    <row r="447" ht="12.75" customHeight="1">
      <c r="E447" s="3"/>
      <c r="F447" s="3"/>
    </row>
    <row r="448" ht="12.75" customHeight="1">
      <c r="E448" s="3"/>
      <c r="F448" s="3"/>
    </row>
    <row r="449" ht="12.75" customHeight="1">
      <c r="E449" s="3"/>
      <c r="F449" s="3"/>
    </row>
    <row r="450" ht="12.75" customHeight="1">
      <c r="E450" s="3"/>
      <c r="F450" s="3"/>
    </row>
    <row r="451" ht="12.75" customHeight="1">
      <c r="E451" s="3"/>
      <c r="F451" s="3"/>
    </row>
    <row r="452" ht="12.75" customHeight="1">
      <c r="E452" s="3"/>
      <c r="F452" s="3"/>
    </row>
    <row r="453" ht="12.75" customHeight="1">
      <c r="E453" s="3"/>
      <c r="F453" s="3"/>
    </row>
    <row r="454" ht="12.75" customHeight="1">
      <c r="E454" s="3"/>
      <c r="F454" s="3"/>
    </row>
    <row r="455" ht="12.75" customHeight="1">
      <c r="E455" s="3"/>
      <c r="F455" s="3"/>
    </row>
    <row r="456" ht="12.75" customHeight="1">
      <c r="E456" s="3"/>
      <c r="F456" s="3"/>
    </row>
    <row r="457" ht="12.75" customHeight="1">
      <c r="E457" s="3"/>
      <c r="F457" s="3"/>
    </row>
    <row r="458" ht="12.75" customHeight="1">
      <c r="E458" s="3"/>
      <c r="F458" s="3"/>
    </row>
    <row r="459" ht="12.75" customHeight="1">
      <c r="E459" s="3"/>
      <c r="F459" s="3"/>
    </row>
    <row r="460" ht="12.75" customHeight="1">
      <c r="E460" s="3"/>
      <c r="F460" s="3"/>
    </row>
    <row r="461" ht="12.75" customHeight="1">
      <c r="E461" s="3"/>
      <c r="F461" s="3"/>
    </row>
    <row r="462" ht="12.75" customHeight="1">
      <c r="E462" s="3"/>
      <c r="F462" s="3"/>
    </row>
    <row r="463" ht="12.75" customHeight="1">
      <c r="E463" s="3"/>
      <c r="F463" s="3"/>
    </row>
    <row r="464" ht="12.75" customHeight="1">
      <c r="E464" s="3"/>
      <c r="F464" s="3"/>
    </row>
    <row r="465" ht="12.75" customHeight="1">
      <c r="E465" s="3"/>
      <c r="F465" s="3"/>
    </row>
    <row r="466" ht="12.75" customHeight="1">
      <c r="E466" s="3"/>
      <c r="F466" s="3"/>
    </row>
    <row r="467" ht="12.75" customHeight="1">
      <c r="E467" s="3"/>
      <c r="F467" s="3"/>
    </row>
    <row r="468" ht="12.75" customHeight="1">
      <c r="E468" s="3"/>
      <c r="F468" s="3"/>
    </row>
    <row r="469" ht="12.75" customHeight="1">
      <c r="E469" s="3"/>
      <c r="F469" s="3"/>
    </row>
    <row r="470" ht="12.75" customHeight="1">
      <c r="E470" s="3"/>
      <c r="F470" s="3"/>
    </row>
    <row r="471" ht="12.75" customHeight="1">
      <c r="E471" s="3"/>
      <c r="F471" s="3"/>
    </row>
    <row r="472" ht="12.75" customHeight="1">
      <c r="E472" s="3"/>
      <c r="F472" s="3"/>
    </row>
    <row r="473" ht="12.75" customHeight="1">
      <c r="E473" s="3"/>
      <c r="F473" s="3"/>
    </row>
    <row r="474" ht="12.75" customHeight="1">
      <c r="E474" s="3"/>
      <c r="F474" s="3"/>
    </row>
    <row r="475" ht="12.75" customHeight="1">
      <c r="E475" s="3"/>
      <c r="F475" s="3"/>
    </row>
    <row r="476" ht="12.75" customHeight="1">
      <c r="E476" s="3"/>
      <c r="F476" s="3"/>
    </row>
    <row r="477" ht="12.75" customHeight="1">
      <c r="E477" s="3"/>
      <c r="F477" s="3"/>
    </row>
    <row r="478" ht="12.75" customHeight="1">
      <c r="E478" s="3"/>
      <c r="F478" s="3"/>
    </row>
    <row r="479" ht="12.75" customHeight="1">
      <c r="E479" s="3"/>
      <c r="F479" s="3"/>
    </row>
    <row r="480" ht="12.75" customHeight="1">
      <c r="E480" s="3"/>
      <c r="F480" s="3"/>
    </row>
    <row r="481" ht="12.75" customHeight="1">
      <c r="E481" s="3"/>
      <c r="F481" s="3"/>
    </row>
    <row r="482" ht="12.75" customHeight="1">
      <c r="E482" s="3"/>
      <c r="F482" s="3"/>
    </row>
    <row r="483" ht="12.75" customHeight="1">
      <c r="E483" s="3"/>
      <c r="F483" s="3"/>
    </row>
    <row r="484" ht="12.75" customHeight="1">
      <c r="E484" s="3"/>
      <c r="F484" s="3"/>
    </row>
    <row r="485" ht="12.75" customHeight="1">
      <c r="E485" s="3"/>
      <c r="F485" s="3"/>
    </row>
    <row r="486" ht="12.75" customHeight="1">
      <c r="E486" s="3"/>
      <c r="F486" s="3"/>
    </row>
    <row r="487" ht="12.75" customHeight="1">
      <c r="E487" s="3"/>
      <c r="F487" s="3"/>
    </row>
    <row r="488" ht="12.75" customHeight="1">
      <c r="E488" s="3"/>
      <c r="F488" s="3"/>
    </row>
    <row r="489" ht="12.75" customHeight="1">
      <c r="E489" s="3"/>
      <c r="F489" s="3"/>
    </row>
    <row r="490" ht="12.75" customHeight="1">
      <c r="E490" s="3"/>
      <c r="F490" s="3"/>
    </row>
    <row r="491" ht="12.75" customHeight="1">
      <c r="E491" s="3"/>
      <c r="F491" s="3"/>
    </row>
    <row r="492" ht="12.75" customHeight="1">
      <c r="E492" s="3"/>
      <c r="F492" s="3"/>
    </row>
    <row r="493" ht="12.75" customHeight="1">
      <c r="E493" s="3"/>
      <c r="F493" s="3"/>
    </row>
    <row r="494" ht="12.75" customHeight="1">
      <c r="E494" s="3"/>
      <c r="F494" s="3"/>
    </row>
    <row r="495" ht="12.75" customHeight="1">
      <c r="E495" s="3"/>
      <c r="F495" s="3"/>
    </row>
    <row r="496" ht="12.75" customHeight="1">
      <c r="E496" s="3"/>
      <c r="F496" s="3"/>
    </row>
    <row r="497" ht="12.75" customHeight="1">
      <c r="E497" s="3"/>
      <c r="F497" s="3"/>
    </row>
    <row r="498" ht="12.75" customHeight="1">
      <c r="E498" s="3"/>
      <c r="F498" s="3"/>
    </row>
    <row r="499" ht="12.75" customHeight="1">
      <c r="E499" s="3"/>
      <c r="F499" s="3"/>
    </row>
    <row r="500" ht="12.75" customHeight="1">
      <c r="E500" s="3"/>
      <c r="F500" s="3"/>
    </row>
    <row r="501" ht="12.75" customHeight="1">
      <c r="E501" s="3"/>
      <c r="F501" s="3"/>
    </row>
    <row r="502" ht="12.75" customHeight="1">
      <c r="E502" s="3"/>
      <c r="F502" s="3"/>
    </row>
    <row r="503" ht="12.75" customHeight="1">
      <c r="E503" s="3"/>
      <c r="F503" s="3"/>
    </row>
    <row r="504" ht="12.75" customHeight="1">
      <c r="E504" s="3"/>
      <c r="F504" s="3"/>
    </row>
    <row r="505" ht="12.75" customHeight="1">
      <c r="E505" s="3"/>
      <c r="F505" s="3"/>
    </row>
    <row r="506" ht="12.75" customHeight="1">
      <c r="E506" s="3"/>
      <c r="F506" s="3"/>
    </row>
    <row r="507" ht="12.75" customHeight="1">
      <c r="E507" s="3"/>
      <c r="F507" s="3"/>
    </row>
    <row r="508" ht="12.75" customHeight="1">
      <c r="E508" s="3"/>
      <c r="F508" s="3"/>
    </row>
    <row r="509" ht="12.75" customHeight="1">
      <c r="E509" s="3"/>
      <c r="F509" s="3"/>
    </row>
    <row r="510" ht="12.75" customHeight="1">
      <c r="E510" s="3"/>
      <c r="F510" s="3"/>
    </row>
    <row r="511" ht="12.75" customHeight="1">
      <c r="E511" s="3"/>
      <c r="F511" s="3"/>
    </row>
    <row r="512" ht="12.75" customHeight="1">
      <c r="E512" s="3"/>
      <c r="F512" s="3"/>
    </row>
    <row r="513" ht="12.75" customHeight="1">
      <c r="E513" s="3"/>
      <c r="F513" s="3"/>
    </row>
    <row r="514" ht="12.75" customHeight="1">
      <c r="E514" s="3"/>
      <c r="F514" s="3"/>
    </row>
    <row r="515" ht="12.75" customHeight="1">
      <c r="E515" s="3"/>
      <c r="F515" s="3"/>
    </row>
    <row r="516" ht="12.75" customHeight="1">
      <c r="E516" s="3"/>
      <c r="F516" s="3"/>
    </row>
    <row r="517" ht="12.75" customHeight="1">
      <c r="E517" s="3"/>
      <c r="F517" s="3"/>
    </row>
    <row r="518" ht="12.75" customHeight="1">
      <c r="E518" s="3"/>
      <c r="F518" s="3"/>
    </row>
    <row r="519" ht="12.75" customHeight="1">
      <c r="E519" s="3"/>
      <c r="F519" s="3"/>
    </row>
    <row r="520" ht="12.75" customHeight="1">
      <c r="E520" s="3"/>
      <c r="F520" s="3"/>
    </row>
    <row r="521" ht="12.75" customHeight="1">
      <c r="E521" s="3"/>
      <c r="F521" s="3"/>
    </row>
    <row r="522" ht="12.75" customHeight="1">
      <c r="E522" s="3"/>
      <c r="F522" s="3"/>
    </row>
    <row r="523" ht="12.75" customHeight="1">
      <c r="E523" s="3"/>
      <c r="F523" s="3"/>
    </row>
    <row r="524" ht="12.75" customHeight="1">
      <c r="E524" s="3"/>
      <c r="F524" s="3"/>
    </row>
    <row r="525" ht="12.75" customHeight="1">
      <c r="E525" s="3"/>
      <c r="F525" s="3"/>
    </row>
    <row r="526" ht="12.75" customHeight="1">
      <c r="E526" s="3"/>
      <c r="F526" s="3"/>
    </row>
    <row r="527" ht="12.75" customHeight="1">
      <c r="E527" s="3"/>
      <c r="F527" s="3"/>
    </row>
    <row r="528" ht="12.75" customHeight="1">
      <c r="E528" s="3"/>
      <c r="F528" s="3"/>
    </row>
    <row r="529" ht="12.75" customHeight="1">
      <c r="E529" s="3"/>
      <c r="F529" s="3"/>
    </row>
    <row r="530" ht="12.75" customHeight="1">
      <c r="E530" s="3"/>
      <c r="F530" s="3"/>
    </row>
    <row r="531" ht="12.75" customHeight="1">
      <c r="E531" s="3"/>
      <c r="F531" s="3"/>
    </row>
    <row r="532" ht="12.75" customHeight="1">
      <c r="E532" s="3"/>
      <c r="F532" s="3"/>
    </row>
    <row r="533" ht="12.75" customHeight="1">
      <c r="E533" s="3"/>
      <c r="F533" s="3"/>
    </row>
    <row r="534" ht="12.75" customHeight="1">
      <c r="E534" s="3"/>
      <c r="F534" s="3"/>
    </row>
    <row r="535" ht="12.75" customHeight="1">
      <c r="E535" s="3"/>
      <c r="F535" s="3"/>
    </row>
    <row r="536" ht="12.75" customHeight="1">
      <c r="E536" s="3"/>
      <c r="F536" s="3"/>
    </row>
    <row r="537" ht="12.75" customHeight="1">
      <c r="E537" s="3"/>
      <c r="F537" s="3"/>
    </row>
    <row r="538" ht="12.75" customHeight="1">
      <c r="E538" s="3"/>
      <c r="F538" s="3"/>
    </row>
    <row r="539" ht="12.75" customHeight="1">
      <c r="E539" s="3"/>
      <c r="F539" s="3"/>
    </row>
    <row r="540" ht="12.75" customHeight="1">
      <c r="E540" s="3"/>
      <c r="F540" s="3"/>
    </row>
    <row r="541" ht="12.75" customHeight="1">
      <c r="E541" s="3"/>
      <c r="F541" s="3"/>
    </row>
    <row r="542" ht="12.75" customHeight="1">
      <c r="E542" s="3"/>
      <c r="F542" s="3"/>
    </row>
    <row r="543" ht="12.75" customHeight="1">
      <c r="E543" s="3"/>
      <c r="F543" s="3"/>
    </row>
    <row r="544" ht="12.75" customHeight="1">
      <c r="E544" s="3"/>
      <c r="F544" s="3"/>
    </row>
    <row r="545" ht="12.75" customHeight="1">
      <c r="E545" s="3"/>
      <c r="F545" s="3"/>
    </row>
    <row r="546" ht="12.75" customHeight="1">
      <c r="E546" s="3"/>
      <c r="F546" s="3"/>
    </row>
    <row r="547" ht="12.75" customHeight="1">
      <c r="E547" s="3"/>
      <c r="F547" s="3"/>
    </row>
    <row r="548" ht="12.75" customHeight="1">
      <c r="E548" s="3"/>
      <c r="F548" s="3"/>
    </row>
    <row r="549" ht="12.75" customHeight="1">
      <c r="E549" s="3"/>
      <c r="F549" s="3"/>
    </row>
    <row r="550" ht="12.75" customHeight="1">
      <c r="E550" s="3"/>
      <c r="F550" s="3"/>
    </row>
    <row r="551" ht="12.75" customHeight="1">
      <c r="E551" s="3"/>
      <c r="F551" s="3"/>
    </row>
    <row r="552" ht="12.75" customHeight="1">
      <c r="E552" s="3"/>
      <c r="F552" s="3"/>
    </row>
    <row r="553" ht="12.75" customHeight="1">
      <c r="E553" s="3"/>
      <c r="F553" s="3"/>
    </row>
    <row r="554" ht="12.75" customHeight="1">
      <c r="E554" s="3"/>
      <c r="F554" s="3"/>
    </row>
    <row r="555" ht="12.75" customHeight="1">
      <c r="E555" s="3"/>
      <c r="F555" s="3"/>
    </row>
    <row r="556" ht="12.75" customHeight="1">
      <c r="E556" s="3"/>
      <c r="F556" s="3"/>
    </row>
    <row r="557" ht="12.75" customHeight="1">
      <c r="E557" s="3"/>
      <c r="F557" s="3"/>
    </row>
    <row r="558" ht="12.75" customHeight="1">
      <c r="E558" s="3"/>
      <c r="F558" s="3"/>
    </row>
    <row r="559" ht="12.75" customHeight="1">
      <c r="E559" s="3"/>
      <c r="F559" s="3"/>
    </row>
    <row r="560" ht="12.75" customHeight="1">
      <c r="E560" s="3"/>
      <c r="F560" s="3"/>
    </row>
    <row r="561" ht="12.75" customHeight="1">
      <c r="E561" s="3"/>
      <c r="F561" s="3"/>
    </row>
    <row r="562" ht="12.75" customHeight="1">
      <c r="E562" s="3"/>
      <c r="F562" s="3"/>
    </row>
    <row r="563" ht="12.75" customHeight="1">
      <c r="E563" s="3"/>
      <c r="F563" s="3"/>
    </row>
    <row r="564" ht="12.75" customHeight="1">
      <c r="E564" s="3"/>
      <c r="F564" s="3"/>
    </row>
    <row r="565" ht="12.75" customHeight="1">
      <c r="E565" s="3"/>
      <c r="F565" s="3"/>
    </row>
    <row r="566" ht="12.75" customHeight="1">
      <c r="E566" s="3"/>
      <c r="F566" s="3"/>
    </row>
    <row r="567" ht="12.75" customHeight="1">
      <c r="E567" s="3"/>
      <c r="F567" s="3"/>
    </row>
    <row r="568" ht="12.75" customHeight="1">
      <c r="E568" s="3"/>
      <c r="F568" s="3"/>
    </row>
    <row r="569" ht="12.75" customHeight="1">
      <c r="E569" s="3"/>
      <c r="F569" s="3"/>
    </row>
    <row r="570" ht="12.75" customHeight="1">
      <c r="E570" s="3"/>
      <c r="F570" s="3"/>
    </row>
    <row r="571" ht="12.75" customHeight="1">
      <c r="E571" s="3"/>
      <c r="F571" s="3"/>
    </row>
    <row r="572" ht="12.75" customHeight="1">
      <c r="E572" s="3"/>
      <c r="F572" s="3"/>
    </row>
    <row r="573" ht="12.75" customHeight="1">
      <c r="E573" s="3"/>
      <c r="F573" s="3"/>
    </row>
    <row r="574" ht="12.75" customHeight="1">
      <c r="E574" s="3"/>
      <c r="F574" s="3"/>
    </row>
    <row r="575" ht="12.75" customHeight="1">
      <c r="E575" s="3"/>
      <c r="F575" s="3"/>
    </row>
    <row r="576" ht="12.75" customHeight="1">
      <c r="E576" s="3"/>
      <c r="F576" s="3"/>
    </row>
    <row r="577" ht="12.75" customHeight="1">
      <c r="E577" s="3"/>
      <c r="F577" s="3"/>
    </row>
    <row r="578" ht="12.75" customHeight="1">
      <c r="E578" s="3"/>
      <c r="F578" s="3"/>
    </row>
    <row r="579" ht="12.75" customHeight="1">
      <c r="E579" s="3"/>
      <c r="F579" s="3"/>
    </row>
    <row r="580" ht="12.75" customHeight="1">
      <c r="E580" s="3"/>
      <c r="F580" s="3"/>
    </row>
    <row r="581" ht="12.75" customHeight="1">
      <c r="E581" s="3"/>
      <c r="F581" s="3"/>
    </row>
    <row r="582" ht="12.75" customHeight="1">
      <c r="E582" s="3"/>
      <c r="F582" s="3"/>
    </row>
    <row r="583" ht="12.75" customHeight="1">
      <c r="E583" s="3"/>
      <c r="F583" s="3"/>
    </row>
    <row r="584" ht="12.75" customHeight="1">
      <c r="E584" s="3"/>
      <c r="F584" s="3"/>
    </row>
    <row r="585" ht="12.75" customHeight="1">
      <c r="E585" s="3"/>
      <c r="F585" s="3"/>
    </row>
    <row r="586" ht="12.75" customHeight="1">
      <c r="E586" s="3"/>
      <c r="F586" s="3"/>
    </row>
    <row r="587" ht="12.75" customHeight="1">
      <c r="E587" s="3"/>
      <c r="F587" s="3"/>
    </row>
    <row r="588" ht="12.75" customHeight="1">
      <c r="E588" s="3"/>
      <c r="F588" s="3"/>
    </row>
    <row r="589" ht="12.75" customHeight="1">
      <c r="E589" s="3"/>
      <c r="F589" s="3"/>
    </row>
    <row r="590" ht="12.75" customHeight="1">
      <c r="E590" s="3"/>
      <c r="F590" s="3"/>
    </row>
    <row r="591" ht="12.75" customHeight="1">
      <c r="E591" s="3"/>
      <c r="F591" s="3"/>
    </row>
    <row r="592" ht="12.75" customHeight="1">
      <c r="E592" s="3"/>
      <c r="F592" s="3"/>
    </row>
    <row r="593" ht="12.75" customHeight="1">
      <c r="E593" s="3"/>
      <c r="F593" s="3"/>
    </row>
    <row r="594" ht="12.75" customHeight="1">
      <c r="E594" s="3"/>
      <c r="F594" s="3"/>
    </row>
    <row r="595" ht="12.75" customHeight="1">
      <c r="E595" s="3"/>
      <c r="F595" s="3"/>
    </row>
    <row r="596" ht="12.75" customHeight="1">
      <c r="E596" s="3"/>
      <c r="F596" s="3"/>
    </row>
    <row r="597" ht="12.75" customHeight="1">
      <c r="E597" s="3"/>
      <c r="F597" s="3"/>
    </row>
    <row r="598" ht="12.75" customHeight="1">
      <c r="E598" s="3"/>
      <c r="F598" s="3"/>
    </row>
    <row r="599" ht="12.75" customHeight="1">
      <c r="E599" s="3"/>
      <c r="F599" s="3"/>
    </row>
    <row r="600" ht="12.75" customHeight="1">
      <c r="E600" s="3"/>
      <c r="F600" s="3"/>
    </row>
    <row r="601" ht="12.75" customHeight="1">
      <c r="E601" s="3"/>
      <c r="F601" s="3"/>
    </row>
    <row r="602" ht="12.75" customHeight="1">
      <c r="E602" s="3"/>
      <c r="F602" s="3"/>
    </row>
    <row r="603" ht="12.75" customHeight="1">
      <c r="E603" s="3"/>
      <c r="F603" s="3"/>
    </row>
    <row r="604" ht="12.75" customHeight="1">
      <c r="E604" s="3"/>
      <c r="F604" s="3"/>
    </row>
    <row r="605" ht="12.75" customHeight="1">
      <c r="E605" s="3"/>
      <c r="F605" s="3"/>
    </row>
    <row r="606" ht="12.75" customHeight="1">
      <c r="E606" s="3"/>
      <c r="F606" s="3"/>
    </row>
    <row r="607" ht="12.75" customHeight="1">
      <c r="E607" s="3"/>
      <c r="F607" s="3"/>
    </row>
    <row r="608" ht="12.75" customHeight="1">
      <c r="E608" s="3"/>
      <c r="F608" s="3"/>
    </row>
    <row r="609" ht="12.75" customHeight="1">
      <c r="E609" s="3"/>
      <c r="F609" s="3"/>
    </row>
    <row r="610" ht="12.75" customHeight="1">
      <c r="E610" s="3"/>
      <c r="F610" s="3"/>
    </row>
    <row r="611" ht="12.75" customHeight="1">
      <c r="E611" s="3"/>
      <c r="F611" s="3"/>
    </row>
    <row r="612" ht="12.75" customHeight="1">
      <c r="E612" s="3"/>
      <c r="F612" s="3"/>
    </row>
    <row r="613" ht="12.75" customHeight="1">
      <c r="E613" s="3"/>
      <c r="F613" s="3"/>
    </row>
    <row r="614" ht="12.75" customHeight="1">
      <c r="E614" s="3"/>
      <c r="F614" s="3"/>
    </row>
    <row r="615" ht="12.75" customHeight="1">
      <c r="E615" s="3"/>
      <c r="F615" s="3"/>
    </row>
    <row r="616" ht="12.75" customHeight="1">
      <c r="E616" s="3"/>
      <c r="F616" s="3"/>
    </row>
    <row r="617" ht="12.75" customHeight="1">
      <c r="E617" s="3"/>
      <c r="F617" s="3"/>
    </row>
    <row r="618" ht="12.75" customHeight="1">
      <c r="E618" s="3"/>
      <c r="F618" s="3"/>
    </row>
    <row r="619" ht="12.75" customHeight="1">
      <c r="E619" s="3"/>
      <c r="F619" s="3"/>
    </row>
    <row r="620" ht="12.75" customHeight="1">
      <c r="E620" s="3"/>
      <c r="F620" s="3"/>
    </row>
    <row r="621" ht="12.75" customHeight="1">
      <c r="E621" s="3"/>
      <c r="F621" s="3"/>
    </row>
    <row r="622" ht="12.75" customHeight="1">
      <c r="E622" s="3"/>
      <c r="F622" s="3"/>
    </row>
    <row r="623" ht="12.75" customHeight="1">
      <c r="E623" s="3"/>
      <c r="F623" s="3"/>
    </row>
    <row r="624" ht="12.75" customHeight="1">
      <c r="E624" s="3"/>
      <c r="F624" s="3"/>
    </row>
    <row r="625" ht="12.75" customHeight="1">
      <c r="E625" s="3"/>
      <c r="F625" s="3"/>
    </row>
    <row r="626" ht="12.75" customHeight="1">
      <c r="E626" s="3"/>
      <c r="F626" s="3"/>
    </row>
    <row r="627" ht="12.75" customHeight="1">
      <c r="E627" s="3"/>
      <c r="F627" s="3"/>
    </row>
    <row r="628" ht="12.75" customHeight="1">
      <c r="E628" s="3"/>
      <c r="F628" s="3"/>
    </row>
    <row r="629" ht="12.75" customHeight="1">
      <c r="E629" s="3"/>
      <c r="F629" s="3"/>
    </row>
    <row r="630" ht="12.75" customHeight="1">
      <c r="E630" s="3"/>
      <c r="F630" s="3"/>
    </row>
    <row r="631" ht="12.75" customHeight="1">
      <c r="E631" s="3"/>
      <c r="F631" s="3"/>
    </row>
    <row r="632" ht="12.75" customHeight="1">
      <c r="E632" s="3"/>
      <c r="F632" s="3"/>
    </row>
    <row r="633" ht="12.75" customHeight="1">
      <c r="E633" s="3"/>
      <c r="F633" s="3"/>
    </row>
    <row r="634" ht="12.75" customHeight="1">
      <c r="E634" s="3"/>
      <c r="F634" s="3"/>
    </row>
    <row r="635" ht="12.75" customHeight="1">
      <c r="E635" s="3"/>
      <c r="F635" s="3"/>
    </row>
    <row r="636" ht="12.75" customHeight="1">
      <c r="E636" s="3"/>
      <c r="F636" s="3"/>
    </row>
    <row r="637" ht="12.75" customHeight="1">
      <c r="E637" s="3"/>
      <c r="F637" s="3"/>
    </row>
    <row r="638" ht="12.75" customHeight="1">
      <c r="E638" s="3"/>
      <c r="F638" s="3"/>
    </row>
    <row r="639" ht="12.75" customHeight="1">
      <c r="E639" s="3"/>
      <c r="F639" s="3"/>
    </row>
    <row r="640" ht="12.75" customHeight="1">
      <c r="E640" s="3"/>
      <c r="F640" s="3"/>
    </row>
    <row r="641" ht="12.75" customHeight="1">
      <c r="E641" s="3"/>
      <c r="F641" s="3"/>
    </row>
    <row r="642" ht="12.75" customHeight="1">
      <c r="E642" s="3"/>
      <c r="F642" s="3"/>
    </row>
    <row r="643" ht="12.75" customHeight="1">
      <c r="E643" s="3"/>
      <c r="F643" s="3"/>
    </row>
    <row r="644" ht="12.75" customHeight="1">
      <c r="E644" s="3"/>
      <c r="F644" s="3"/>
    </row>
    <row r="645" ht="12.75" customHeight="1">
      <c r="E645" s="3"/>
      <c r="F645" s="3"/>
    </row>
    <row r="646" ht="12.75" customHeight="1">
      <c r="E646" s="3"/>
      <c r="F646" s="3"/>
    </row>
    <row r="647" ht="12.75" customHeight="1">
      <c r="E647" s="3"/>
      <c r="F647" s="3"/>
    </row>
    <row r="648" ht="12.75" customHeight="1">
      <c r="E648" s="3"/>
      <c r="F648" s="3"/>
    </row>
    <row r="649" ht="12.75" customHeight="1">
      <c r="E649" s="3"/>
      <c r="F649" s="3"/>
    </row>
    <row r="650" ht="12.75" customHeight="1">
      <c r="E650" s="3"/>
      <c r="F650" s="3"/>
    </row>
    <row r="651" ht="12.75" customHeight="1">
      <c r="E651" s="3"/>
      <c r="F651" s="3"/>
    </row>
    <row r="652" ht="12.75" customHeight="1">
      <c r="E652" s="3"/>
      <c r="F652" s="3"/>
    </row>
    <row r="653" ht="12.75" customHeight="1">
      <c r="E653" s="3"/>
      <c r="F653" s="3"/>
    </row>
    <row r="654" ht="12.75" customHeight="1">
      <c r="E654" s="3"/>
      <c r="F654" s="3"/>
    </row>
    <row r="655" ht="12.75" customHeight="1">
      <c r="E655" s="3"/>
      <c r="F655" s="3"/>
    </row>
    <row r="656" ht="12.75" customHeight="1">
      <c r="E656" s="3"/>
      <c r="F656" s="3"/>
    </row>
    <row r="657" ht="12.75" customHeight="1">
      <c r="E657" s="3"/>
      <c r="F657" s="3"/>
    </row>
    <row r="658" ht="12.75" customHeight="1">
      <c r="E658" s="3"/>
      <c r="F658" s="3"/>
    </row>
    <row r="659" ht="12.75" customHeight="1">
      <c r="E659" s="3"/>
      <c r="F659" s="3"/>
    </row>
    <row r="660" ht="12.75" customHeight="1">
      <c r="E660" s="3"/>
      <c r="F660" s="3"/>
    </row>
    <row r="661" ht="12.75" customHeight="1">
      <c r="E661" s="3"/>
      <c r="F661" s="3"/>
    </row>
    <row r="662" ht="12.75" customHeight="1">
      <c r="E662" s="3"/>
      <c r="F662" s="3"/>
    </row>
    <row r="663" ht="12.75" customHeight="1">
      <c r="E663" s="3"/>
      <c r="F663" s="3"/>
    </row>
    <row r="664" ht="12.75" customHeight="1">
      <c r="E664" s="3"/>
      <c r="F664" s="3"/>
    </row>
    <row r="665" ht="12.75" customHeight="1">
      <c r="E665" s="3"/>
      <c r="F665" s="3"/>
    </row>
    <row r="666" ht="12.75" customHeight="1">
      <c r="E666" s="3"/>
      <c r="F666" s="3"/>
    </row>
    <row r="667" ht="12.75" customHeight="1">
      <c r="E667" s="3"/>
      <c r="F667" s="3"/>
    </row>
    <row r="668" ht="12.75" customHeight="1">
      <c r="E668" s="3"/>
      <c r="F668" s="3"/>
    </row>
    <row r="669" ht="12.75" customHeight="1">
      <c r="E669" s="3"/>
      <c r="F669" s="3"/>
    </row>
    <row r="670" ht="12.75" customHeight="1">
      <c r="E670" s="3"/>
      <c r="F670" s="3"/>
    </row>
    <row r="671" ht="12.75" customHeight="1">
      <c r="E671" s="3"/>
      <c r="F671" s="3"/>
    </row>
    <row r="672" ht="12.75" customHeight="1">
      <c r="E672" s="3"/>
      <c r="F672" s="3"/>
    </row>
    <row r="673" ht="12.75" customHeight="1">
      <c r="E673" s="3"/>
      <c r="F673" s="3"/>
    </row>
    <row r="674" ht="12.75" customHeight="1">
      <c r="E674" s="3"/>
      <c r="F674" s="3"/>
    </row>
    <row r="675" ht="12.75" customHeight="1">
      <c r="E675" s="3"/>
      <c r="F675" s="3"/>
    </row>
    <row r="676" ht="12.75" customHeight="1">
      <c r="E676" s="3"/>
      <c r="F676" s="3"/>
    </row>
    <row r="677" ht="12.75" customHeight="1">
      <c r="E677" s="3"/>
      <c r="F677" s="3"/>
    </row>
    <row r="678" ht="12.75" customHeight="1">
      <c r="E678" s="3"/>
      <c r="F678" s="3"/>
    </row>
    <row r="679" ht="12.75" customHeight="1">
      <c r="E679" s="3"/>
      <c r="F679" s="3"/>
    </row>
    <row r="680" ht="12.75" customHeight="1">
      <c r="E680" s="3"/>
      <c r="F680" s="3"/>
    </row>
    <row r="681" ht="12.75" customHeight="1">
      <c r="E681" s="3"/>
      <c r="F681" s="3"/>
    </row>
    <row r="682" ht="12.75" customHeight="1">
      <c r="E682" s="3"/>
      <c r="F682" s="3"/>
    </row>
    <row r="683" ht="12.75" customHeight="1">
      <c r="E683" s="3"/>
      <c r="F683" s="3"/>
    </row>
    <row r="684" ht="12.75" customHeight="1">
      <c r="E684" s="3"/>
      <c r="F684" s="3"/>
    </row>
    <row r="685" ht="12.75" customHeight="1">
      <c r="E685" s="3"/>
      <c r="F685" s="3"/>
    </row>
    <row r="686" ht="12.75" customHeight="1">
      <c r="E686" s="3"/>
      <c r="F686" s="3"/>
    </row>
    <row r="687" ht="12.75" customHeight="1">
      <c r="E687" s="3"/>
      <c r="F687" s="3"/>
    </row>
    <row r="688" ht="12.75" customHeight="1">
      <c r="E688" s="3"/>
      <c r="F688" s="3"/>
    </row>
    <row r="689" ht="12.75" customHeight="1">
      <c r="E689" s="3"/>
      <c r="F689" s="3"/>
    </row>
    <row r="690" ht="12.75" customHeight="1">
      <c r="E690" s="3"/>
      <c r="F690" s="3"/>
    </row>
    <row r="691" ht="12.75" customHeight="1">
      <c r="E691" s="3"/>
      <c r="F691" s="3"/>
    </row>
    <row r="692" ht="12.75" customHeight="1">
      <c r="E692" s="3"/>
      <c r="F692" s="3"/>
    </row>
    <row r="693" ht="12.75" customHeight="1">
      <c r="E693" s="3"/>
      <c r="F693" s="3"/>
    </row>
    <row r="694" ht="12.75" customHeight="1">
      <c r="E694" s="3"/>
      <c r="F694" s="3"/>
    </row>
    <row r="695" ht="12.75" customHeight="1">
      <c r="E695" s="3"/>
      <c r="F695" s="3"/>
    </row>
    <row r="696" ht="12.75" customHeight="1">
      <c r="E696" s="3"/>
      <c r="F696" s="3"/>
    </row>
    <row r="697" ht="12.75" customHeight="1">
      <c r="E697" s="3"/>
      <c r="F697" s="3"/>
    </row>
    <row r="698" ht="12.75" customHeight="1">
      <c r="E698" s="3"/>
      <c r="F698" s="3"/>
    </row>
    <row r="699" ht="12.75" customHeight="1">
      <c r="E699" s="3"/>
      <c r="F699" s="3"/>
    </row>
    <row r="700" ht="12.75" customHeight="1">
      <c r="E700" s="3"/>
      <c r="F700" s="3"/>
    </row>
    <row r="701" ht="12.75" customHeight="1">
      <c r="E701" s="3"/>
      <c r="F701" s="3"/>
    </row>
    <row r="702" ht="12.75" customHeight="1">
      <c r="E702" s="3"/>
      <c r="F702" s="3"/>
    </row>
    <row r="703" ht="12.75" customHeight="1">
      <c r="E703" s="3"/>
      <c r="F703" s="3"/>
    </row>
    <row r="704" ht="12.75" customHeight="1">
      <c r="E704" s="3"/>
      <c r="F704" s="3"/>
    </row>
    <row r="705" ht="12.75" customHeight="1">
      <c r="E705" s="3"/>
      <c r="F705" s="3"/>
    </row>
    <row r="706" ht="12.75" customHeight="1">
      <c r="E706" s="3"/>
      <c r="F706" s="3"/>
    </row>
    <row r="707" ht="12.75" customHeight="1">
      <c r="E707" s="3"/>
      <c r="F707" s="3"/>
    </row>
    <row r="708" ht="12.75" customHeight="1">
      <c r="E708" s="3"/>
      <c r="F708" s="3"/>
    </row>
    <row r="709" ht="12.75" customHeight="1">
      <c r="E709" s="3"/>
      <c r="F709" s="3"/>
    </row>
    <row r="710" ht="12.75" customHeight="1">
      <c r="E710" s="3"/>
      <c r="F710" s="3"/>
    </row>
    <row r="711" ht="12.75" customHeight="1">
      <c r="E711" s="3"/>
      <c r="F711" s="3"/>
    </row>
    <row r="712" ht="12.75" customHeight="1">
      <c r="E712" s="3"/>
      <c r="F712" s="3"/>
    </row>
    <row r="713" ht="12.75" customHeight="1">
      <c r="E713" s="3"/>
      <c r="F713" s="3"/>
    </row>
    <row r="714" ht="12.75" customHeight="1">
      <c r="E714" s="3"/>
      <c r="F714" s="3"/>
    </row>
    <row r="715" ht="12.75" customHeight="1">
      <c r="E715" s="3"/>
      <c r="F715" s="3"/>
    </row>
    <row r="716" ht="12.75" customHeight="1">
      <c r="E716" s="3"/>
      <c r="F716" s="3"/>
    </row>
    <row r="717" ht="12.75" customHeight="1">
      <c r="E717" s="3"/>
      <c r="F717" s="3"/>
    </row>
    <row r="718" ht="12.75" customHeight="1">
      <c r="E718" s="3"/>
      <c r="F718" s="3"/>
    </row>
    <row r="719" ht="12.75" customHeight="1">
      <c r="E719" s="3"/>
      <c r="F719" s="3"/>
    </row>
    <row r="720" ht="12.75" customHeight="1">
      <c r="E720" s="3"/>
      <c r="F720" s="3"/>
    </row>
    <row r="721" ht="12.75" customHeight="1">
      <c r="E721" s="3"/>
      <c r="F721" s="3"/>
    </row>
    <row r="722" ht="12.75" customHeight="1">
      <c r="E722" s="3"/>
      <c r="F722" s="3"/>
    </row>
    <row r="723" ht="12.75" customHeight="1">
      <c r="E723" s="3"/>
      <c r="F723" s="3"/>
    </row>
    <row r="724" ht="12.75" customHeight="1">
      <c r="E724" s="3"/>
      <c r="F724" s="3"/>
    </row>
    <row r="725" ht="12.75" customHeight="1">
      <c r="E725" s="3"/>
      <c r="F725" s="3"/>
    </row>
    <row r="726" ht="12.75" customHeight="1">
      <c r="E726" s="3"/>
      <c r="F726" s="3"/>
    </row>
    <row r="727" ht="12.75" customHeight="1">
      <c r="E727" s="3"/>
      <c r="F727" s="3"/>
    </row>
    <row r="728" ht="12.75" customHeight="1">
      <c r="E728" s="3"/>
      <c r="F728" s="3"/>
    </row>
    <row r="729" ht="12.75" customHeight="1">
      <c r="E729" s="3"/>
      <c r="F729" s="3"/>
    </row>
    <row r="730" ht="12.75" customHeight="1">
      <c r="E730" s="3"/>
      <c r="F730" s="3"/>
    </row>
    <row r="731" ht="12.75" customHeight="1">
      <c r="E731" s="3"/>
      <c r="F731" s="3"/>
    </row>
    <row r="732" ht="12.75" customHeight="1">
      <c r="E732" s="3"/>
      <c r="F732" s="3"/>
    </row>
    <row r="733" ht="12.75" customHeight="1">
      <c r="E733" s="3"/>
      <c r="F733" s="3"/>
    </row>
    <row r="734" ht="12.75" customHeight="1">
      <c r="E734" s="3"/>
      <c r="F734" s="3"/>
    </row>
    <row r="735" ht="12.75" customHeight="1">
      <c r="E735" s="3"/>
      <c r="F735" s="3"/>
    </row>
    <row r="736" ht="12.75" customHeight="1">
      <c r="E736" s="3"/>
      <c r="F736" s="3"/>
    </row>
    <row r="737" ht="12.75" customHeight="1">
      <c r="E737" s="3"/>
      <c r="F737" s="3"/>
    </row>
    <row r="738" ht="12.75" customHeight="1">
      <c r="E738" s="3"/>
      <c r="F738" s="3"/>
    </row>
    <row r="739" ht="12.75" customHeight="1">
      <c r="E739" s="3"/>
      <c r="F739" s="3"/>
    </row>
    <row r="740" ht="12.75" customHeight="1">
      <c r="E740" s="3"/>
      <c r="F740" s="3"/>
    </row>
    <row r="741" ht="12.75" customHeight="1">
      <c r="E741" s="3"/>
      <c r="F741" s="3"/>
    </row>
    <row r="742" ht="12.75" customHeight="1">
      <c r="E742" s="3"/>
      <c r="F742" s="3"/>
    </row>
    <row r="743" ht="12.75" customHeight="1">
      <c r="E743" s="3"/>
      <c r="F743" s="3"/>
    </row>
    <row r="744" ht="12.75" customHeight="1">
      <c r="E744" s="3"/>
      <c r="F744" s="3"/>
    </row>
    <row r="745" ht="12.75" customHeight="1">
      <c r="E745" s="3"/>
      <c r="F745" s="3"/>
    </row>
    <row r="746" ht="12.75" customHeight="1">
      <c r="E746" s="3"/>
      <c r="F746" s="3"/>
    </row>
    <row r="747" ht="12.75" customHeight="1">
      <c r="E747" s="3"/>
      <c r="F747" s="3"/>
    </row>
    <row r="748" ht="12.75" customHeight="1">
      <c r="E748" s="3"/>
      <c r="F748" s="3"/>
    </row>
    <row r="749" ht="12.75" customHeight="1">
      <c r="E749" s="3"/>
      <c r="F749" s="3"/>
    </row>
    <row r="750" ht="12.75" customHeight="1">
      <c r="E750" s="3"/>
      <c r="F750" s="3"/>
    </row>
    <row r="751" ht="12.75" customHeight="1">
      <c r="E751" s="3"/>
      <c r="F751" s="3"/>
    </row>
    <row r="752" ht="12.75" customHeight="1">
      <c r="E752" s="3"/>
      <c r="F752" s="3"/>
    </row>
    <row r="753" ht="12.75" customHeight="1">
      <c r="E753" s="3"/>
      <c r="F753" s="3"/>
    </row>
    <row r="754" ht="12.75" customHeight="1">
      <c r="E754" s="3"/>
      <c r="F754" s="3"/>
    </row>
    <row r="755" ht="12.75" customHeight="1">
      <c r="E755" s="3"/>
      <c r="F755" s="3"/>
    </row>
    <row r="756" ht="12.75" customHeight="1">
      <c r="E756" s="3"/>
      <c r="F756" s="3"/>
    </row>
    <row r="757" ht="12.75" customHeight="1">
      <c r="E757" s="3"/>
      <c r="F757" s="3"/>
    </row>
    <row r="758" ht="12.75" customHeight="1">
      <c r="E758" s="3"/>
      <c r="F758" s="3"/>
    </row>
    <row r="759" ht="12.75" customHeight="1">
      <c r="E759" s="3"/>
      <c r="F759" s="3"/>
    </row>
    <row r="760" ht="12.75" customHeight="1">
      <c r="E760" s="3"/>
      <c r="F760" s="3"/>
    </row>
    <row r="761" ht="12.75" customHeight="1">
      <c r="E761" s="3"/>
      <c r="F761" s="3"/>
    </row>
    <row r="762" ht="12.75" customHeight="1">
      <c r="E762" s="3"/>
      <c r="F762" s="3"/>
    </row>
    <row r="763" ht="12.75" customHeight="1">
      <c r="E763" s="3"/>
      <c r="F763" s="3"/>
    </row>
    <row r="764" ht="12.75" customHeight="1">
      <c r="E764" s="3"/>
      <c r="F764" s="3"/>
    </row>
    <row r="765" ht="12.75" customHeight="1">
      <c r="E765" s="3"/>
      <c r="F765" s="3"/>
    </row>
    <row r="766" ht="12.75" customHeight="1">
      <c r="E766" s="3"/>
      <c r="F766" s="3"/>
    </row>
    <row r="767" ht="12.75" customHeight="1">
      <c r="E767" s="3"/>
      <c r="F767" s="3"/>
    </row>
    <row r="768" ht="12.75" customHeight="1">
      <c r="E768" s="3"/>
      <c r="F768" s="3"/>
    </row>
    <row r="769" ht="12.75" customHeight="1">
      <c r="E769" s="3"/>
      <c r="F769" s="3"/>
    </row>
    <row r="770" ht="12.75" customHeight="1">
      <c r="E770" s="3"/>
      <c r="F770" s="3"/>
    </row>
    <row r="771" ht="12.75" customHeight="1">
      <c r="E771" s="3"/>
      <c r="F771" s="3"/>
    </row>
    <row r="772" ht="12.75" customHeight="1">
      <c r="E772" s="3"/>
      <c r="F772" s="3"/>
    </row>
    <row r="773" ht="12.75" customHeight="1">
      <c r="E773" s="3"/>
      <c r="F773" s="3"/>
    </row>
    <row r="774" ht="12.75" customHeight="1">
      <c r="E774" s="3"/>
      <c r="F774" s="3"/>
    </row>
    <row r="775" ht="12.75" customHeight="1">
      <c r="E775" s="3"/>
      <c r="F775" s="3"/>
    </row>
    <row r="776" ht="12.75" customHeight="1">
      <c r="E776" s="3"/>
      <c r="F776" s="3"/>
    </row>
    <row r="777" ht="12.75" customHeight="1">
      <c r="E777" s="3"/>
      <c r="F777" s="3"/>
    </row>
    <row r="778" ht="12.75" customHeight="1">
      <c r="E778" s="3"/>
      <c r="F778" s="3"/>
    </row>
    <row r="779" ht="12.75" customHeight="1">
      <c r="E779" s="3"/>
      <c r="F779" s="3"/>
    </row>
    <row r="780" ht="12.75" customHeight="1">
      <c r="E780" s="3"/>
      <c r="F780" s="3"/>
    </row>
    <row r="781" ht="12.75" customHeight="1">
      <c r="E781" s="3"/>
      <c r="F781" s="3"/>
    </row>
    <row r="782" ht="12.75" customHeight="1">
      <c r="E782" s="3"/>
      <c r="F782" s="3"/>
    </row>
    <row r="783" ht="12.75" customHeight="1">
      <c r="E783" s="3"/>
      <c r="F783" s="3"/>
    </row>
    <row r="784" ht="12.75" customHeight="1">
      <c r="E784" s="3"/>
      <c r="F784" s="3"/>
    </row>
    <row r="785" ht="12.75" customHeight="1">
      <c r="E785" s="3"/>
      <c r="F785" s="3"/>
    </row>
    <row r="786" ht="12.75" customHeight="1">
      <c r="E786" s="3"/>
      <c r="F786" s="3"/>
    </row>
    <row r="787" ht="12.75" customHeight="1">
      <c r="E787" s="3"/>
      <c r="F787" s="3"/>
    </row>
    <row r="788" ht="12.75" customHeight="1">
      <c r="E788" s="3"/>
      <c r="F788" s="3"/>
    </row>
    <row r="789" ht="12.75" customHeight="1">
      <c r="E789" s="3"/>
      <c r="F789" s="3"/>
    </row>
    <row r="790" ht="12.75" customHeight="1">
      <c r="E790" s="3"/>
      <c r="F790" s="3"/>
    </row>
    <row r="791" ht="12.75" customHeight="1">
      <c r="E791" s="3"/>
      <c r="F791" s="3"/>
    </row>
    <row r="792" ht="12.75" customHeight="1">
      <c r="E792" s="3"/>
      <c r="F792" s="3"/>
    </row>
    <row r="793" ht="12.75" customHeight="1">
      <c r="E793" s="3"/>
      <c r="F793" s="3"/>
    </row>
    <row r="794" ht="12.75" customHeight="1">
      <c r="E794" s="3"/>
      <c r="F794" s="3"/>
    </row>
    <row r="795" ht="12.75" customHeight="1">
      <c r="E795" s="3"/>
      <c r="F795" s="3"/>
    </row>
    <row r="796" ht="12.75" customHeight="1">
      <c r="E796" s="3"/>
      <c r="F796" s="3"/>
    </row>
    <row r="797" ht="12.75" customHeight="1">
      <c r="E797" s="3"/>
      <c r="F797" s="3"/>
    </row>
    <row r="798" ht="12.75" customHeight="1">
      <c r="E798" s="3"/>
      <c r="F798" s="3"/>
    </row>
    <row r="799" ht="12.75" customHeight="1">
      <c r="E799" s="3"/>
      <c r="F799" s="3"/>
    </row>
    <row r="800" ht="12.75" customHeight="1">
      <c r="E800" s="3"/>
      <c r="F800" s="3"/>
    </row>
    <row r="801" ht="12.75" customHeight="1">
      <c r="E801" s="3"/>
      <c r="F801" s="3"/>
    </row>
    <row r="802" ht="12.75" customHeight="1">
      <c r="E802" s="3"/>
      <c r="F802" s="3"/>
    </row>
    <row r="803" ht="12.75" customHeight="1">
      <c r="E803" s="3"/>
      <c r="F803" s="3"/>
    </row>
    <row r="804" ht="12.75" customHeight="1">
      <c r="E804" s="3"/>
      <c r="F804" s="3"/>
    </row>
    <row r="805" ht="12.75" customHeight="1">
      <c r="E805" s="3"/>
      <c r="F805" s="3"/>
    </row>
    <row r="806" ht="12.75" customHeight="1">
      <c r="E806" s="3"/>
      <c r="F806" s="3"/>
    </row>
    <row r="807" ht="12.75" customHeight="1">
      <c r="E807" s="3"/>
      <c r="F807" s="3"/>
    </row>
    <row r="808" ht="12.75" customHeight="1">
      <c r="E808" s="3"/>
      <c r="F808" s="3"/>
    </row>
    <row r="809" ht="12.75" customHeight="1">
      <c r="E809" s="3"/>
      <c r="F809" s="3"/>
    </row>
    <row r="810" ht="12.75" customHeight="1">
      <c r="E810" s="3"/>
      <c r="F810" s="3"/>
    </row>
    <row r="811" ht="12.75" customHeight="1">
      <c r="E811" s="3"/>
      <c r="F811" s="3"/>
    </row>
    <row r="812" ht="12.75" customHeight="1">
      <c r="E812" s="3"/>
      <c r="F812" s="3"/>
    </row>
    <row r="813" ht="12.75" customHeight="1">
      <c r="E813" s="3"/>
      <c r="F813" s="3"/>
    </row>
    <row r="814" ht="12.75" customHeight="1">
      <c r="E814" s="3"/>
      <c r="F814" s="3"/>
    </row>
    <row r="815" ht="12.75" customHeight="1">
      <c r="E815" s="3"/>
      <c r="F815" s="3"/>
    </row>
    <row r="816" ht="12.75" customHeight="1">
      <c r="E816" s="3"/>
      <c r="F816" s="3"/>
    </row>
    <row r="817" ht="12.75" customHeight="1">
      <c r="E817" s="3"/>
      <c r="F817" s="3"/>
    </row>
    <row r="818" ht="12.75" customHeight="1">
      <c r="E818" s="3"/>
      <c r="F818" s="3"/>
    </row>
    <row r="819" ht="12.75" customHeight="1">
      <c r="E819" s="3"/>
      <c r="F819" s="3"/>
    </row>
    <row r="820" ht="12.75" customHeight="1">
      <c r="E820" s="3"/>
      <c r="F820" s="3"/>
    </row>
    <row r="821" ht="12.75" customHeight="1">
      <c r="E821" s="3"/>
      <c r="F821" s="3"/>
    </row>
    <row r="822" ht="12.75" customHeight="1">
      <c r="E822" s="3"/>
      <c r="F822" s="3"/>
    </row>
    <row r="823" ht="12.75" customHeight="1">
      <c r="E823" s="3"/>
      <c r="F823" s="3"/>
    </row>
    <row r="824" ht="12.75" customHeight="1">
      <c r="E824" s="3"/>
      <c r="F824" s="3"/>
    </row>
    <row r="825" ht="12.75" customHeight="1">
      <c r="E825" s="3"/>
      <c r="F825" s="3"/>
    </row>
    <row r="826" ht="12.75" customHeight="1">
      <c r="E826" s="3"/>
      <c r="F826" s="3"/>
    </row>
    <row r="827" ht="12.75" customHeight="1">
      <c r="E827" s="3"/>
      <c r="F827" s="3"/>
    </row>
    <row r="828" ht="12.75" customHeight="1">
      <c r="E828" s="3"/>
      <c r="F828" s="3"/>
    </row>
    <row r="829" ht="12.75" customHeight="1">
      <c r="E829" s="3"/>
      <c r="F829" s="3"/>
    </row>
    <row r="830" ht="12.75" customHeight="1">
      <c r="E830" s="3"/>
      <c r="F830" s="3"/>
    </row>
    <row r="831" ht="12.75" customHeight="1">
      <c r="E831" s="3"/>
      <c r="F831" s="3"/>
    </row>
    <row r="832" ht="12.75" customHeight="1">
      <c r="E832" s="3"/>
      <c r="F832" s="3"/>
    </row>
    <row r="833" ht="12.75" customHeight="1">
      <c r="E833" s="3"/>
      <c r="F833" s="3"/>
    </row>
    <row r="834" ht="12.75" customHeight="1">
      <c r="E834" s="3"/>
      <c r="F834" s="3"/>
    </row>
    <row r="835" ht="12.75" customHeight="1">
      <c r="E835" s="3"/>
      <c r="F835" s="3"/>
    </row>
    <row r="836" ht="12.75" customHeight="1">
      <c r="E836" s="3"/>
      <c r="F836" s="3"/>
    </row>
    <row r="837" ht="12.75" customHeight="1">
      <c r="E837" s="3"/>
      <c r="F837" s="3"/>
    </row>
    <row r="838" ht="12.75" customHeight="1">
      <c r="E838" s="3"/>
      <c r="F838" s="3"/>
    </row>
    <row r="839" ht="12.75" customHeight="1">
      <c r="E839" s="3"/>
      <c r="F839" s="3"/>
    </row>
    <row r="840" ht="12.75" customHeight="1">
      <c r="E840" s="3"/>
      <c r="F840" s="3"/>
    </row>
    <row r="841" ht="12.75" customHeight="1">
      <c r="E841" s="3"/>
      <c r="F841" s="3"/>
    </row>
    <row r="842" ht="12.75" customHeight="1">
      <c r="E842" s="3"/>
      <c r="F842" s="3"/>
    </row>
    <row r="843" ht="12.75" customHeight="1">
      <c r="E843" s="3"/>
      <c r="F843" s="3"/>
    </row>
    <row r="844" ht="12.75" customHeight="1">
      <c r="E844" s="3"/>
      <c r="F844" s="3"/>
    </row>
    <row r="845" ht="12.75" customHeight="1">
      <c r="E845" s="3"/>
      <c r="F845" s="3"/>
    </row>
    <row r="846" ht="12.75" customHeight="1">
      <c r="E846" s="3"/>
      <c r="F846" s="3"/>
    </row>
    <row r="847" ht="12.75" customHeight="1">
      <c r="E847" s="3"/>
      <c r="F847" s="3"/>
    </row>
    <row r="848" ht="12.75" customHeight="1">
      <c r="E848" s="3"/>
      <c r="F848" s="3"/>
    </row>
    <row r="849" ht="12.75" customHeight="1">
      <c r="E849" s="3"/>
      <c r="F849" s="3"/>
    </row>
    <row r="850" ht="12.75" customHeight="1">
      <c r="E850" s="3"/>
      <c r="F850" s="3"/>
    </row>
    <row r="851" ht="12.75" customHeight="1">
      <c r="E851" s="3"/>
      <c r="F851" s="3"/>
    </row>
    <row r="852" ht="12.75" customHeight="1">
      <c r="E852" s="3"/>
      <c r="F852" s="3"/>
    </row>
    <row r="853" ht="12.75" customHeight="1">
      <c r="E853" s="3"/>
      <c r="F853" s="3"/>
    </row>
    <row r="854" ht="12.75" customHeight="1">
      <c r="E854" s="3"/>
      <c r="F854" s="3"/>
    </row>
    <row r="855" ht="12.75" customHeight="1">
      <c r="E855" s="3"/>
      <c r="F855" s="3"/>
    </row>
    <row r="856" ht="12.75" customHeight="1">
      <c r="E856" s="3"/>
      <c r="F856" s="3"/>
    </row>
    <row r="857" ht="12.75" customHeight="1">
      <c r="E857" s="3"/>
      <c r="F857" s="3"/>
    </row>
    <row r="858" ht="12.75" customHeight="1">
      <c r="E858" s="3"/>
      <c r="F858" s="3"/>
    </row>
    <row r="859" ht="12.75" customHeight="1">
      <c r="E859" s="3"/>
      <c r="F859" s="3"/>
    </row>
    <row r="860" ht="12.75" customHeight="1">
      <c r="E860" s="3"/>
      <c r="F860" s="3"/>
    </row>
    <row r="861" ht="12.75" customHeight="1">
      <c r="E861" s="3"/>
      <c r="F861" s="3"/>
    </row>
    <row r="862" ht="12.75" customHeight="1">
      <c r="E862" s="3"/>
      <c r="F862" s="3"/>
    </row>
    <row r="863" ht="12.75" customHeight="1">
      <c r="E863" s="3"/>
      <c r="F863" s="3"/>
    </row>
    <row r="864" ht="12.75" customHeight="1">
      <c r="E864" s="3"/>
      <c r="F864" s="3"/>
    </row>
    <row r="865" ht="12.75" customHeight="1">
      <c r="E865" s="3"/>
      <c r="F865" s="3"/>
    </row>
    <row r="866" ht="12.75" customHeight="1">
      <c r="E866" s="3"/>
      <c r="F866" s="3"/>
    </row>
    <row r="867" ht="12.75" customHeight="1">
      <c r="E867" s="3"/>
      <c r="F867" s="3"/>
    </row>
    <row r="868" ht="12.75" customHeight="1">
      <c r="E868" s="3"/>
      <c r="F868" s="3"/>
    </row>
    <row r="869" ht="12.75" customHeight="1">
      <c r="E869" s="3"/>
      <c r="F869" s="3"/>
    </row>
    <row r="870" ht="12.75" customHeight="1">
      <c r="E870" s="3"/>
      <c r="F870" s="3"/>
    </row>
    <row r="871" ht="12.75" customHeight="1">
      <c r="E871" s="3"/>
      <c r="F871" s="3"/>
    </row>
    <row r="872" ht="12.75" customHeight="1">
      <c r="E872" s="3"/>
      <c r="F872" s="3"/>
    </row>
    <row r="873" ht="12.75" customHeight="1">
      <c r="E873" s="3"/>
      <c r="F873" s="3"/>
    </row>
    <row r="874" ht="12.75" customHeight="1">
      <c r="E874" s="3"/>
      <c r="F874" s="3"/>
    </row>
    <row r="875" ht="12.75" customHeight="1">
      <c r="E875" s="3"/>
      <c r="F875" s="3"/>
    </row>
    <row r="876" ht="12.75" customHeight="1">
      <c r="E876" s="3"/>
      <c r="F876" s="3"/>
    </row>
    <row r="877" ht="12.75" customHeight="1">
      <c r="E877" s="3"/>
      <c r="F877" s="3"/>
    </row>
    <row r="878" ht="12.75" customHeight="1">
      <c r="E878" s="3"/>
      <c r="F878" s="3"/>
    </row>
    <row r="879" ht="12.75" customHeight="1">
      <c r="E879" s="3"/>
      <c r="F879" s="3"/>
    </row>
    <row r="880" ht="12.75" customHeight="1">
      <c r="E880" s="3"/>
      <c r="F880" s="3"/>
    </row>
    <row r="881" ht="12.75" customHeight="1">
      <c r="E881" s="3"/>
      <c r="F881" s="3"/>
    </row>
    <row r="882" ht="12.75" customHeight="1">
      <c r="E882" s="3"/>
      <c r="F882" s="3"/>
    </row>
    <row r="883" ht="12.75" customHeight="1">
      <c r="E883" s="3"/>
      <c r="F883" s="3"/>
    </row>
    <row r="884" ht="12.75" customHeight="1">
      <c r="E884" s="3"/>
      <c r="F884" s="3"/>
    </row>
    <row r="885" ht="12.75" customHeight="1">
      <c r="E885" s="3"/>
      <c r="F885" s="3"/>
    </row>
    <row r="886" ht="12.75" customHeight="1">
      <c r="E886" s="3"/>
      <c r="F886" s="3"/>
    </row>
    <row r="887" ht="12.75" customHeight="1">
      <c r="E887" s="3"/>
      <c r="F887" s="3"/>
    </row>
    <row r="888" ht="12.75" customHeight="1">
      <c r="E888" s="3"/>
      <c r="F888" s="3"/>
    </row>
    <row r="889" ht="12.75" customHeight="1">
      <c r="E889" s="3"/>
      <c r="F889" s="3"/>
    </row>
    <row r="890" ht="12.75" customHeight="1">
      <c r="E890" s="3"/>
      <c r="F890" s="3"/>
    </row>
    <row r="891" ht="12.75" customHeight="1">
      <c r="E891" s="3"/>
      <c r="F891" s="3"/>
    </row>
    <row r="892" ht="12.75" customHeight="1">
      <c r="E892" s="3"/>
      <c r="F892" s="3"/>
    </row>
    <row r="893" ht="12.75" customHeight="1">
      <c r="E893" s="3"/>
      <c r="F893" s="3"/>
    </row>
    <row r="894" ht="12.75" customHeight="1">
      <c r="E894" s="3"/>
      <c r="F894" s="3"/>
    </row>
    <row r="895" ht="12.75" customHeight="1">
      <c r="E895" s="3"/>
      <c r="F895" s="3"/>
    </row>
    <row r="896" ht="12.75" customHeight="1">
      <c r="E896" s="3"/>
      <c r="F896" s="3"/>
    </row>
    <row r="897" ht="12.75" customHeight="1">
      <c r="E897" s="3"/>
      <c r="F897" s="3"/>
    </row>
    <row r="898" ht="12.75" customHeight="1">
      <c r="E898" s="3"/>
      <c r="F898" s="3"/>
    </row>
    <row r="899" ht="12.75" customHeight="1">
      <c r="E899" s="3"/>
      <c r="F899" s="3"/>
    </row>
    <row r="900" ht="12.75" customHeight="1">
      <c r="E900" s="3"/>
      <c r="F900" s="3"/>
    </row>
    <row r="901" ht="12.75" customHeight="1">
      <c r="E901" s="3"/>
      <c r="F901" s="3"/>
    </row>
    <row r="902" ht="12.75" customHeight="1">
      <c r="E902" s="3"/>
      <c r="F902" s="3"/>
    </row>
    <row r="903" ht="12.75" customHeight="1">
      <c r="E903" s="3"/>
      <c r="F903" s="3"/>
    </row>
    <row r="904" ht="12.75" customHeight="1">
      <c r="E904" s="3"/>
      <c r="F904" s="3"/>
    </row>
    <row r="905" ht="12.75" customHeight="1">
      <c r="E905" s="3"/>
      <c r="F905" s="3"/>
    </row>
    <row r="906" ht="12.75" customHeight="1">
      <c r="E906" s="3"/>
      <c r="F906" s="3"/>
    </row>
    <row r="907" ht="12.75" customHeight="1">
      <c r="E907" s="3"/>
      <c r="F907" s="3"/>
    </row>
    <row r="908" ht="12.75" customHeight="1">
      <c r="E908" s="3"/>
      <c r="F908" s="3"/>
    </row>
    <row r="909" ht="12.75" customHeight="1">
      <c r="E909" s="3"/>
      <c r="F909" s="3"/>
    </row>
    <row r="910" ht="12.75" customHeight="1">
      <c r="E910" s="3"/>
      <c r="F910" s="3"/>
    </row>
    <row r="911" ht="12.75" customHeight="1">
      <c r="E911" s="3"/>
      <c r="F911" s="3"/>
    </row>
    <row r="912" ht="12.75" customHeight="1">
      <c r="E912" s="3"/>
      <c r="F912" s="3"/>
    </row>
    <row r="913" ht="12.75" customHeight="1">
      <c r="E913" s="3"/>
      <c r="F913" s="3"/>
    </row>
    <row r="914" ht="12.75" customHeight="1">
      <c r="E914" s="3"/>
      <c r="F914" s="3"/>
    </row>
    <row r="915" ht="12.75" customHeight="1">
      <c r="E915" s="3"/>
      <c r="F915" s="3"/>
    </row>
    <row r="916" ht="12.75" customHeight="1">
      <c r="E916" s="3"/>
      <c r="F916" s="3"/>
    </row>
    <row r="917" ht="12.75" customHeight="1">
      <c r="E917" s="3"/>
      <c r="F917" s="3"/>
    </row>
    <row r="918" ht="12.75" customHeight="1">
      <c r="E918" s="3"/>
      <c r="F918" s="3"/>
    </row>
    <row r="919" ht="12.75" customHeight="1">
      <c r="E919" s="3"/>
      <c r="F919" s="3"/>
    </row>
    <row r="920" ht="12.75" customHeight="1">
      <c r="E920" s="3"/>
      <c r="F920" s="3"/>
    </row>
    <row r="921" ht="12.75" customHeight="1">
      <c r="E921" s="3"/>
      <c r="F921" s="3"/>
    </row>
    <row r="922" ht="12.75" customHeight="1">
      <c r="E922" s="3"/>
      <c r="F922" s="3"/>
    </row>
    <row r="923" ht="12.75" customHeight="1">
      <c r="E923" s="3"/>
      <c r="F923" s="3"/>
    </row>
    <row r="924" ht="12.75" customHeight="1">
      <c r="E924" s="3"/>
      <c r="F924" s="3"/>
    </row>
    <row r="925" ht="12.75" customHeight="1">
      <c r="E925" s="3"/>
      <c r="F925" s="3"/>
    </row>
    <row r="926" ht="12.75" customHeight="1">
      <c r="E926" s="3"/>
      <c r="F926" s="3"/>
    </row>
    <row r="927" ht="12.75" customHeight="1">
      <c r="E927" s="3"/>
      <c r="F927" s="3"/>
    </row>
    <row r="928" ht="12.75" customHeight="1">
      <c r="E928" s="3"/>
      <c r="F928" s="3"/>
    </row>
    <row r="929" ht="12.75" customHeight="1">
      <c r="E929" s="3"/>
      <c r="F929" s="3"/>
    </row>
    <row r="930" ht="12.75" customHeight="1">
      <c r="E930" s="3"/>
      <c r="F930" s="3"/>
    </row>
    <row r="931" ht="12.75" customHeight="1">
      <c r="E931" s="3"/>
      <c r="F931" s="3"/>
    </row>
    <row r="932" ht="12.75" customHeight="1">
      <c r="E932" s="3"/>
      <c r="F932" s="3"/>
    </row>
    <row r="933" ht="12.75" customHeight="1">
      <c r="E933" s="3"/>
      <c r="F933" s="3"/>
    </row>
    <row r="934" ht="12.75" customHeight="1">
      <c r="E934" s="3"/>
      <c r="F934" s="3"/>
    </row>
    <row r="935" ht="12.75" customHeight="1">
      <c r="E935" s="3"/>
      <c r="F935" s="3"/>
    </row>
    <row r="936" ht="12.75" customHeight="1">
      <c r="E936" s="3"/>
      <c r="F936" s="3"/>
    </row>
    <row r="937" ht="12.75" customHeight="1">
      <c r="E937" s="3"/>
      <c r="F937" s="3"/>
    </row>
    <row r="938" ht="12.75" customHeight="1">
      <c r="E938" s="3"/>
      <c r="F938" s="3"/>
    </row>
    <row r="939" ht="12.75" customHeight="1">
      <c r="E939" s="3"/>
      <c r="F939" s="3"/>
    </row>
    <row r="940" ht="12.75" customHeight="1">
      <c r="E940" s="3"/>
      <c r="F940" s="3"/>
    </row>
    <row r="941" ht="12.75" customHeight="1">
      <c r="E941" s="3"/>
      <c r="F941" s="3"/>
    </row>
    <row r="942" ht="12.75" customHeight="1">
      <c r="E942" s="3"/>
      <c r="F942" s="3"/>
    </row>
    <row r="943" ht="12.75" customHeight="1">
      <c r="E943" s="3"/>
      <c r="F943" s="3"/>
    </row>
    <row r="944" ht="12.75" customHeight="1">
      <c r="E944" s="3"/>
      <c r="F944" s="3"/>
    </row>
    <row r="945" ht="12.75" customHeight="1">
      <c r="E945" s="3"/>
      <c r="F945" s="3"/>
    </row>
    <row r="946" ht="12.75" customHeight="1">
      <c r="E946" s="3"/>
      <c r="F946" s="3"/>
    </row>
    <row r="947" ht="12.75" customHeight="1">
      <c r="E947" s="3"/>
      <c r="F947" s="3"/>
    </row>
    <row r="948" ht="12.75" customHeight="1">
      <c r="E948" s="3"/>
      <c r="F948" s="3"/>
    </row>
    <row r="949" ht="12.75" customHeight="1">
      <c r="E949" s="3"/>
      <c r="F949" s="3"/>
    </row>
    <row r="950" ht="12.75" customHeight="1">
      <c r="E950" s="3"/>
      <c r="F950" s="3"/>
    </row>
    <row r="951" ht="12.75" customHeight="1">
      <c r="E951" s="3"/>
      <c r="F951" s="3"/>
    </row>
    <row r="952" ht="12.75" customHeight="1">
      <c r="E952" s="3"/>
      <c r="F952" s="3"/>
    </row>
    <row r="953" ht="12.75" customHeight="1">
      <c r="E953" s="3"/>
      <c r="F953" s="3"/>
    </row>
    <row r="954" ht="12.75" customHeight="1">
      <c r="E954" s="3"/>
      <c r="F954" s="3"/>
    </row>
    <row r="955" ht="12.75" customHeight="1">
      <c r="E955" s="3"/>
      <c r="F955" s="3"/>
    </row>
    <row r="956" ht="12.75" customHeight="1">
      <c r="E956" s="3"/>
      <c r="F956" s="3"/>
    </row>
    <row r="957" ht="12.75" customHeight="1">
      <c r="E957" s="3"/>
      <c r="F957" s="3"/>
    </row>
    <row r="958" ht="12.75" customHeight="1">
      <c r="E958" s="3"/>
      <c r="F958" s="3"/>
    </row>
    <row r="959" ht="12.75" customHeight="1">
      <c r="E959" s="3"/>
      <c r="F959" s="3"/>
    </row>
    <row r="960" ht="12.75" customHeight="1">
      <c r="E960" s="3"/>
      <c r="F960" s="3"/>
    </row>
    <row r="961" ht="12.75" customHeight="1">
      <c r="E961" s="3"/>
      <c r="F961" s="3"/>
    </row>
    <row r="962" ht="12.75" customHeight="1">
      <c r="E962" s="3"/>
      <c r="F962" s="3"/>
    </row>
    <row r="963" ht="12.75" customHeight="1">
      <c r="E963" s="3"/>
      <c r="F963" s="3"/>
    </row>
    <row r="964" ht="12.75" customHeight="1">
      <c r="E964" s="3"/>
      <c r="F964" s="3"/>
    </row>
    <row r="965" ht="12.75" customHeight="1">
      <c r="E965" s="3"/>
      <c r="F965" s="3"/>
    </row>
    <row r="966" ht="12.75" customHeight="1">
      <c r="E966" s="3"/>
      <c r="F966" s="3"/>
    </row>
    <row r="967" ht="12.75" customHeight="1">
      <c r="E967" s="3"/>
      <c r="F967" s="3"/>
    </row>
    <row r="968" ht="12.75" customHeight="1">
      <c r="E968" s="3"/>
      <c r="F968" s="3"/>
    </row>
    <row r="969" ht="12.75" customHeight="1">
      <c r="E969" s="3"/>
      <c r="F969" s="3"/>
    </row>
    <row r="970" ht="12.75" customHeight="1">
      <c r="E970" s="3"/>
      <c r="F970" s="3"/>
    </row>
    <row r="971" ht="12.75" customHeight="1">
      <c r="E971" s="3"/>
      <c r="F971" s="3"/>
    </row>
    <row r="972" ht="12.75" customHeight="1">
      <c r="E972" s="3"/>
      <c r="F972" s="3"/>
    </row>
    <row r="973" ht="12.75" customHeight="1">
      <c r="E973" s="3"/>
      <c r="F973" s="3"/>
    </row>
    <row r="974" ht="12.75" customHeight="1">
      <c r="E974" s="3"/>
      <c r="F974" s="3"/>
    </row>
    <row r="975" ht="12.75" customHeight="1">
      <c r="E975" s="3"/>
      <c r="F975" s="3"/>
    </row>
    <row r="976" ht="12.75" customHeight="1">
      <c r="E976" s="3"/>
      <c r="F976" s="3"/>
    </row>
    <row r="977" ht="12.75" customHeight="1">
      <c r="E977" s="3"/>
      <c r="F977" s="3"/>
    </row>
    <row r="978" ht="12.75" customHeight="1">
      <c r="E978" s="3"/>
      <c r="F978" s="3"/>
    </row>
    <row r="979" ht="12.75" customHeight="1">
      <c r="E979" s="3"/>
      <c r="F979" s="3"/>
    </row>
    <row r="980" ht="12.75" customHeight="1">
      <c r="E980" s="3"/>
      <c r="F980" s="3"/>
    </row>
    <row r="981" ht="12.75" customHeight="1">
      <c r="E981" s="3"/>
      <c r="F981" s="3"/>
    </row>
    <row r="982" ht="12.75" customHeight="1">
      <c r="E982" s="3"/>
      <c r="F982" s="3"/>
    </row>
    <row r="983" ht="12.75" customHeight="1">
      <c r="E983" s="3"/>
      <c r="F983" s="3"/>
    </row>
    <row r="984" ht="12.75" customHeight="1">
      <c r="E984" s="3"/>
      <c r="F984" s="3"/>
    </row>
    <row r="985" ht="12.75" customHeight="1">
      <c r="E985" s="3"/>
      <c r="F985" s="3"/>
    </row>
    <row r="986" ht="12.75" customHeight="1">
      <c r="E986" s="3"/>
      <c r="F986" s="3"/>
    </row>
    <row r="987" ht="12.75" customHeight="1">
      <c r="E987" s="3"/>
      <c r="F987" s="3"/>
    </row>
    <row r="988" ht="12.75" customHeight="1">
      <c r="E988" s="3"/>
      <c r="F988" s="3"/>
    </row>
    <row r="989" ht="12.75" customHeight="1">
      <c r="E989" s="3"/>
      <c r="F989" s="3"/>
    </row>
    <row r="990" ht="12.75" customHeight="1">
      <c r="E990" s="3"/>
      <c r="F990" s="3"/>
    </row>
    <row r="991" ht="12.75" customHeight="1">
      <c r="E991" s="3"/>
      <c r="F991" s="3"/>
    </row>
    <row r="992" ht="12.75" customHeight="1">
      <c r="E992" s="3"/>
      <c r="F992" s="3"/>
    </row>
    <row r="993" ht="12.75" customHeight="1">
      <c r="E993" s="3"/>
      <c r="F993" s="3"/>
    </row>
    <row r="994" ht="12.75" customHeight="1">
      <c r="E994" s="3"/>
      <c r="F994" s="3"/>
    </row>
    <row r="995" ht="12.75" customHeight="1">
      <c r="E995" s="3"/>
      <c r="F995" s="3"/>
    </row>
    <row r="996" ht="12.75" customHeight="1">
      <c r="E996" s="3"/>
      <c r="F996" s="3"/>
    </row>
    <row r="997" ht="12.75" customHeight="1">
      <c r="E997" s="3"/>
      <c r="F997" s="3"/>
    </row>
    <row r="998" ht="12.75" customHeight="1">
      <c r="E998" s="3"/>
      <c r="F998" s="3"/>
    </row>
    <row r="999" ht="12.75" customHeight="1">
      <c r="E999" s="3"/>
      <c r="F999" s="3"/>
    </row>
    <row r="1000" ht="12.75" customHeight="1">
      <c r="E1000" s="3"/>
      <c r="F1000" s="3"/>
    </row>
  </sheetData>
  <autoFilter ref="$A$1:$S$72"/>
  <printOptions/>
  <pageMargins bottom="0.7875" footer="0.0" header="0.0" left="0.7875" right="0.7875" top="0.7875"/>
  <pageSetup paperSize="9" orientation="portrait"/>
  <drawing r:id="rId1"/>
</worksheet>
</file>